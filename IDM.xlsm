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225" codeName="{AE6600E7-7A62-396C-DE95-9942FA9DD81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Casa\Desktop\"/>
    </mc:Choice>
  </mc:AlternateContent>
  <xr:revisionPtr revIDLastSave="0" documentId="13_ncr:1_{69DBF4CC-55EB-42A5-85AF-B3708C9895D0}" xr6:coauthVersionLast="47" xr6:coauthVersionMax="47" xr10:uidLastSave="{00000000-0000-0000-0000-000000000000}"/>
  <bookViews>
    <workbookView xWindow="-120" yWindow="-120" windowWidth="21840" windowHeight="13140" tabRatio="691" activeTab="5" xr2:uid="{00000000-000D-0000-FFFF-FFFF00000000}"/>
  </bookViews>
  <sheets>
    <sheet name="Tela inicial" sheetId="7" r:id="rId1"/>
    <sheet name="Cadastro" sheetId="5" r:id="rId2"/>
    <sheet name="Dados" sheetId="1" r:id="rId3"/>
    <sheet name="Iniciais" sheetId="24" r:id="rId4"/>
    <sheet name="Resumo" sheetId="4" r:id="rId5"/>
    <sheet name="Resumo2" sheetId="12" r:id="rId6"/>
    <sheet name="Ocultar (Modelo Resumo2)" sheetId="9" state="hidden" r:id="rId7"/>
    <sheet name="Ocultar" sheetId="6" state="hidden" r:id="rId8"/>
    <sheet name="Anos" sheetId="11" state="hidden" r:id="rId9"/>
    <sheet name="Fabricantes" sheetId="10" r:id="rId10"/>
    <sheet name="Plan2" sheetId="2" state="hidden" r:id="rId11"/>
    <sheet name="Plan3" sheetId="3" state="hidden" r:id="rId12"/>
  </sheets>
  <definedNames>
    <definedName name="_xlnm._FilterDatabase" localSheetId="2" hidden="1">Dados!$A$3:$J$1181</definedName>
    <definedName name="_xlnm._FilterDatabase" localSheetId="4" hidden="1">Resumo!$I$2:$N$2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48" i="4" l="1"/>
  <c r="C47" i="4"/>
  <c r="C46" i="4"/>
  <c r="C45" i="4"/>
  <c r="C44" i="4"/>
  <c r="C43" i="4"/>
  <c r="C42" i="4"/>
  <c r="C41" i="4"/>
  <c r="C40" i="4"/>
  <c r="C39" i="4"/>
  <c r="C38" i="4"/>
  <c r="C37" i="4"/>
  <c r="C36" i="4"/>
  <c r="C35" i="4"/>
  <c r="C34" i="4"/>
  <c r="C33" i="4"/>
  <c r="C32" i="4"/>
  <c r="C31" i="4"/>
  <c r="C30" i="4"/>
  <c r="C29" i="4"/>
  <c r="C28" i="4"/>
  <c r="C27" i="4"/>
  <c r="C26" i="4"/>
  <c r="C25" i="4"/>
  <c r="C24" i="4"/>
  <c r="C23" i="4"/>
  <c r="C22" i="4"/>
  <c r="C21" i="4"/>
  <c r="C20" i="4"/>
  <c r="C19" i="4"/>
  <c r="C18" i="4"/>
  <c r="C17" i="4"/>
  <c r="C16" i="4"/>
  <c r="C15" i="4"/>
  <c r="C14" i="4"/>
  <c r="C13" i="4"/>
  <c r="C12" i="4"/>
  <c r="C11" i="4"/>
  <c r="C10" i="4"/>
  <c r="C9" i="4"/>
  <c r="C8" i="4"/>
  <c r="C7" i="4"/>
  <c r="C6" i="4"/>
  <c r="C5" i="4"/>
  <c r="C4" i="4"/>
  <c r="C3" i="4"/>
  <c r="J3" i="4"/>
  <c r="J4" i="4"/>
  <c r="J5" i="4"/>
  <c r="J6" i="4"/>
  <c r="J7" i="4"/>
  <c r="J8" i="4"/>
  <c r="J9" i="4"/>
  <c r="D1" i="24"/>
  <c r="C232" i="12" l="1"/>
  <c r="C231" i="12"/>
  <c r="C230" i="12"/>
  <c r="C229" i="12"/>
  <c r="C228" i="12"/>
  <c r="C227" i="12"/>
  <c r="C226" i="12"/>
  <c r="C225" i="12"/>
  <c r="C224" i="12"/>
  <c r="C223" i="12"/>
  <c r="C222" i="12"/>
  <c r="C221" i="12"/>
  <c r="C220" i="12"/>
  <c r="C219" i="12"/>
  <c r="C218" i="12"/>
  <c r="C217" i="12"/>
  <c r="C216" i="12"/>
  <c r="C215" i="12"/>
  <c r="C214" i="12"/>
  <c r="C211" i="12"/>
  <c r="C210" i="12"/>
  <c r="C209" i="12"/>
  <c r="C208" i="12"/>
  <c r="C207" i="12"/>
  <c r="C206" i="12"/>
  <c r="C205" i="12"/>
  <c r="C204" i="12"/>
  <c r="C203" i="12"/>
  <c r="C202" i="12"/>
  <c r="C201" i="12"/>
  <c r="C200" i="12"/>
  <c r="C199" i="12"/>
  <c r="C198" i="12"/>
  <c r="C197" i="12"/>
  <c r="C196" i="12"/>
  <c r="C195" i="12"/>
  <c r="C194" i="12"/>
  <c r="C193" i="12"/>
  <c r="C190" i="12"/>
  <c r="C189" i="12"/>
  <c r="C188" i="12"/>
  <c r="C187" i="12"/>
  <c r="C186" i="12"/>
  <c r="C185" i="12"/>
  <c r="C184" i="12"/>
  <c r="C183" i="12"/>
  <c r="C182" i="12"/>
  <c r="C181" i="12"/>
  <c r="C180" i="12"/>
  <c r="C179" i="12"/>
  <c r="C178" i="12"/>
  <c r="C177" i="12"/>
  <c r="C176" i="12"/>
  <c r="C175" i="12"/>
  <c r="C174" i="12"/>
  <c r="C173" i="12"/>
  <c r="C172" i="12"/>
  <c r="C169" i="12"/>
  <c r="C168" i="12"/>
  <c r="C167" i="12"/>
  <c r="C166" i="12"/>
  <c r="C165" i="12"/>
  <c r="C164" i="12"/>
  <c r="C163" i="12"/>
  <c r="C162" i="12"/>
  <c r="C161" i="12"/>
  <c r="C160" i="12"/>
  <c r="C159" i="12"/>
  <c r="C158" i="12"/>
  <c r="C157" i="12"/>
  <c r="C156" i="12"/>
  <c r="C155" i="12"/>
  <c r="C154" i="12"/>
  <c r="C153" i="12"/>
  <c r="C152" i="12"/>
  <c r="C151" i="12"/>
  <c r="C148" i="12"/>
  <c r="C147" i="12"/>
  <c r="C146" i="12"/>
  <c r="C145" i="12"/>
  <c r="C144" i="12"/>
  <c r="C143" i="12"/>
  <c r="C142" i="12"/>
  <c r="C141" i="12"/>
  <c r="C140" i="12"/>
  <c r="C139" i="12"/>
  <c r="C138" i="12"/>
  <c r="C137" i="12"/>
  <c r="C136" i="12"/>
  <c r="C135" i="12"/>
  <c r="C134" i="12"/>
  <c r="C133" i="12"/>
  <c r="C132" i="12"/>
  <c r="C131" i="12"/>
  <c r="C130" i="12"/>
  <c r="C127" i="12"/>
  <c r="C126" i="12"/>
  <c r="C125" i="12"/>
  <c r="C124" i="12"/>
  <c r="C123" i="12"/>
  <c r="C122" i="12"/>
  <c r="C121" i="12"/>
  <c r="C120" i="12"/>
  <c r="C119" i="12"/>
  <c r="C118" i="12"/>
  <c r="C117" i="12"/>
  <c r="C116" i="12"/>
  <c r="C115" i="12"/>
  <c r="C114" i="12"/>
  <c r="C113" i="12"/>
  <c r="C112" i="12"/>
  <c r="C111" i="12"/>
  <c r="C110" i="12"/>
  <c r="C109" i="12"/>
  <c r="C106" i="12"/>
  <c r="C105" i="12"/>
  <c r="C104" i="12"/>
  <c r="C103" i="12"/>
  <c r="C102" i="12"/>
  <c r="C101" i="12"/>
  <c r="C100" i="12"/>
  <c r="C99" i="12"/>
  <c r="C98" i="12"/>
  <c r="C97" i="12"/>
  <c r="C96" i="12"/>
  <c r="C95" i="12"/>
  <c r="C94" i="12"/>
  <c r="C93" i="12"/>
  <c r="C92" i="12"/>
  <c r="C91" i="12"/>
  <c r="C90" i="12"/>
  <c r="C89" i="12"/>
  <c r="C88" i="12"/>
  <c r="C85" i="12"/>
  <c r="C84" i="12"/>
  <c r="C83" i="12"/>
  <c r="C82" i="12"/>
  <c r="C81" i="12"/>
  <c r="C80" i="12"/>
  <c r="C79" i="12"/>
  <c r="C78" i="12"/>
  <c r="C77" i="12"/>
  <c r="C76" i="12"/>
  <c r="C75" i="12"/>
  <c r="C74" i="12"/>
  <c r="C73" i="12"/>
  <c r="C72" i="12"/>
  <c r="C71" i="12"/>
  <c r="C70" i="12"/>
  <c r="C69" i="12"/>
  <c r="C68" i="12"/>
  <c r="C67" i="12"/>
  <c r="C64" i="12"/>
  <c r="C63" i="12"/>
  <c r="C62" i="12"/>
  <c r="C61" i="12"/>
  <c r="C60" i="12"/>
  <c r="C59" i="12"/>
  <c r="C58" i="12"/>
  <c r="C57" i="12"/>
  <c r="C56" i="12"/>
  <c r="C55" i="12"/>
  <c r="C54" i="12"/>
  <c r="C53" i="12"/>
  <c r="C52" i="12"/>
  <c r="C51" i="12"/>
  <c r="C50" i="12"/>
  <c r="C49" i="12"/>
  <c r="C48" i="12"/>
  <c r="C47" i="12"/>
  <c r="C46" i="12"/>
  <c r="C43" i="12"/>
  <c r="C42" i="12"/>
  <c r="C41" i="12"/>
  <c r="C40" i="12"/>
  <c r="C39" i="12"/>
  <c r="C38" i="12"/>
  <c r="C37" i="12"/>
  <c r="C36" i="12"/>
  <c r="C35" i="12"/>
  <c r="C34" i="12"/>
  <c r="C33" i="12"/>
  <c r="C32" i="12"/>
  <c r="C31" i="12"/>
  <c r="C30" i="12"/>
  <c r="C29" i="12"/>
  <c r="C28" i="12"/>
  <c r="C27" i="12"/>
  <c r="C26" i="12"/>
  <c r="C25" i="12"/>
  <c r="V22" i="12"/>
  <c r="U22" i="12"/>
  <c r="T22" i="12"/>
  <c r="S22" i="12"/>
  <c r="R22" i="12"/>
  <c r="Q22" i="12"/>
  <c r="P22" i="12"/>
  <c r="O22" i="12"/>
  <c r="N22" i="12"/>
  <c r="M22" i="12"/>
  <c r="L22" i="12"/>
  <c r="K22" i="12"/>
  <c r="J22" i="12"/>
  <c r="I22" i="12"/>
  <c r="H22" i="12"/>
  <c r="G22" i="12"/>
  <c r="F22" i="12"/>
  <c r="E22" i="12"/>
  <c r="D22" i="12"/>
  <c r="V21" i="12"/>
  <c r="U21" i="12"/>
  <c r="T21" i="12"/>
  <c r="S21" i="12"/>
  <c r="R21" i="12"/>
  <c r="Q21" i="12"/>
  <c r="P21" i="12"/>
  <c r="O21" i="12"/>
  <c r="N21" i="12"/>
  <c r="M21" i="12"/>
  <c r="L21" i="12"/>
  <c r="K21" i="12"/>
  <c r="J21" i="12"/>
  <c r="I21" i="12"/>
  <c r="H21" i="12"/>
  <c r="G21" i="12"/>
  <c r="F21" i="12"/>
  <c r="E21" i="12"/>
  <c r="D21" i="12"/>
  <c r="V20" i="12"/>
  <c r="U20" i="12"/>
  <c r="T20" i="12"/>
  <c r="S20" i="12"/>
  <c r="R20" i="12"/>
  <c r="Q20" i="12"/>
  <c r="P20" i="12"/>
  <c r="O20" i="12"/>
  <c r="N20" i="12"/>
  <c r="M20" i="12"/>
  <c r="L20" i="12"/>
  <c r="K20" i="12"/>
  <c r="J20" i="12"/>
  <c r="I20" i="12"/>
  <c r="H20" i="12"/>
  <c r="G20" i="12"/>
  <c r="F20" i="12"/>
  <c r="E20" i="12"/>
  <c r="D20" i="12"/>
  <c r="V19" i="12"/>
  <c r="U19" i="12"/>
  <c r="T19" i="12"/>
  <c r="S19" i="12"/>
  <c r="R19" i="12"/>
  <c r="Q19" i="12"/>
  <c r="P19" i="12"/>
  <c r="O19" i="12"/>
  <c r="N19" i="12"/>
  <c r="M19" i="12"/>
  <c r="L19" i="12"/>
  <c r="K19" i="12"/>
  <c r="J19" i="12"/>
  <c r="I19" i="12"/>
  <c r="H19" i="12"/>
  <c r="G19" i="12"/>
  <c r="F19" i="12"/>
  <c r="E19" i="12"/>
  <c r="D19" i="12"/>
  <c r="V18" i="12"/>
  <c r="U18" i="12"/>
  <c r="T18" i="12"/>
  <c r="S18" i="12"/>
  <c r="R18" i="12"/>
  <c r="Q18" i="12"/>
  <c r="P18" i="12"/>
  <c r="O18" i="12"/>
  <c r="N18" i="12"/>
  <c r="M18" i="12"/>
  <c r="L18" i="12"/>
  <c r="K18" i="12"/>
  <c r="J18" i="12"/>
  <c r="I18" i="12"/>
  <c r="H18" i="12"/>
  <c r="G18" i="12"/>
  <c r="F18" i="12"/>
  <c r="E18" i="12"/>
  <c r="D18" i="12"/>
  <c r="V17" i="12"/>
  <c r="U17" i="12"/>
  <c r="T17" i="12"/>
  <c r="S17" i="12"/>
  <c r="R17" i="12"/>
  <c r="Q17" i="12"/>
  <c r="P17" i="12"/>
  <c r="O17" i="12"/>
  <c r="N17" i="12"/>
  <c r="M17" i="12"/>
  <c r="L17" i="12"/>
  <c r="K17" i="12"/>
  <c r="J17" i="12"/>
  <c r="I17" i="12"/>
  <c r="H17" i="12"/>
  <c r="G17" i="12"/>
  <c r="F17" i="12"/>
  <c r="E17" i="12"/>
  <c r="D17" i="12"/>
  <c r="V16" i="12"/>
  <c r="U16" i="12"/>
  <c r="T16" i="12"/>
  <c r="S16" i="12"/>
  <c r="R16" i="12"/>
  <c r="Q16" i="12"/>
  <c r="P16" i="12"/>
  <c r="O16" i="12"/>
  <c r="N16" i="12"/>
  <c r="M16" i="12"/>
  <c r="L16" i="12"/>
  <c r="K16" i="12"/>
  <c r="J16" i="12"/>
  <c r="I16" i="12"/>
  <c r="H16" i="12"/>
  <c r="G16" i="12"/>
  <c r="F16" i="12"/>
  <c r="E16" i="12"/>
  <c r="D16" i="12"/>
  <c r="V15" i="12"/>
  <c r="U15" i="12"/>
  <c r="T15" i="12"/>
  <c r="S15" i="12"/>
  <c r="R15" i="12"/>
  <c r="Q15" i="12"/>
  <c r="P15" i="12"/>
  <c r="O15" i="12"/>
  <c r="N15" i="12"/>
  <c r="M15" i="12"/>
  <c r="L15" i="12"/>
  <c r="K15" i="12"/>
  <c r="J15" i="12"/>
  <c r="I15" i="12"/>
  <c r="H15" i="12"/>
  <c r="G15" i="12"/>
  <c r="F15" i="12"/>
  <c r="E15" i="12"/>
  <c r="D15" i="12"/>
  <c r="V14" i="12"/>
  <c r="U14" i="12"/>
  <c r="T14" i="12"/>
  <c r="S14" i="12"/>
  <c r="R14" i="12"/>
  <c r="Q14" i="12"/>
  <c r="P14" i="12"/>
  <c r="O14" i="12"/>
  <c r="N14" i="12"/>
  <c r="M14" i="12"/>
  <c r="L14" i="12"/>
  <c r="K14" i="12"/>
  <c r="J14" i="12"/>
  <c r="I14" i="12"/>
  <c r="H14" i="12"/>
  <c r="G14" i="12"/>
  <c r="F14" i="12"/>
  <c r="E14" i="12"/>
  <c r="D14" i="12"/>
  <c r="V13" i="12"/>
  <c r="U13" i="12"/>
  <c r="T13" i="12"/>
  <c r="S13" i="12"/>
  <c r="R13" i="12"/>
  <c r="Q13" i="12"/>
  <c r="P13" i="12"/>
  <c r="O13" i="12"/>
  <c r="N13" i="12"/>
  <c r="M13" i="12"/>
  <c r="L13" i="12"/>
  <c r="K13" i="12"/>
  <c r="J13" i="12"/>
  <c r="I13" i="12"/>
  <c r="H13" i="12"/>
  <c r="G13" i="12"/>
  <c r="F13" i="12"/>
  <c r="E13" i="12"/>
  <c r="D13" i="12"/>
  <c r="V12" i="12"/>
  <c r="U12" i="12"/>
  <c r="T12" i="12"/>
  <c r="S12" i="12"/>
  <c r="R12" i="12"/>
  <c r="Q12" i="12"/>
  <c r="P12" i="12"/>
  <c r="O12" i="12"/>
  <c r="N12" i="12"/>
  <c r="M12" i="12"/>
  <c r="L12" i="12"/>
  <c r="K12" i="12"/>
  <c r="J12" i="12"/>
  <c r="I12" i="12"/>
  <c r="H12" i="12"/>
  <c r="G12" i="12"/>
  <c r="F12" i="12"/>
  <c r="E12" i="12"/>
  <c r="D12" i="12"/>
  <c r="V11" i="12"/>
  <c r="U11" i="12"/>
  <c r="T11" i="12"/>
  <c r="S11" i="12"/>
  <c r="R11" i="12"/>
  <c r="Q11" i="12"/>
  <c r="P11" i="12"/>
  <c r="O11" i="12"/>
  <c r="N11" i="12"/>
  <c r="M11" i="12"/>
  <c r="L11" i="12"/>
  <c r="K11" i="12"/>
  <c r="J11" i="12"/>
  <c r="I11" i="12"/>
  <c r="H11" i="12"/>
  <c r="G11" i="12"/>
  <c r="F11" i="12"/>
  <c r="E11" i="12"/>
  <c r="D11" i="12"/>
  <c r="V10" i="12"/>
  <c r="U10" i="12"/>
  <c r="T10" i="12"/>
  <c r="S10" i="12"/>
  <c r="R10" i="12"/>
  <c r="Q10" i="12"/>
  <c r="P10" i="12"/>
  <c r="O10" i="12"/>
  <c r="N10" i="12"/>
  <c r="M10" i="12"/>
  <c r="L10" i="12"/>
  <c r="K10" i="12"/>
  <c r="J10" i="12"/>
  <c r="I10" i="12"/>
  <c r="H10" i="12"/>
  <c r="G10" i="12"/>
  <c r="F10" i="12"/>
  <c r="E10" i="12"/>
  <c r="D10" i="12"/>
  <c r="V9" i="12"/>
  <c r="U9" i="12"/>
  <c r="T9" i="12"/>
  <c r="S9" i="12"/>
  <c r="R9" i="12"/>
  <c r="Q9" i="12"/>
  <c r="P9" i="12"/>
  <c r="O9" i="12"/>
  <c r="N9" i="12"/>
  <c r="M9" i="12"/>
  <c r="L9" i="12"/>
  <c r="K9" i="12"/>
  <c r="J9" i="12"/>
  <c r="I9" i="12"/>
  <c r="H9" i="12"/>
  <c r="G9" i="12"/>
  <c r="F9" i="12"/>
  <c r="E9" i="12"/>
  <c r="D9" i="12"/>
  <c r="V8" i="12"/>
  <c r="U8" i="12"/>
  <c r="T8" i="12"/>
  <c r="S8" i="12"/>
  <c r="R8" i="12"/>
  <c r="Q8" i="12"/>
  <c r="P8" i="12"/>
  <c r="O8" i="12"/>
  <c r="N8" i="12"/>
  <c r="M8" i="12"/>
  <c r="L8" i="12"/>
  <c r="K8" i="12"/>
  <c r="J8" i="12"/>
  <c r="I8" i="12"/>
  <c r="H8" i="12"/>
  <c r="G8" i="12"/>
  <c r="F8" i="12"/>
  <c r="E8" i="12"/>
  <c r="D8" i="12"/>
  <c r="V7" i="12"/>
  <c r="U7" i="12"/>
  <c r="T7" i="12"/>
  <c r="S7" i="12"/>
  <c r="R7" i="12"/>
  <c r="Q7" i="12"/>
  <c r="P7" i="12"/>
  <c r="O7" i="12"/>
  <c r="N7" i="12"/>
  <c r="M7" i="12"/>
  <c r="L7" i="12"/>
  <c r="K7" i="12"/>
  <c r="J7" i="12"/>
  <c r="I7" i="12"/>
  <c r="H7" i="12"/>
  <c r="G7" i="12"/>
  <c r="F7" i="12"/>
  <c r="E7" i="12"/>
  <c r="D7" i="12"/>
  <c r="V6" i="12"/>
  <c r="U6" i="12"/>
  <c r="T6" i="12"/>
  <c r="S6" i="12"/>
  <c r="R6" i="12"/>
  <c r="Q6" i="12"/>
  <c r="P6" i="12"/>
  <c r="O6" i="12"/>
  <c r="N6" i="12"/>
  <c r="M6" i="12"/>
  <c r="L6" i="12"/>
  <c r="K6" i="12"/>
  <c r="J6" i="12"/>
  <c r="I6" i="12"/>
  <c r="H6" i="12"/>
  <c r="G6" i="12"/>
  <c r="F6" i="12"/>
  <c r="E6" i="12"/>
  <c r="D6" i="12"/>
  <c r="V5" i="12"/>
  <c r="U5" i="12"/>
  <c r="T5" i="12"/>
  <c r="S5" i="12"/>
  <c r="R5" i="12"/>
  <c r="Q5" i="12"/>
  <c r="P5" i="12"/>
  <c r="O5" i="12"/>
  <c r="N5" i="12"/>
  <c r="M5" i="12"/>
  <c r="L5" i="12"/>
  <c r="K5" i="12"/>
  <c r="J5" i="12"/>
  <c r="I5" i="12"/>
  <c r="H5" i="12"/>
  <c r="G5" i="12"/>
  <c r="F5" i="12"/>
  <c r="E5" i="12"/>
  <c r="D5" i="12"/>
  <c r="V4" i="12"/>
  <c r="U4" i="12"/>
  <c r="T4" i="12"/>
  <c r="S4" i="12"/>
  <c r="R4" i="12"/>
  <c r="Q4" i="12"/>
  <c r="P4" i="12"/>
  <c r="O4" i="12"/>
  <c r="N4" i="12"/>
  <c r="M4" i="12"/>
  <c r="L4" i="12"/>
  <c r="K4" i="12"/>
  <c r="J4" i="12"/>
  <c r="I4" i="12"/>
  <c r="H4" i="12"/>
  <c r="G4" i="12"/>
  <c r="F4" i="12"/>
  <c r="E4" i="12"/>
  <c r="D4" i="12"/>
  <c r="V43" i="12" l="1"/>
  <c r="R43" i="12"/>
  <c r="N43" i="12"/>
  <c r="J43" i="12"/>
  <c r="F43" i="12"/>
  <c r="V42" i="12"/>
  <c r="R42" i="12"/>
  <c r="N42" i="12"/>
  <c r="J42" i="12"/>
  <c r="F42" i="12"/>
  <c r="V41" i="12"/>
  <c r="R41" i="12"/>
  <c r="N41" i="12"/>
  <c r="J41" i="12"/>
  <c r="F41" i="12"/>
  <c r="V40" i="12"/>
  <c r="R40" i="12"/>
  <c r="N40" i="12"/>
  <c r="J40" i="12"/>
  <c r="F40" i="12"/>
  <c r="V39" i="12"/>
  <c r="R39" i="12"/>
  <c r="N39" i="12"/>
  <c r="J39" i="12"/>
  <c r="F39" i="12"/>
  <c r="V38" i="12"/>
  <c r="R38" i="12"/>
  <c r="N38" i="12"/>
  <c r="J38" i="12"/>
  <c r="F38" i="12"/>
  <c r="V37" i="12"/>
  <c r="R37" i="12"/>
  <c r="N37" i="12"/>
  <c r="J37" i="12"/>
  <c r="F37" i="12"/>
  <c r="V36" i="12"/>
  <c r="R36" i="12"/>
  <c r="N36" i="12"/>
  <c r="J36" i="12"/>
  <c r="F36" i="12"/>
  <c r="V35" i="12"/>
  <c r="R35" i="12"/>
  <c r="N35" i="12"/>
  <c r="J35" i="12"/>
  <c r="F35" i="12"/>
  <c r="V34" i="12"/>
  <c r="R34" i="12"/>
  <c r="N34" i="12"/>
  <c r="J34" i="12"/>
  <c r="F34" i="12"/>
  <c r="V33" i="12"/>
  <c r="R33" i="12"/>
  <c r="N33" i="12"/>
  <c r="J33" i="12"/>
  <c r="F33" i="12"/>
  <c r="V32" i="12"/>
  <c r="R32" i="12"/>
  <c r="N32" i="12"/>
  <c r="J32" i="12"/>
  <c r="F32" i="12"/>
  <c r="V31" i="12"/>
  <c r="R31" i="12"/>
  <c r="N31" i="12"/>
  <c r="J31" i="12"/>
  <c r="F31" i="12"/>
  <c r="V30" i="12"/>
  <c r="R30" i="12"/>
  <c r="N30" i="12"/>
  <c r="J30" i="12"/>
  <c r="F30" i="12"/>
  <c r="V29" i="12"/>
  <c r="R29" i="12"/>
  <c r="N29" i="12"/>
  <c r="J29" i="12"/>
  <c r="F29" i="12"/>
  <c r="V28" i="12"/>
  <c r="R28" i="12"/>
  <c r="N28" i="12"/>
  <c r="J28" i="12"/>
  <c r="F28" i="12"/>
  <c r="V27" i="12"/>
  <c r="R27" i="12"/>
  <c r="N27" i="12"/>
  <c r="J27" i="12"/>
  <c r="F27" i="12"/>
  <c r="V26" i="12"/>
  <c r="R26" i="12"/>
  <c r="N26" i="12"/>
  <c r="J26" i="12"/>
  <c r="F26" i="12"/>
  <c r="V25" i="12"/>
  <c r="R25" i="12"/>
  <c r="N25" i="12"/>
  <c r="J25" i="12"/>
  <c r="F25" i="12"/>
  <c r="U43" i="12"/>
  <c r="Q43" i="12"/>
  <c r="M43" i="12"/>
  <c r="I43" i="12"/>
  <c r="E43" i="12"/>
  <c r="U42" i="12"/>
  <c r="Q42" i="12"/>
  <c r="M42" i="12"/>
  <c r="I42" i="12"/>
  <c r="E42" i="12"/>
  <c r="U41" i="12"/>
  <c r="Q41" i="12"/>
  <c r="M41" i="12"/>
  <c r="I41" i="12"/>
  <c r="E41" i="12"/>
  <c r="U40" i="12"/>
  <c r="Q40" i="12"/>
  <c r="M40" i="12"/>
  <c r="I40" i="12"/>
  <c r="E40" i="12"/>
  <c r="U39" i="12"/>
  <c r="Q39" i="12"/>
  <c r="M39" i="12"/>
  <c r="I39" i="12"/>
  <c r="E39" i="12"/>
  <c r="U38" i="12"/>
  <c r="Q38" i="12"/>
  <c r="M38" i="12"/>
  <c r="I38" i="12"/>
  <c r="E38" i="12"/>
  <c r="U37" i="12"/>
  <c r="Q37" i="12"/>
  <c r="M37" i="12"/>
  <c r="I37" i="12"/>
  <c r="E37" i="12"/>
  <c r="U36" i="12"/>
  <c r="Q36" i="12"/>
  <c r="M36" i="12"/>
  <c r="I36" i="12"/>
  <c r="E36" i="12"/>
  <c r="U35" i="12"/>
  <c r="Q35" i="12"/>
  <c r="M35" i="12"/>
  <c r="I35" i="12"/>
  <c r="E35" i="12"/>
  <c r="U34" i="12"/>
  <c r="Q34" i="12"/>
  <c r="M34" i="12"/>
  <c r="I34" i="12"/>
  <c r="E34" i="12"/>
  <c r="U33" i="12"/>
  <c r="Q33" i="12"/>
  <c r="M33" i="12"/>
  <c r="I33" i="12"/>
  <c r="E33" i="12"/>
  <c r="U32" i="12"/>
  <c r="Q32" i="12"/>
  <c r="M32" i="12"/>
  <c r="I32" i="12"/>
  <c r="E32" i="12"/>
  <c r="U31" i="12"/>
  <c r="Q31" i="12"/>
  <c r="M31" i="12"/>
  <c r="I31" i="12"/>
  <c r="E31" i="12"/>
  <c r="U30" i="12"/>
  <c r="Q30" i="12"/>
  <c r="M30" i="12"/>
  <c r="I30" i="12"/>
  <c r="E30" i="12"/>
  <c r="U29" i="12"/>
  <c r="Q29" i="12"/>
  <c r="M29" i="12"/>
  <c r="I29" i="12"/>
  <c r="E29" i="12"/>
  <c r="U28" i="12"/>
  <c r="Q28" i="12"/>
  <c r="M28" i="12"/>
  <c r="I28" i="12"/>
  <c r="E28" i="12"/>
  <c r="U27" i="12"/>
  <c r="Q27" i="12"/>
  <c r="M27" i="12"/>
  <c r="I27" i="12"/>
  <c r="E27" i="12"/>
  <c r="U26" i="12"/>
  <c r="Q26" i="12"/>
  <c r="M26" i="12"/>
  <c r="I26" i="12"/>
  <c r="E26" i="12"/>
  <c r="U25" i="12"/>
  <c r="Q25" i="12"/>
  <c r="M25" i="12"/>
  <c r="I25" i="12"/>
  <c r="E25" i="12"/>
  <c r="S43" i="12"/>
  <c r="O43" i="12"/>
  <c r="K43" i="12"/>
  <c r="G43" i="12"/>
  <c r="S42" i="12"/>
  <c r="O42" i="12"/>
  <c r="K42" i="12"/>
  <c r="G42" i="12"/>
  <c r="S41" i="12"/>
  <c r="O41" i="12"/>
  <c r="K41" i="12"/>
  <c r="G41" i="12"/>
  <c r="S40" i="12"/>
  <c r="O40" i="12"/>
  <c r="K40" i="12"/>
  <c r="G40" i="12"/>
  <c r="S39" i="12"/>
  <c r="O39" i="12"/>
  <c r="K39" i="12"/>
  <c r="G39" i="12"/>
  <c r="S38" i="12"/>
  <c r="O38" i="12"/>
  <c r="K38" i="12"/>
  <c r="G38" i="12"/>
  <c r="S37" i="12"/>
  <c r="O37" i="12"/>
  <c r="K37" i="12"/>
  <c r="G37" i="12"/>
  <c r="S36" i="12"/>
  <c r="O36" i="12"/>
  <c r="K36" i="12"/>
  <c r="G36" i="12"/>
  <c r="S35" i="12"/>
  <c r="O35" i="12"/>
  <c r="K35" i="12"/>
  <c r="G35" i="12"/>
  <c r="S34" i="12"/>
  <c r="O34" i="12"/>
  <c r="K34" i="12"/>
  <c r="G34" i="12"/>
  <c r="S33" i="12"/>
  <c r="O33" i="12"/>
  <c r="K33" i="12"/>
  <c r="G33" i="12"/>
  <c r="S32" i="12"/>
  <c r="O32" i="12"/>
  <c r="K32" i="12"/>
  <c r="G32" i="12"/>
  <c r="S31" i="12"/>
  <c r="O31" i="12"/>
  <c r="K31" i="12"/>
  <c r="G31" i="12"/>
  <c r="S30" i="12"/>
  <c r="O30" i="12"/>
  <c r="K30" i="12"/>
  <c r="G30" i="12"/>
  <c r="S29" i="12"/>
  <c r="O29" i="12"/>
  <c r="K29" i="12"/>
  <c r="G29" i="12"/>
  <c r="S28" i="12"/>
  <c r="O28" i="12"/>
  <c r="K28" i="12"/>
  <c r="G28" i="12"/>
  <c r="S27" i="12"/>
  <c r="O27" i="12"/>
  <c r="K27" i="12"/>
  <c r="G27" i="12"/>
  <c r="S26" i="12"/>
  <c r="O26" i="12"/>
  <c r="K26" i="12"/>
  <c r="G26" i="12"/>
  <c r="S25" i="12"/>
  <c r="O25" i="12"/>
  <c r="K25" i="12"/>
  <c r="G25" i="12"/>
  <c r="L25" i="12"/>
  <c r="D26" i="12"/>
  <c r="T26" i="12"/>
  <c r="L27" i="12"/>
  <c r="D28" i="12"/>
  <c r="T28" i="12"/>
  <c r="L29" i="12"/>
  <c r="D30" i="12"/>
  <c r="T30" i="12"/>
  <c r="L31" i="12"/>
  <c r="D32" i="12"/>
  <c r="T32" i="12"/>
  <c r="L33" i="12"/>
  <c r="D34" i="12"/>
  <c r="T34" i="12"/>
  <c r="L35" i="12"/>
  <c r="D36" i="12"/>
  <c r="T36" i="12"/>
  <c r="L37" i="12"/>
  <c r="D38" i="12"/>
  <c r="T38" i="12"/>
  <c r="L39" i="12"/>
  <c r="D40" i="12"/>
  <c r="T40" i="12"/>
  <c r="L41" i="12"/>
  <c r="D42" i="12"/>
  <c r="T42" i="12"/>
  <c r="L43" i="12"/>
  <c r="P25" i="12"/>
  <c r="H26" i="12"/>
  <c r="P27" i="12"/>
  <c r="H28" i="12"/>
  <c r="P29" i="12"/>
  <c r="H30" i="12"/>
  <c r="P31" i="12"/>
  <c r="H32" i="12"/>
  <c r="P33" i="12"/>
  <c r="H34" i="12"/>
  <c r="P35" i="12"/>
  <c r="H36" i="12"/>
  <c r="P37" i="12"/>
  <c r="H38" i="12"/>
  <c r="P39" i="12"/>
  <c r="H40" i="12"/>
  <c r="P41" i="12"/>
  <c r="H42" i="12"/>
  <c r="P43" i="12"/>
  <c r="D25" i="12"/>
  <c r="T25" i="12"/>
  <c r="L26" i="12"/>
  <c r="D27" i="12"/>
  <c r="T27" i="12"/>
  <c r="L28" i="12"/>
  <c r="D29" i="12"/>
  <c r="T29" i="12"/>
  <c r="L30" i="12"/>
  <c r="D31" i="12"/>
  <c r="T31" i="12"/>
  <c r="L32" i="12"/>
  <c r="D33" i="12"/>
  <c r="T33" i="12"/>
  <c r="L34" i="12"/>
  <c r="D35" i="12"/>
  <c r="T35" i="12"/>
  <c r="L36" i="12"/>
  <c r="D37" i="12"/>
  <c r="T37" i="12"/>
  <c r="L38" i="12"/>
  <c r="D39" i="12"/>
  <c r="T39" i="12"/>
  <c r="L40" i="12"/>
  <c r="D41" i="12"/>
  <c r="T41" i="12"/>
  <c r="L42" i="12"/>
  <c r="D43" i="12"/>
  <c r="T43" i="12"/>
  <c r="H25" i="12"/>
  <c r="P26" i="12"/>
  <c r="H27" i="12"/>
  <c r="P28" i="12"/>
  <c r="H29" i="12"/>
  <c r="P30" i="12"/>
  <c r="H31" i="12"/>
  <c r="P32" i="12"/>
  <c r="H33" i="12"/>
  <c r="P34" i="12"/>
  <c r="H35" i="12"/>
  <c r="P36" i="12"/>
  <c r="H37" i="12"/>
  <c r="P38" i="12"/>
  <c r="H39" i="12"/>
  <c r="P40" i="12"/>
  <c r="H41" i="12"/>
  <c r="P42" i="12"/>
  <c r="H43" i="12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4" i="4"/>
  <c r="J25" i="4"/>
  <c r="J26" i="4"/>
  <c r="J27" i="4"/>
  <c r="J28" i="4"/>
  <c r="J29" i="4"/>
  <c r="J30" i="4"/>
  <c r="J31" i="4"/>
  <c r="J32" i="4"/>
  <c r="J33" i="4"/>
  <c r="J34" i="4"/>
  <c r="J35" i="4"/>
  <c r="J36" i="4"/>
  <c r="J37" i="4"/>
  <c r="J38" i="4"/>
  <c r="J39" i="4"/>
  <c r="J40" i="4"/>
  <c r="J41" i="4"/>
  <c r="J42" i="4"/>
  <c r="J43" i="4"/>
  <c r="L46" i="12" l="1"/>
  <c r="H47" i="12"/>
  <c r="D47" i="12"/>
  <c r="H46" i="12"/>
  <c r="L47" i="12"/>
  <c r="K46" i="12"/>
  <c r="K47" i="12"/>
  <c r="K48" i="12"/>
  <c r="K49" i="12"/>
  <c r="K50" i="12"/>
  <c r="K51" i="12"/>
  <c r="K52" i="12"/>
  <c r="K53" i="12"/>
  <c r="K54" i="12"/>
  <c r="K55" i="12"/>
  <c r="K56" i="12"/>
  <c r="K57" i="12"/>
  <c r="K58" i="12"/>
  <c r="K59" i="12"/>
  <c r="K60" i="12"/>
  <c r="K61" i="12"/>
  <c r="K62" i="12"/>
  <c r="K63" i="12"/>
  <c r="K64" i="12"/>
  <c r="L48" i="12"/>
  <c r="H49" i="12"/>
  <c r="D50" i="12"/>
  <c r="T50" i="12"/>
  <c r="P51" i="12"/>
  <c r="L52" i="12"/>
  <c r="H53" i="12"/>
  <c r="D54" i="12"/>
  <c r="T54" i="12"/>
  <c r="P55" i="12"/>
  <c r="L56" i="12"/>
  <c r="H57" i="12"/>
  <c r="D58" i="12"/>
  <c r="T58" i="12"/>
  <c r="P59" i="12"/>
  <c r="L60" i="12"/>
  <c r="H61" i="12"/>
  <c r="D62" i="12"/>
  <c r="T62" i="12"/>
  <c r="P63" i="12"/>
  <c r="L64" i="12"/>
  <c r="I46" i="12"/>
  <c r="E47" i="12"/>
  <c r="U47" i="12"/>
  <c r="Q48" i="12"/>
  <c r="M49" i="12"/>
  <c r="I50" i="12"/>
  <c r="E51" i="12"/>
  <c r="U51" i="12"/>
  <c r="Q52" i="12"/>
  <c r="M53" i="12"/>
  <c r="I54" i="12"/>
  <c r="E55" i="12"/>
  <c r="U55" i="12"/>
  <c r="Q56" i="12"/>
  <c r="M57" i="12"/>
  <c r="I58" i="12"/>
  <c r="E59" i="12"/>
  <c r="U59" i="12"/>
  <c r="Q60" i="12"/>
  <c r="M61" i="12"/>
  <c r="I62" i="12"/>
  <c r="E63" i="12"/>
  <c r="U63" i="12"/>
  <c r="Q64" i="12"/>
  <c r="F46" i="12"/>
  <c r="V46" i="12"/>
  <c r="R47" i="12"/>
  <c r="N48" i="12"/>
  <c r="J49" i="12"/>
  <c r="F50" i="12"/>
  <c r="V50" i="12"/>
  <c r="R51" i="12"/>
  <c r="N52" i="12"/>
  <c r="J53" i="12"/>
  <c r="F54" i="12"/>
  <c r="V54" i="12"/>
  <c r="R55" i="12"/>
  <c r="N56" i="12"/>
  <c r="J57" i="12"/>
  <c r="F58" i="12"/>
  <c r="V58" i="12"/>
  <c r="R59" i="12"/>
  <c r="N60" i="12"/>
  <c r="J61" i="12"/>
  <c r="F62" i="12"/>
  <c r="V62" i="12"/>
  <c r="R63" i="12"/>
  <c r="N64" i="12"/>
  <c r="T46" i="12"/>
  <c r="O46" i="12"/>
  <c r="O47" i="12"/>
  <c r="O48" i="12"/>
  <c r="O49" i="12"/>
  <c r="O50" i="12"/>
  <c r="O51" i="12"/>
  <c r="O52" i="12"/>
  <c r="O53" i="12"/>
  <c r="O54" i="12"/>
  <c r="O55" i="12"/>
  <c r="O56" i="12"/>
  <c r="O57" i="12"/>
  <c r="O58" i="12"/>
  <c r="O59" i="12"/>
  <c r="O60" i="12"/>
  <c r="O61" i="12"/>
  <c r="O62" i="12"/>
  <c r="O63" i="12"/>
  <c r="O64" i="12"/>
  <c r="P48" i="12"/>
  <c r="L49" i="12"/>
  <c r="H50" i="12"/>
  <c r="D51" i="12"/>
  <c r="T51" i="12"/>
  <c r="P52" i="12"/>
  <c r="L53" i="12"/>
  <c r="H54" i="12"/>
  <c r="D55" i="12"/>
  <c r="T55" i="12"/>
  <c r="P56" i="12"/>
  <c r="L57" i="12"/>
  <c r="H58" i="12"/>
  <c r="D59" i="12"/>
  <c r="T59" i="12"/>
  <c r="P60" i="12"/>
  <c r="L61" i="12"/>
  <c r="H62" i="12"/>
  <c r="D63" i="12"/>
  <c r="T63" i="12"/>
  <c r="P64" i="12"/>
  <c r="M46" i="12"/>
  <c r="I47" i="12"/>
  <c r="E48" i="12"/>
  <c r="U48" i="12"/>
  <c r="Q49" i="12"/>
  <c r="M50" i="12"/>
  <c r="I51" i="12"/>
  <c r="E52" i="12"/>
  <c r="U52" i="12"/>
  <c r="Q53" i="12"/>
  <c r="M54" i="12"/>
  <c r="I55" i="12"/>
  <c r="E56" i="12"/>
  <c r="U56" i="12"/>
  <c r="Q57" i="12"/>
  <c r="M58" i="12"/>
  <c r="I59" i="12"/>
  <c r="E60" i="12"/>
  <c r="U60" i="12"/>
  <c r="Q61" i="12"/>
  <c r="M62" i="12"/>
  <c r="I63" i="12"/>
  <c r="E64" i="12"/>
  <c r="U64" i="12"/>
  <c r="J46" i="12"/>
  <c r="F47" i="12"/>
  <c r="V47" i="12"/>
  <c r="R48" i="12"/>
  <c r="N49" i="12"/>
  <c r="J50" i="12"/>
  <c r="F51" i="12"/>
  <c r="V51" i="12"/>
  <c r="R52" i="12"/>
  <c r="N53" i="12"/>
  <c r="J54" i="12"/>
  <c r="F55" i="12"/>
  <c r="V55" i="12"/>
  <c r="R56" i="12"/>
  <c r="N57" i="12"/>
  <c r="J58" i="12"/>
  <c r="F59" i="12"/>
  <c r="V59" i="12"/>
  <c r="R60" i="12"/>
  <c r="N61" i="12"/>
  <c r="J62" i="12"/>
  <c r="F63" i="12"/>
  <c r="V63" i="12"/>
  <c r="R64" i="12"/>
  <c r="S46" i="12"/>
  <c r="S47" i="12"/>
  <c r="S48" i="12"/>
  <c r="S49" i="12"/>
  <c r="S50" i="12"/>
  <c r="S51" i="12"/>
  <c r="S52" i="12"/>
  <c r="S53" i="12"/>
  <c r="S54" i="12"/>
  <c r="S55" i="12"/>
  <c r="S56" i="12"/>
  <c r="S57" i="12"/>
  <c r="S58" i="12"/>
  <c r="S59" i="12"/>
  <c r="S60" i="12"/>
  <c r="S61" i="12"/>
  <c r="S62" i="12"/>
  <c r="S63" i="12"/>
  <c r="S64" i="12"/>
  <c r="D48" i="12"/>
  <c r="T48" i="12"/>
  <c r="P49" i="12"/>
  <c r="L50" i="12"/>
  <c r="H51" i="12"/>
  <c r="D52" i="12"/>
  <c r="T52" i="12"/>
  <c r="P53" i="12"/>
  <c r="L54" i="12"/>
  <c r="H55" i="12"/>
  <c r="D56" i="12"/>
  <c r="T56" i="12"/>
  <c r="P57" i="12"/>
  <c r="L58" i="12"/>
  <c r="H59" i="12"/>
  <c r="D60" i="12"/>
  <c r="T60" i="12"/>
  <c r="P61" i="12"/>
  <c r="L62" i="12"/>
  <c r="H63" i="12"/>
  <c r="D64" i="12"/>
  <c r="T64" i="12"/>
  <c r="Q46" i="12"/>
  <c r="M47" i="12"/>
  <c r="I48" i="12"/>
  <c r="E49" i="12"/>
  <c r="U49" i="12"/>
  <c r="Q50" i="12"/>
  <c r="M51" i="12"/>
  <c r="I52" i="12"/>
  <c r="E53" i="12"/>
  <c r="U53" i="12"/>
  <c r="Q54" i="12"/>
  <c r="M55" i="12"/>
  <c r="I56" i="12"/>
  <c r="E57" i="12"/>
  <c r="U57" i="12"/>
  <c r="Q58" i="12"/>
  <c r="M59" i="12"/>
  <c r="I60" i="12"/>
  <c r="E61" i="12"/>
  <c r="U61" i="12"/>
  <c r="Q62" i="12"/>
  <c r="M63" i="12"/>
  <c r="I64" i="12"/>
  <c r="N46" i="12"/>
  <c r="J47" i="12"/>
  <c r="F48" i="12"/>
  <c r="V48" i="12"/>
  <c r="R49" i="12"/>
  <c r="N50" i="12"/>
  <c r="J51" i="12"/>
  <c r="F52" i="12"/>
  <c r="V52" i="12"/>
  <c r="R53" i="12"/>
  <c r="N54" i="12"/>
  <c r="J55" i="12"/>
  <c r="F56" i="12"/>
  <c r="V56" i="12"/>
  <c r="R57" i="12"/>
  <c r="N58" i="12"/>
  <c r="J59" i="12"/>
  <c r="F60" i="12"/>
  <c r="V60" i="12"/>
  <c r="R61" i="12"/>
  <c r="N62" i="12"/>
  <c r="J63" i="12"/>
  <c r="F64" i="12"/>
  <c r="V64" i="12"/>
  <c r="D46" i="12"/>
  <c r="P46" i="12"/>
  <c r="T47" i="12"/>
  <c r="P47" i="12"/>
  <c r="G46" i="12"/>
  <c r="G47" i="12"/>
  <c r="G48" i="12"/>
  <c r="G49" i="12"/>
  <c r="G50" i="12"/>
  <c r="G51" i="12"/>
  <c r="G52" i="12"/>
  <c r="G53" i="12"/>
  <c r="G54" i="12"/>
  <c r="G55" i="12"/>
  <c r="G56" i="12"/>
  <c r="G57" i="12"/>
  <c r="G58" i="12"/>
  <c r="G59" i="12"/>
  <c r="G60" i="12"/>
  <c r="G61" i="12"/>
  <c r="G62" i="12"/>
  <c r="G63" i="12"/>
  <c r="G64" i="12"/>
  <c r="H48" i="12"/>
  <c r="D49" i="12"/>
  <c r="T49" i="12"/>
  <c r="P50" i="12"/>
  <c r="L51" i="12"/>
  <c r="H52" i="12"/>
  <c r="D53" i="12"/>
  <c r="T53" i="12"/>
  <c r="P54" i="12"/>
  <c r="L55" i="12"/>
  <c r="H56" i="12"/>
  <c r="D57" i="12"/>
  <c r="T57" i="12"/>
  <c r="P58" i="12"/>
  <c r="L59" i="12"/>
  <c r="H60" i="12"/>
  <c r="D61" i="12"/>
  <c r="P68" i="12" s="1"/>
  <c r="T61" i="12"/>
  <c r="P62" i="12"/>
  <c r="L63" i="12"/>
  <c r="H64" i="12"/>
  <c r="E46" i="12"/>
  <c r="U46" i="12"/>
  <c r="Q47" i="12"/>
  <c r="M48" i="12"/>
  <c r="I49" i="12"/>
  <c r="E50" i="12"/>
  <c r="U50" i="12"/>
  <c r="Q51" i="12"/>
  <c r="M52" i="12"/>
  <c r="I53" i="12"/>
  <c r="E54" i="12"/>
  <c r="U54" i="12"/>
  <c r="Q55" i="12"/>
  <c r="M56" i="12"/>
  <c r="I57" i="12"/>
  <c r="E58" i="12"/>
  <c r="U58" i="12"/>
  <c r="Q59" i="12"/>
  <c r="M60" i="12"/>
  <c r="I61" i="12"/>
  <c r="E62" i="12"/>
  <c r="U62" i="12"/>
  <c r="Q63" i="12"/>
  <c r="M64" i="12"/>
  <c r="E68" i="12"/>
  <c r="M70" i="12"/>
  <c r="I71" i="12"/>
  <c r="M74" i="12"/>
  <c r="L77" i="12"/>
  <c r="K81" i="12"/>
  <c r="R46" i="12"/>
  <c r="N47" i="12"/>
  <c r="J48" i="12"/>
  <c r="F49" i="12"/>
  <c r="V49" i="12"/>
  <c r="R50" i="12"/>
  <c r="N51" i="12"/>
  <c r="J52" i="12"/>
  <c r="F53" i="12"/>
  <c r="V53" i="12"/>
  <c r="R54" i="12"/>
  <c r="N55" i="12"/>
  <c r="J56" i="12"/>
  <c r="F57" i="12"/>
  <c r="V57" i="12"/>
  <c r="R58" i="12"/>
  <c r="N59" i="12"/>
  <c r="J60" i="12"/>
  <c r="F61" i="12"/>
  <c r="V61" i="12"/>
  <c r="R62" i="12"/>
  <c r="N63" i="12"/>
  <c r="J64" i="12"/>
  <c r="F67" i="12"/>
  <c r="V67" i="12"/>
  <c r="N69" i="12"/>
  <c r="J70" i="12"/>
  <c r="F71" i="12"/>
  <c r="R72" i="12"/>
  <c r="N73" i="12"/>
  <c r="J74" i="12"/>
  <c r="V75" i="12"/>
  <c r="G77" i="12"/>
  <c r="S80" i="12"/>
  <c r="V76" i="12"/>
  <c r="R77" i="12"/>
  <c r="N78" i="12"/>
  <c r="F80" i="12"/>
  <c r="V80" i="12"/>
  <c r="R81" i="12"/>
  <c r="J83" i="12"/>
  <c r="F84" i="12"/>
  <c r="V84" i="12"/>
  <c r="L83" i="12"/>
  <c r="U76" i="12"/>
  <c r="E80" i="12"/>
  <c r="D177" i="1"/>
  <c r="G85" i="12" l="1"/>
  <c r="D75" i="12"/>
  <c r="T71" i="12"/>
  <c r="Q73" i="12"/>
  <c r="I67" i="12"/>
  <c r="G69" i="12"/>
  <c r="G76" i="12"/>
  <c r="G72" i="12"/>
  <c r="G68" i="12"/>
  <c r="K68" i="12"/>
  <c r="K72" i="12"/>
  <c r="L76" i="12"/>
  <c r="T68" i="12"/>
  <c r="D72" i="12"/>
  <c r="H75" i="12"/>
  <c r="I68" i="12"/>
  <c r="M71" i="12"/>
  <c r="Q74" i="12"/>
  <c r="G82" i="12"/>
  <c r="J67" i="12"/>
  <c r="N70" i="12"/>
  <c r="R73" i="12"/>
  <c r="O77" i="12"/>
  <c r="V77" i="12"/>
  <c r="F81" i="12"/>
  <c r="J84" i="12"/>
  <c r="Q77" i="12"/>
  <c r="O69" i="12"/>
  <c r="O73" i="12"/>
  <c r="K79" i="12"/>
  <c r="T69" i="12"/>
  <c r="D73" i="12"/>
  <c r="H76" i="12"/>
  <c r="I69" i="12"/>
  <c r="M72" i="12"/>
  <c r="Q75" i="12"/>
  <c r="F69" i="12"/>
  <c r="J72" i="12"/>
  <c r="N75" i="12"/>
  <c r="N76" i="12"/>
  <c r="R79" i="12"/>
  <c r="V82" i="12"/>
  <c r="T81" i="12"/>
  <c r="U84" i="12"/>
  <c r="M84" i="12"/>
  <c r="I81" i="12"/>
  <c r="E78" i="12"/>
  <c r="P84" i="12"/>
  <c r="L81" i="12"/>
  <c r="H78" i="12"/>
  <c r="M83" i="12"/>
  <c r="I80" i="12"/>
  <c r="E77" i="12"/>
  <c r="P83" i="12"/>
  <c r="L80" i="12"/>
  <c r="Q84" i="12"/>
  <c r="M81" i="12"/>
  <c r="I78" i="12"/>
  <c r="T84" i="12"/>
  <c r="P81" i="12"/>
  <c r="L78" i="12"/>
  <c r="K69" i="12"/>
  <c r="K73" i="12"/>
  <c r="O78" i="12"/>
  <c r="P69" i="12"/>
  <c r="T72" i="12"/>
  <c r="D76" i="12"/>
  <c r="E69" i="12"/>
  <c r="I72" i="12"/>
  <c r="M75" i="12"/>
  <c r="F68" i="12"/>
  <c r="J71" i="12"/>
  <c r="N74" i="12"/>
  <c r="O81" i="12"/>
  <c r="R78" i="12"/>
  <c r="V81" i="12"/>
  <c r="F85" i="12"/>
  <c r="T77" i="12"/>
  <c r="U80" i="12"/>
  <c r="O70" i="12"/>
  <c r="O74" i="12"/>
  <c r="K83" i="12"/>
  <c r="L67" i="12"/>
  <c r="P70" i="12"/>
  <c r="T73" i="12"/>
  <c r="O79" i="12"/>
  <c r="E70" i="12"/>
  <c r="I73" i="12"/>
  <c r="P76" i="12"/>
  <c r="V69" i="12"/>
  <c r="F73" i="12"/>
  <c r="K76" i="12"/>
  <c r="J77" i="12"/>
  <c r="N80" i="12"/>
  <c r="R83" i="12"/>
  <c r="D85" i="12"/>
  <c r="Q83" i="12"/>
  <c r="M80" i="12"/>
  <c r="I77" i="12"/>
  <c r="T83" i="12"/>
  <c r="P80" i="12"/>
  <c r="U85" i="12"/>
  <c r="Q82" i="12"/>
  <c r="M79" i="12"/>
  <c r="T82" i="12"/>
  <c r="P79" i="12"/>
  <c r="U83" i="12"/>
  <c r="Q80" i="12"/>
  <c r="M77" i="12"/>
  <c r="D84" i="12"/>
  <c r="T80" i="12"/>
  <c r="P77" i="12"/>
  <c r="S70" i="12"/>
  <c r="S74" i="12"/>
  <c r="G84" i="12"/>
  <c r="P67" i="12"/>
  <c r="T70" i="12"/>
  <c r="D74" i="12"/>
  <c r="K80" i="12"/>
  <c r="K70" i="12"/>
  <c r="K74" i="12"/>
  <c r="O82" i="12"/>
  <c r="H67" i="12"/>
  <c r="L70" i="12"/>
  <c r="P73" i="12"/>
  <c r="S78" i="12"/>
  <c r="U69" i="12"/>
  <c r="E73" i="12"/>
  <c r="I76" i="12"/>
  <c r="V68" i="12"/>
  <c r="F72" i="12"/>
  <c r="J75" i="12"/>
  <c r="O85" i="12"/>
  <c r="J76" i="12"/>
  <c r="N79" i="12"/>
  <c r="R82" i="12"/>
  <c r="V85" i="12"/>
  <c r="D81" i="12"/>
  <c r="E84" i="12"/>
  <c r="O67" i="12"/>
  <c r="O71" i="12"/>
  <c r="O75" i="12"/>
  <c r="H68" i="12"/>
  <c r="L71" i="12"/>
  <c r="P74" i="12"/>
  <c r="O83" i="12"/>
  <c r="Q67" i="12"/>
  <c r="U70" i="12"/>
  <c r="E74" i="12"/>
  <c r="S79" i="12"/>
  <c r="N67" i="12"/>
  <c r="R70" i="12"/>
  <c r="V73" i="12"/>
  <c r="K78" i="12"/>
  <c r="F78" i="12"/>
  <c r="J81" i="12"/>
  <c r="N84" i="12"/>
  <c r="M78" i="12"/>
  <c r="K67" i="12"/>
  <c r="K71" i="12"/>
  <c r="K75" i="12"/>
  <c r="D68" i="12"/>
  <c r="H71" i="12"/>
  <c r="L74" i="12"/>
  <c r="S82" i="12"/>
  <c r="M67" i="12"/>
  <c r="Q70" i="12"/>
  <c r="U73" i="12"/>
  <c r="G78" i="12"/>
  <c r="R69" i="12"/>
  <c r="V72" i="12"/>
  <c r="F76" i="12"/>
  <c r="F77" i="12"/>
  <c r="J80" i="12"/>
  <c r="N83" i="12"/>
  <c r="H84" i="12"/>
  <c r="O68" i="12"/>
  <c r="O72" i="12"/>
  <c r="T76" i="12"/>
  <c r="D69" i="12"/>
  <c r="H72" i="12"/>
  <c r="L75" i="12"/>
  <c r="M68" i="12"/>
  <c r="Q71" i="12"/>
  <c r="U74" i="12"/>
  <c r="S83" i="12"/>
  <c r="J68" i="12"/>
  <c r="N71" i="12"/>
  <c r="R74" i="12"/>
  <c r="K82" i="12"/>
  <c r="V78" i="12"/>
  <c r="F82" i="12"/>
  <c r="J85" i="12"/>
  <c r="P78" i="12"/>
  <c r="Q81" i="12"/>
  <c r="I85" i="12"/>
  <c r="E82" i="12"/>
  <c r="U78" i="12"/>
  <c r="L85" i="12"/>
  <c r="H82" i="12"/>
  <c r="D79" i="12"/>
  <c r="I84" i="12"/>
  <c r="E81" i="12"/>
  <c r="U77" i="12"/>
  <c r="L84" i="12"/>
  <c r="H81" i="12"/>
  <c r="D78" i="12"/>
  <c r="M85" i="12"/>
  <c r="I82" i="12"/>
  <c r="E79" i="12"/>
  <c r="P85" i="12"/>
  <c r="L82" i="12"/>
  <c r="H79" i="12"/>
  <c r="Q85" i="12"/>
  <c r="P82" i="12"/>
  <c r="F83" i="12"/>
  <c r="V79" i="12"/>
  <c r="R76" i="12"/>
  <c r="R75" i="12"/>
  <c r="N72" i="12"/>
  <c r="J69" i="12"/>
  <c r="U75" i="12"/>
  <c r="Q72" i="12"/>
  <c r="M69" i="12"/>
  <c r="K84" i="12"/>
  <c r="H73" i="12"/>
  <c r="H69" i="12"/>
  <c r="G80" i="12"/>
  <c r="S72" i="12"/>
  <c r="S67" i="12"/>
  <c r="U79" i="12"/>
  <c r="H85" i="12"/>
  <c r="T79" i="12"/>
  <c r="U82" i="12"/>
  <c r="E76" i="12"/>
  <c r="U72" i="12"/>
  <c r="Q69" i="12"/>
  <c r="G81" i="12"/>
  <c r="H74" i="12"/>
  <c r="D71" i="12"/>
  <c r="T67" i="12"/>
  <c r="S85" i="12"/>
  <c r="G75" i="12"/>
  <c r="G71" i="12"/>
  <c r="G67" i="12"/>
  <c r="M82" i="12"/>
  <c r="L79" i="12"/>
  <c r="N85" i="12"/>
  <c r="J82" i="12"/>
  <c r="F79" i="12"/>
  <c r="G83" i="12"/>
  <c r="V74" i="12"/>
  <c r="R71" i="12"/>
  <c r="N68" i="12"/>
  <c r="O84" i="12"/>
  <c r="E75" i="12"/>
  <c r="U71" i="12"/>
  <c r="Q68" i="12"/>
  <c r="O76" i="12"/>
  <c r="L72" i="12"/>
  <c r="L68" i="12"/>
  <c r="H77" i="12"/>
  <c r="S71" i="12"/>
  <c r="D80" i="12"/>
  <c r="E83" i="12"/>
  <c r="Q78" i="12"/>
  <c r="D83" i="12"/>
  <c r="I83" i="12"/>
  <c r="H80" i="12"/>
  <c r="R85" i="12"/>
  <c r="N82" i="12"/>
  <c r="J79" i="12"/>
  <c r="S84" i="12"/>
  <c r="F75" i="12"/>
  <c r="V71" i="12"/>
  <c r="R68" i="12"/>
  <c r="K85" i="12"/>
  <c r="I75" i="12"/>
  <c r="E72" i="12"/>
  <c r="U68" i="12"/>
  <c r="K77" i="12"/>
  <c r="L73" i="12"/>
  <c r="H70" i="12"/>
  <c r="D67" i="12"/>
  <c r="S81" i="12"/>
  <c r="G74" i="12"/>
  <c r="G70" i="12"/>
  <c r="I79" i="12"/>
  <c r="R84" i="12"/>
  <c r="N81" i="12"/>
  <c r="J78" i="12"/>
  <c r="G79" i="12"/>
  <c r="F74" i="12"/>
  <c r="V70" i="12"/>
  <c r="R67" i="12"/>
  <c r="O80" i="12"/>
  <c r="I74" i="12"/>
  <c r="E71" i="12"/>
  <c r="U67" i="12"/>
  <c r="P75" i="12"/>
  <c r="P71" i="12"/>
  <c r="S75" i="12"/>
  <c r="S69" i="12"/>
  <c r="H83" i="12"/>
  <c r="T78" i="12"/>
  <c r="U81" i="12"/>
  <c r="M76" i="12"/>
  <c r="T75" i="12"/>
  <c r="P72" i="12"/>
  <c r="L69" i="12"/>
  <c r="S77" i="12"/>
  <c r="G73" i="12"/>
  <c r="T85" i="12"/>
  <c r="V83" i="12"/>
  <c r="R80" i="12"/>
  <c r="N77" i="12"/>
  <c r="S76" i="12"/>
  <c r="J73" i="12"/>
  <c r="F70" i="12"/>
  <c r="D77" i="12"/>
  <c r="M73" i="12"/>
  <c r="I70" i="12"/>
  <c r="E67" i="12"/>
  <c r="T74" i="12"/>
  <c r="D70" i="12"/>
  <c r="S73" i="12"/>
  <c r="S68" i="12"/>
  <c r="Q76" i="12"/>
  <c r="D82" i="12"/>
  <c r="R115" i="12" s="1"/>
  <c r="E85" i="12"/>
  <c r="Q79" i="12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J352" i="1"/>
  <c r="J353" i="1"/>
  <c r="J354" i="1"/>
  <c r="J355" i="1"/>
  <c r="J356" i="1"/>
  <c r="J357" i="1"/>
  <c r="J358" i="1"/>
  <c r="J359" i="1"/>
  <c r="J360" i="1"/>
  <c r="J361" i="1"/>
  <c r="J362" i="1"/>
  <c r="J363" i="1"/>
  <c r="J364" i="1"/>
  <c r="J365" i="1"/>
  <c r="J366" i="1"/>
  <c r="J367" i="1"/>
  <c r="J368" i="1"/>
  <c r="J369" i="1"/>
  <c r="J370" i="1"/>
  <c r="J371" i="1"/>
  <c r="J372" i="1"/>
  <c r="J373" i="1"/>
  <c r="J374" i="1"/>
  <c r="J375" i="1"/>
  <c r="J376" i="1"/>
  <c r="J377" i="1"/>
  <c r="J378" i="1"/>
  <c r="J379" i="1"/>
  <c r="J380" i="1"/>
  <c r="J381" i="1"/>
  <c r="J382" i="1"/>
  <c r="J383" i="1"/>
  <c r="J384" i="1"/>
  <c r="J385" i="1"/>
  <c r="J386" i="1"/>
  <c r="J387" i="1"/>
  <c r="J388" i="1"/>
  <c r="J389" i="1"/>
  <c r="J390" i="1"/>
  <c r="J391" i="1"/>
  <c r="J392" i="1"/>
  <c r="J393" i="1"/>
  <c r="J394" i="1"/>
  <c r="J395" i="1"/>
  <c r="J396" i="1"/>
  <c r="J397" i="1"/>
  <c r="J398" i="1"/>
  <c r="J399" i="1"/>
  <c r="J400" i="1"/>
  <c r="J401" i="1"/>
  <c r="J402" i="1"/>
  <c r="J403" i="1"/>
  <c r="J404" i="1"/>
  <c r="J405" i="1"/>
  <c r="J406" i="1"/>
  <c r="J407" i="1"/>
  <c r="J408" i="1"/>
  <c r="J409" i="1"/>
  <c r="J410" i="1"/>
  <c r="J411" i="1"/>
  <c r="J412" i="1"/>
  <c r="J413" i="1"/>
  <c r="J414" i="1"/>
  <c r="J415" i="1"/>
  <c r="J416" i="1"/>
  <c r="J417" i="1"/>
  <c r="J418" i="1"/>
  <c r="J419" i="1"/>
  <c r="J420" i="1"/>
  <c r="J421" i="1"/>
  <c r="J422" i="1"/>
  <c r="J423" i="1"/>
  <c r="J424" i="1"/>
  <c r="J425" i="1"/>
  <c r="J426" i="1"/>
  <c r="J427" i="1"/>
  <c r="J428" i="1"/>
  <c r="J429" i="1"/>
  <c r="J430" i="1"/>
  <c r="J431" i="1"/>
  <c r="J432" i="1"/>
  <c r="J433" i="1"/>
  <c r="J434" i="1"/>
  <c r="J435" i="1"/>
  <c r="J436" i="1"/>
  <c r="J437" i="1"/>
  <c r="J438" i="1"/>
  <c r="J439" i="1"/>
  <c r="J440" i="1"/>
  <c r="J441" i="1"/>
  <c r="J442" i="1"/>
  <c r="J443" i="1"/>
  <c r="J444" i="1"/>
  <c r="J445" i="1"/>
  <c r="J446" i="1"/>
  <c r="J447" i="1"/>
  <c r="J448" i="1"/>
  <c r="J449" i="1"/>
  <c r="J450" i="1"/>
  <c r="J451" i="1"/>
  <c r="J452" i="1"/>
  <c r="J453" i="1"/>
  <c r="J454" i="1"/>
  <c r="J455" i="1"/>
  <c r="J456" i="1"/>
  <c r="J457" i="1"/>
  <c r="J458" i="1"/>
  <c r="J459" i="1"/>
  <c r="J460" i="1"/>
  <c r="J461" i="1"/>
  <c r="J462" i="1"/>
  <c r="J463" i="1"/>
  <c r="J464" i="1"/>
  <c r="J465" i="1"/>
  <c r="J466" i="1"/>
  <c r="J467" i="1"/>
  <c r="J468" i="1"/>
  <c r="J469" i="1"/>
  <c r="J470" i="1"/>
  <c r="J471" i="1"/>
  <c r="J472" i="1"/>
  <c r="J473" i="1"/>
  <c r="J474" i="1"/>
  <c r="J475" i="1"/>
  <c r="J476" i="1"/>
  <c r="J477" i="1"/>
  <c r="J478" i="1"/>
  <c r="J479" i="1"/>
  <c r="J480" i="1"/>
  <c r="J481" i="1"/>
  <c r="J482" i="1"/>
  <c r="J483" i="1"/>
  <c r="J484" i="1"/>
  <c r="J485" i="1"/>
  <c r="J486" i="1"/>
  <c r="J487" i="1"/>
  <c r="J488" i="1"/>
  <c r="J489" i="1"/>
  <c r="J490" i="1"/>
  <c r="J491" i="1"/>
  <c r="J492" i="1"/>
  <c r="J493" i="1"/>
  <c r="J494" i="1"/>
  <c r="J495" i="1"/>
  <c r="J496" i="1"/>
  <c r="J497" i="1"/>
  <c r="J498" i="1"/>
  <c r="J499" i="1"/>
  <c r="J500" i="1"/>
  <c r="J501" i="1"/>
  <c r="J502" i="1"/>
  <c r="J503" i="1"/>
  <c r="J504" i="1"/>
  <c r="J505" i="1"/>
  <c r="J506" i="1"/>
  <c r="J507" i="1"/>
  <c r="J508" i="1"/>
  <c r="J509" i="1"/>
  <c r="J510" i="1"/>
  <c r="J511" i="1"/>
  <c r="J512" i="1"/>
  <c r="J513" i="1"/>
  <c r="J514" i="1"/>
  <c r="J515" i="1"/>
  <c r="J516" i="1"/>
  <c r="J517" i="1"/>
  <c r="J518" i="1"/>
  <c r="J519" i="1"/>
  <c r="J520" i="1"/>
  <c r="J521" i="1"/>
  <c r="J522" i="1"/>
  <c r="J523" i="1"/>
  <c r="J524" i="1"/>
  <c r="J525" i="1"/>
  <c r="J526" i="1"/>
  <c r="J527" i="1"/>
  <c r="J528" i="1"/>
  <c r="J529" i="1"/>
  <c r="J530" i="1"/>
  <c r="J531" i="1"/>
  <c r="J532" i="1"/>
  <c r="J533" i="1"/>
  <c r="J534" i="1"/>
  <c r="J535" i="1"/>
  <c r="J536" i="1"/>
  <c r="J537" i="1"/>
  <c r="J538" i="1"/>
  <c r="J539" i="1"/>
  <c r="J540" i="1"/>
  <c r="J541" i="1"/>
  <c r="J542" i="1"/>
  <c r="J543" i="1"/>
  <c r="J544" i="1"/>
  <c r="J545" i="1"/>
  <c r="J546" i="1"/>
  <c r="J547" i="1"/>
  <c r="J548" i="1"/>
  <c r="J549" i="1"/>
  <c r="J550" i="1"/>
  <c r="J551" i="1"/>
  <c r="J552" i="1"/>
  <c r="J553" i="1"/>
  <c r="J554" i="1"/>
  <c r="J555" i="1"/>
  <c r="J556" i="1"/>
  <c r="J557" i="1"/>
  <c r="J558" i="1"/>
  <c r="J559" i="1"/>
  <c r="J560" i="1"/>
  <c r="J561" i="1"/>
  <c r="J562" i="1"/>
  <c r="J563" i="1"/>
  <c r="J564" i="1"/>
  <c r="J565" i="1"/>
  <c r="J566" i="1"/>
  <c r="J567" i="1"/>
  <c r="J568" i="1"/>
  <c r="J569" i="1"/>
  <c r="J570" i="1"/>
  <c r="J571" i="1"/>
  <c r="J572" i="1"/>
  <c r="J573" i="1"/>
  <c r="J574" i="1"/>
  <c r="J575" i="1"/>
  <c r="J576" i="1"/>
  <c r="J577" i="1"/>
  <c r="J578" i="1"/>
  <c r="J579" i="1"/>
  <c r="J580" i="1"/>
  <c r="J581" i="1"/>
  <c r="J582" i="1"/>
  <c r="J583" i="1"/>
  <c r="J584" i="1"/>
  <c r="J585" i="1"/>
  <c r="J586" i="1"/>
  <c r="J587" i="1"/>
  <c r="J588" i="1"/>
  <c r="J589" i="1"/>
  <c r="J590" i="1"/>
  <c r="J591" i="1"/>
  <c r="J592" i="1"/>
  <c r="J593" i="1"/>
  <c r="J594" i="1"/>
  <c r="J595" i="1"/>
  <c r="J596" i="1"/>
  <c r="J597" i="1"/>
  <c r="J598" i="1"/>
  <c r="J599" i="1"/>
  <c r="J600" i="1"/>
  <c r="J601" i="1"/>
  <c r="J602" i="1"/>
  <c r="J603" i="1"/>
  <c r="J604" i="1"/>
  <c r="J605" i="1"/>
  <c r="J606" i="1"/>
  <c r="J607" i="1"/>
  <c r="J608" i="1"/>
  <c r="J609" i="1"/>
  <c r="J610" i="1"/>
  <c r="J611" i="1"/>
  <c r="J612" i="1"/>
  <c r="J613" i="1"/>
  <c r="J614" i="1"/>
  <c r="J615" i="1"/>
  <c r="J616" i="1"/>
  <c r="J617" i="1"/>
  <c r="J618" i="1"/>
  <c r="J619" i="1"/>
  <c r="J620" i="1"/>
  <c r="J621" i="1"/>
  <c r="J622" i="1"/>
  <c r="J623" i="1"/>
  <c r="J624" i="1"/>
  <c r="J625" i="1"/>
  <c r="J626" i="1"/>
  <c r="J627" i="1"/>
  <c r="J628" i="1"/>
  <c r="J629" i="1"/>
  <c r="J630" i="1"/>
  <c r="J631" i="1"/>
  <c r="J632" i="1"/>
  <c r="J633" i="1"/>
  <c r="J634" i="1"/>
  <c r="J635" i="1"/>
  <c r="J636" i="1"/>
  <c r="J637" i="1"/>
  <c r="J638" i="1"/>
  <c r="J639" i="1"/>
  <c r="J640" i="1"/>
  <c r="J641" i="1"/>
  <c r="J642" i="1"/>
  <c r="J643" i="1"/>
  <c r="J644" i="1"/>
  <c r="J645" i="1"/>
  <c r="J646" i="1"/>
  <c r="J647" i="1"/>
  <c r="J648" i="1"/>
  <c r="J649" i="1"/>
  <c r="J650" i="1"/>
  <c r="J651" i="1"/>
  <c r="J652" i="1"/>
  <c r="J653" i="1"/>
  <c r="J654" i="1"/>
  <c r="J655" i="1"/>
  <c r="J656" i="1"/>
  <c r="J657" i="1"/>
  <c r="J658" i="1"/>
  <c r="J659" i="1"/>
  <c r="J660" i="1"/>
  <c r="J661" i="1"/>
  <c r="J662" i="1"/>
  <c r="J663" i="1"/>
  <c r="J664" i="1"/>
  <c r="J665" i="1"/>
  <c r="J666" i="1"/>
  <c r="J667" i="1"/>
  <c r="J668" i="1"/>
  <c r="J669" i="1"/>
  <c r="J670" i="1"/>
  <c r="J671" i="1"/>
  <c r="J672" i="1"/>
  <c r="J673" i="1"/>
  <c r="J674" i="1"/>
  <c r="J675" i="1"/>
  <c r="J676" i="1"/>
  <c r="J677" i="1"/>
  <c r="J678" i="1"/>
  <c r="J679" i="1"/>
  <c r="J680" i="1"/>
  <c r="J681" i="1"/>
  <c r="J682" i="1"/>
  <c r="J683" i="1"/>
  <c r="J684" i="1"/>
  <c r="J685" i="1"/>
  <c r="J686" i="1"/>
  <c r="J687" i="1"/>
  <c r="J688" i="1"/>
  <c r="J689" i="1"/>
  <c r="J690" i="1"/>
  <c r="J691" i="1"/>
  <c r="J692" i="1"/>
  <c r="J693" i="1"/>
  <c r="J694" i="1"/>
  <c r="J695" i="1"/>
  <c r="J696" i="1"/>
  <c r="J697" i="1"/>
  <c r="J698" i="1"/>
  <c r="J699" i="1"/>
  <c r="J700" i="1"/>
  <c r="J701" i="1"/>
  <c r="J702" i="1"/>
  <c r="J703" i="1"/>
  <c r="J704" i="1"/>
  <c r="J705" i="1"/>
  <c r="J706" i="1"/>
  <c r="J707" i="1"/>
  <c r="J708" i="1"/>
  <c r="J709" i="1"/>
  <c r="J710" i="1"/>
  <c r="J711" i="1"/>
  <c r="J712" i="1"/>
  <c r="J713" i="1"/>
  <c r="J714" i="1"/>
  <c r="J715" i="1"/>
  <c r="J716" i="1"/>
  <c r="J717" i="1"/>
  <c r="J718" i="1"/>
  <c r="J719" i="1"/>
  <c r="J720" i="1"/>
  <c r="J721" i="1"/>
  <c r="J722" i="1"/>
  <c r="J723" i="1"/>
  <c r="J724" i="1"/>
  <c r="J725" i="1"/>
  <c r="J726" i="1"/>
  <c r="J727" i="1"/>
  <c r="J728" i="1"/>
  <c r="J729" i="1"/>
  <c r="J730" i="1"/>
  <c r="J731" i="1"/>
  <c r="J732" i="1"/>
  <c r="J733" i="1"/>
  <c r="J734" i="1"/>
  <c r="J735" i="1"/>
  <c r="J736" i="1"/>
  <c r="J737" i="1"/>
  <c r="J738" i="1"/>
  <c r="J739" i="1"/>
  <c r="J740" i="1"/>
  <c r="J741" i="1"/>
  <c r="J742" i="1"/>
  <c r="J743" i="1"/>
  <c r="J744" i="1"/>
  <c r="J745" i="1"/>
  <c r="J746" i="1"/>
  <c r="J747" i="1"/>
  <c r="J748" i="1"/>
  <c r="J749" i="1"/>
  <c r="J750" i="1"/>
  <c r="J751" i="1"/>
  <c r="J752" i="1"/>
  <c r="J753" i="1"/>
  <c r="J754" i="1"/>
  <c r="J755" i="1"/>
  <c r="J756" i="1"/>
  <c r="J757" i="1"/>
  <c r="J758" i="1"/>
  <c r="J759" i="1"/>
  <c r="J760" i="1"/>
  <c r="J761" i="1"/>
  <c r="J762" i="1"/>
  <c r="J763" i="1"/>
  <c r="J764" i="1"/>
  <c r="J765" i="1"/>
  <c r="J766" i="1"/>
  <c r="J767" i="1"/>
  <c r="J768" i="1"/>
  <c r="J769" i="1"/>
  <c r="J770" i="1"/>
  <c r="J771" i="1"/>
  <c r="J772" i="1"/>
  <c r="J773" i="1"/>
  <c r="J774" i="1"/>
  <c r="J775" i="1"/>
  <c r="J776" i="1"/>
  <c r="J777" i="1"/>
  <c r="J778" i="1"/>
  <c r="J779" i="1"/>
  <c r="J780" i="1"/>
  <c r="J781" i="1"/>
  <c r="J782" i="1"/>
  <c r="J783" i="1"/>
  <c r="J784" i="1"/>
  <c r="J785" i="1"/>
  <c r="J786" i="1"/>
  <c r="J787" i="1"/>
  <c r="J788" i="1"/>
  <c r="J789" i="1"/>
  <c r="J790" i="1"/>
  <c r="J791" i="1"/>
  <c r="J792" i="1"/>
  <c r="J793" i="1"/>
  <c r="J794" i="1"/>
  <c r="J795" i="1"/>
  <c r="J796" i="1"/>
  <c r="J797" i="1"/>
  <c r="J798" i="1"/>
  <c r="J799" i="1"/>
  <c r="J800" i="1"/>
  <c r="J801" i="1"/>
  <c r="J802" i="1"/>
  <c r="J803" i="1"/>
  <c r="J804" i="1"/>
  <c r="J805" i="1"/>
  <c r="J806" i="1"/>
  <c r="J807" i="1"/>
  <c r="J808" i="1"/>
  <c r="J809" i="1"/>
  <c r="J810" i="1"/>
  <c r="J811" i="1"/>
  <c r="J812" i="1"/>
  <c r="J813" i="1"/>
  <c r="J814" i="1"/>
  <c r="J815" i="1"/>
  <c r="J816" i="1"/>
  <c r="J817" i="1"/>
  <c r="J818" i="1"/>
  <c r="J819" i="1"/>
  <c r="J820" i="1"/>
  <c r="J821" i="1"/>
  <c r="J822" i="1"/>
  <c r="J823" i="1"/>
  <c r="J824" i="1"/>
  <c r="J825" i="1"/>
  <c r="J826" i="1"/>
  <c r="J827" i="1"/>
  <c r="J828" i="1"/>
  <c r="J829" i="1"/>
  <c r="J830" i="1"/>
  <c r="J831" i="1"/>
  <c r="J832" i="1"/>
  <c r="J833" i="1"/>
  <c r="J834" i="1"/>
  <c r="J835" i="1"/>
  <c r="J836" i="1"/>
  <c r="J837" i="1"/>
  <c r="J838" i="1"/>
  <c r="J839" i="1"/>
  <c r="J840" i="1"/>
  <c r="J841" i="1"/>
  <c r="J842" i="1"/>
  <c r="J843" i="1"/>
  <c r="J844" i="1"/>
  <c r="J845" i="1"/>
  <c r="J846" i="1"/>
  <c r="J847" i="1"/>
  <c r="J848" i="1"/>
  <c r="J849" i="1"/>
  <c r="J850" i="1"/>
  <c r="J851" i="1"/>
  <c r="J852" i="1"/>
  <c r="J853" i="1"/>
  <c r="J854" i="1"/>
  <c r="J855" i="1"/>
  <c r="J856" i="1"/>
  <c r="J857" i="1"/>
  <c r="J858" i="1"/>
  <c r="J859" i="1"/>
  <c r="J860" i="1"/>
  <c r="J861" i="1"/>
  <c r="J862" i="1"/>
  <c r="J863" i="1"/>
  <c r="J864" i="1"/>
  <c r="J865" i="1"/>
  <c r="J866" i="1"/>
  <c r="J867" i="1"/>
  <c r="J868" i="1"/>
  <c r="J869" i="1"/>
  <c r="J870" i="1"/>
  <c r="J871" i="1"/>
  <c r="J872" i="1"/>
  <c r="J873" i="1"/>
  <c r="J874" i="1"/>
  <c r="J875" i="1"/>
  <c r="J876" i="1"/>
  <c r="J877" i="1"/>
  <c r="J878" i="1"/>
  <c r="J879" i="1"/>
  <c r="J880" i="1"/>
  <c r="J881" i="1"/>
  <c r="J882" i="1"/>
  <c r="J883" i="1"/>
  <c r="J884" i="1"/>
  <c r="J885" i="1"/>
  <c r="J886" i="1"/>
  <c r="J887" i="1"/>
  <c r="J888" i="1"/>
  <c r="J889" i="1"/>
  <c r="J890" i="1"/>
  <c r="J891" i="1"/>
  <c r="J892" i="1"/>
  <c r="J893" i="1"/>
  <c r="J894" i="1"/>
  <c r="J895" i="1"/>
  <c r="J896" i="1"/>
  <c r="J897" i="1"/>
  <c r="J898" i="1"/>
  <c r="J899" i="1"/>
  <c r="J900" i="1"/>
  <c r="J901" i="1"/>
  <c r="J902" i="1"/>
  <c r="J903" i="1"/>
  <c r="J904" i="1"/>
  <c r="J905" i="1"/>
  <c r="J906" i="1"/>
  <c r="J907" i="1"/>
  <c r="J908" i="1"/>
  <c r="J909" i="1"/>
  <c r="J910" i="1"/>
  <c r="J911" i="1"/>
  <c r="J912" i="1"/>
  <c r="J913" i="1"/>
  <c r="J914" i="1"/>
  <c r="J915" i="1"/>
  <c r="J916" i="1"/>
  <c r="J917" i="1"/>
  <c r="J918" i="1"/>
  <c r="J919" i="1"/>
  <c r="J920" i="1"/>
  <c r="J921" i="1"/>
  <c r="J922" i="1"/>
  <c r="J923" i="1"/>
  <c r="J924" i="1"/>
  <c r="J925" i="1"/>
  <c r="J926" i="1"/>
  <c r="J927" i="1"/>
  <c r="J928" i="1"/>
  <c r="J929" i="1"/>
  <c r="J930" i="1"/>
  <c r="J931" i="1"/>
  <c r="J932" i="1"/>
  <c r="J933" i="1"/>
  <c r="J934" i="1"/>
  <c r="J935" i="1"/>
  <c r="J936" i="1"/>
  <c r="J937" i="1"/>
  <c r="J938" i="1"/>
  <c r="J939" i="1"/>
  <c r="J940" i="1"/>
  <c r="J941" i="1"/>
  <c r="J942" i="1"/>
  <c r="J943" i="1"/>
  <c r="J944" i="1"/>
  <c r="J945" i="1"/>
  <c r="J946" i="1"/>
  <c r="J947" i="1"/>
  <c r="J948" i="1"/>
  <c r="J949" i="1"/>
  <c r="J950" i="1"/>
  <c r="J951" i="1"/>
  <c r="J952" i="1"/>
  <c r="J953" i="1"/>
  <c r="J954" i="1"/>
  <c r="J955" i="1"/>
  <c r="J956" i="1"/>
  <c r="J957" i="1"/>
  <c r="J958" i="1"/>
  <c r="J959" i="1"/>
  <c r="J960" i="1"/>
  <c r="J961" i="1"/>
  <c r="J962" i="1"/>
  <c r="J963" i="1"/>
  <c r="J964" i="1"/>
  <c r="J965" i="1"/>
  <c r="J966" i="1"/>
  <c r="J967" i="1"/>
  <c r="J968" i="1"/>
  <c r="J969" i="1"/>
  <c r="J970" i="1"/>
  <c r="J971" i="1"/>
  <c r="J972" i="1"/>
  <c r="J973" i="1"/>
  <c r="J974" i="1"/>
  <c r="J975" i="1"/>
  <c r="J976" i="1"/>
  <c r="J977" i="1"/>
  <c r="J978" i="1"/>
  <c r="J979" i="1"/>
  <c r="J980" i="1"/>
  <c r="J981" i="1"/>
  <c r="J982" i="1"/>
  <c r="J983" i="1"/>
  <c r="J984" i="1"/>
  <c r="J985" i="1"/>
  <c r="J986" i="1"/>
  <c r="J987" i="1"/>
  <c r="J988" i="1"/>
  <c r="J989" i="1"/>
  <c r="J990" i="1"/>
  <c r="J991" i="1"/>
  <c r="J992" i="1"/>
  <c r="J993" i="1"/>
  <c r="J994" i="1"/>
  <c r="J995" i="1"/>
  <c r="J996" i="1"/>
  <c r="J997" i="1"/>
  <c r="J998" i="1"/>
  <c r="J999" i="1"/>
  <c r="J1000" i="1"/>
  <c r="J1001" i="1"/>
  <c r="J1002" i="1"/>
  <c r="J1003" i="1"/>
  <c r="J1004" i="1"/>
  <c r="J1005" i="1"/>
  <c r="J1006" i="1"/>
  <c r="J1007" i="1"/>
  <c r="J1008" i="1"/>
  <c r="J1009" i="1"/>
  <c r="J1010" i="1"/>
  <c r="J1011" i="1"/>
  <c r="J1012" i="1"/>
  <c r="J1013" i="1"/>
  <c r="J1014" i="1"/>
  <c r="J1015" i="1"/>
  <c r="J1016" i="1"/>
  <c r="J1017" i="1"/>
  <c r="J1018" i="1"/>
  <c r="J1019" i="1"/>
  <c r="J1020" i="1"/>
  <c r="J1021" i="1"/>
  <c r="J1022" i="1"/>
  <c r="J1023" i="1"/>
  <c r="J1024" i="1"/>
  <c r="J1025" i="1"/>
  <c r="J1026" i="1"/>
  <c r="J1027" i="1"/>
  <c r="J1028" i="1"/>
  <c r="J1029" i="1"/>
  <c r="J1030" i="1"/>
  <c r="J1031" i="1"/>
  <c r="J1032" i="1"/>
  <c r="J1033" i="1"/>
  <c r="J1034" i="1"/>
  <c r="J1035" i="1"/>
  <c r="J1036" i="1"/>
  <c r="J1037" i="1"/>
  <c r="J1038" i="1"/>
  <c r="J1039" i="1"/>
  <c r="J1040" i="1"/>
  <c r="J1041" i="1"/>
  <c r="J1042" i="1"/>
  <c r="J1043" i="1"/>
  <c r="J1044" i="1"/>
  <c r="J1045" i="1"/>
  <c r="J1046" i="1"/>
  <c r="J1047" i="1"/>
  <c r="J1048" i="1"/>
  <c r="J1049" i="1"/>
  <c r="J1050" i="1"/>
  <c r="J1051" i="1"/>
  <c r="J1052" i="1"/>
  <c r="J1053" i="1"/>
  <c r="J1054" i="1"/>
  <c r="J1055" i="1"/>
  <c r="J1056" i="1"/>
  <c r="J1057" i="1"/>
  <c r="J1058" i="1"/>
  <c r="J1059" i="1"/>
  <c r="J1060" i="1"/>
  <c r="J1061" i="1"/>
  <c r="J1062" i="1"/>
  <c r="J1063" i="1"/>
  <c r="J1064" i="1"/>
  <c r="J1065" i="1"/>
  <c r="J1066" i="1"/>
  <c r="J1067" i="1"/>
  <c r="J1068" i="1"/>
  <c r="J1069" i="1"/>
  <c r="J1070" i="1"/>
  <c r="J1071" i="1"/>
  <c r="J1072" i="1"/>
  <c r="J1073" i="1"/>
  <c r="J1074" i="1"/>
  <c r="J1075" i="1"/>
  <c r="J1076" i="1"/>
  <c r="J1077" i="1"/>
  <c r="J1078" i="1"/>
  <c r="J1079" i="1"/>
  <c r="J1080" i="1"/>
  <c r="J1081" i="1"/>
  <c r="J1082" i="1"/>
  <c r="J1083" i="1"/>
  <c r="J1084" i="1"/>
  <c r="J1085" i="1"/>
  <c r="J1086" i="1"/>
  <c r="J1087" i="1"/>
  <c r="J1088" i="1"/>
  <c r="J1089" i="1"/>
  <c r="J1090" i="1"/>
  <c r="J1091" i="1"/>
  <c r="J1092" i="1"/>
  <c r="J1093" i="1"/>
  <c r="J1094" i="1"/>
  <c r="J1095" i="1"/>
  <c r="J1096" i="1"/>
  <c r="J1097" i="1"/>
  <c r="J1098" i="1"/>
  <c r="J1099" i="1"/>
  <c r="J1100" i="1"/>
  <c r="J1101" i="1"/>
  <c r="J1102" i="1"/>
  <c r="J1103" i="1"/>
  <c r="J1104" i="1"/>
  <c r="J1105" i="1"/>
  <c r="J1106" i="1"/>
  <c r="J1107" i="1"/>
  <c r="J1108" i="1"/>
  <c r="J1109" i="1"/>
  <c r="J1110" i="1"/>
  <c r="J1111" i="1"/>
  <c r="J1112" i="1"/>
  <c r="J1113" i="1"/>
  <c r="J1114" i="1"/>
  <c r="J1115" i="1"/>
  <c r="J1116" i="1"/>
  <c r="J1117" i="1"/>
  <c r="J1118" i="1"/>
  <c r="J1119" i="1"/>
  <c r="J1120" i="1"/>
  <c r="J1121" i="1"/>
  <c r="J1122" i="1"/>
  <c r="J1123" i="1"/>
  <c r="J1124" i="1"/>
  <c r="J1125" i="1"/>
  <c r="J1126" i="1"/>
  <c r="J1127" i="1"/>
  <c r="J1128" i="1"/>
  <c r="J1129" i="1"/>
  <c r="J1130" i="1"/>
  <c r="J1131" i="1"/>
  <c r="J1132" i="1"/>
  <c r="J1133" i="1"/>
  <c r="J1134" i="1"/>
  <c r="J1135" i="1"/>
  <c r="J1136" i="1"/>
  <c r="J1137" i="1"/>
  <c r="J1138" i="1"/>
  <c r="J1139" i="1"/>
  <c r="J1140" i="1"/>
  <c r="J1141" i="1"/>
  <c r="J1142" i="1"/>
  <c r="J1143" i="1"/>
  <c r="J1144" i="1"/>
  <c r="J1145" i="1"/>
  <c r="J1146" i="1"/>
  <c r="J1147" i="1"/>
  <c r="J1148" i="1"/>
  <c r="J1149" i="1"/>
  <c r="J1150" i="1"/>
  <c r="J1151" i="1"/>
  <c r="J1152" i="1"/>
  <c r="J1153" i="1"/>
  <c r="J1154" i="1"/>
  <c r="J1155" i="1"/>
  <c r="J1156" i="1"/>
  <c r="J1157" i="1"/>
  <c r="J1158" i="1"/>
  <c r="J1159" i="1"/>
  <c r="J1160" i="1"/>
  <c r="J1161" i="1"/>
  <c r="J1162" i="1"/>
  <c r="J1163" i="1"/>
  <c r="J1164" i="1"/>
  <c r="J1165" i="1"/>
  <c r="J1166" i="1"/>
  <c r="J1167" i="1"/>
  <c r="J1168" i="1"/>
  <c r="J1169" i="1"/>
  <c r="J1170" i="1"/>
  <c r="J1171" i="1"/>
  <c r="J1172" i="1"/>
  <c r="J1173" i="1"/>
  <c r="J1174" i="1"/>
  <c r="J1175" i="1"/>
  <c r="J1176" i="1"/>
  <c r="J1177" i="1"/>
  <c r="J1178" i="1"/>
  <c r="J1179" i="1"/>
  <c r="J1180" i="1"/>
  <c r="J1181" i="1"/>
  <c r="J4" i="1"/>
  <c r="V118" i="12" l="1"/>
  <c r="M120" i="12"/>
  <c r="T111" i="12"/>
  <c r="N123" i="12"/>
  <c r="Q113" i="12"/>
  <c r="O119" i="12"/>
  <c r="H117" i="12"/>
  <c r="F110" i="12"/>
  <c r="F127" i="12"/>
  <c r="Q120" i="12"/>
  <c r="Q123" i="12"/>
  <c r="S115" i="12"/>
  <c r="E120" i="12"/>
  <c r="D114" i="12"/>
  <c r="F117" i="12"/>
  <c r="E114" i="12"/>
  <c r="F112" i="12"/>
  <c r="O111" i="12"/>
  <c r="G109" i="12"/>
  <c r="O115" i="12"/>
  <c r="U125" i="12"/>
  <c r="L118" i="12"/>
  <c r="R112" i="12"/>
  <c r="G119" i="12"/>
  <c r="R117" i="12"/>
  <c r="K109" i="12"/>
  <c r="U110" i="12"/>
  <c r="H118" i="12"/>
  <c r="K118" i="12"/>
  <c r="E127" i="12"/>
  <c r="F114" i="12"/>
  <c r="G123" i="12"/>
  <c r="U126" i="12"/>
  <c r="L120" i="12"/>
  <c r="S119" i="12"/>
  <c r="F116" i="12"/>
  <c r="G127" i="12"/>
  <c r="U116" i="12"/>
  <c r="F125" i="12"/>
  <c r="S114" i="12"/>
  <c r="T120" i="12"/>
  <c r="U119" i="12"/>
  <c r="G112" i="12"/>
  <c r="R124" i="12"/>
  <c r="K125" i="12"/>
  <c r="L116" i="12"/>
  <c r="M115" i="12"/>
  <c r="V120" i="12"/>
  <c r="E109" i="12"/>
  <c r="O118" i="12"/>
  <c r="D111" i="12"/>
  <c r="T123" i="12"/>
  <c r="U122" i="12"/>
  <c r="P126" i="12"/>
  <c r="G113" i="12"/>
  <c r="N120" i="12"/>
  <c r="R110" i="12"/>
  <c r="M122" i="12"/>
  <c r="N121" i="12"/>
  <c r="R123" i="12"/>
  <c r="V119" i="12"/>
  <c r="S112" i="12"/>
  <c r="H119" i="12"/>
  <c r="I118" i="12"/>
  <c r="E110" i="12"/>
  <c r="R116" i="12"/>
  <c r="K123" i="12"/>
  <c r="T114" i="12"/>
  <c r="P127" i="12"/>
  <c r="Q126" i="12"/>
  <c r="O116" i="12"/>
  <c r="L109" i="12"/>
  <c r="H122" i="12"/>
  <c r="I121" i="12"/>
  <c r="G114" i="12"/>
  <c r="F123" i="12"/>
  <c r="I111" i="12"/>
  <c r="R121" i="12"/>
  <c r="G121" i="12"/>
  <c r="M113" i="12"/>
  <c r="N122" i="12"/>
  <c r="S113" i="12"/>
  <c r="D120" i="12"/>
  <c r="E119" i="12"/>
  <c r="F111" i="12"/>
  <c r="R120" i="12"/>
  <c r="K124" i="12"/>
  <c r="P115" i="12"/>
  <c r="M127" i="12"/>
  <c r="O117" i="12"/>
  <c r="H110" i="12"/>
  <c r="D123" i="12"/>
  <c r="E122" i="12"/>
  <c r="I113" i="12"/>
  <c r="V109" i="12"/>
  <c r="E111" i="12"/>
  <c r="P122" i="12"/>
  <c r="F122" i="12"/>
  <c r="I123" i="12"/>
  <c r="G124" i="12"/>
  <c r="R125" i="12"/>
  <c r="O123" i="12"/>
  <c r="T124" i="12"/>
  <c r="J109" i="12"/>
  <c r="S118" i="12"/>
  <c r="H111" i="12"/>
  <c r="D124" i="12"/>
  <c r="E123" i="12"/>
  <c r="F121" i="12"/>
  <c r="K113" i="12"/>
  <c r="P119" i="12"/>
  <c r="Q118" i="12"/>
  <c r="I109" i="12"/>
  <c r="M114" i="12"/>
  <c r="O122" i="12"/>
  <c r="H114" i="12"/>
  <c r="D127" i="12"/>
  <c r="E126" i="12"/>
  <c r="T113" i="12"/>
  <c r="R113" i="12"/>
  <c r="J122" i="12"/>
  <c r="V113" i="12"/>
  <c r="L119" i="12"/>
  <c r="G118" i="12"/>
  <c r="J112" i="12"/>
  <c r="I115" i="12"/>
  <c r="G125" i="12"/>
  <c r="V114" i="12"/>
  <c r="N110" i="12"/>
  <c r="S116" i="12"/>
  <c r="P109" i="12"/>
  <c r="L122" i="12"/>
  <c r="M121" i="12"/>
  <c r="V115" i="12"/>
  <c r="V127" i="12"/>
  <c r="K127" i="12"/>
  <c r="D118" i="12"/>
  <c r="E117" i="12"/>
  <c r="F126" i="12"/>
  <c r="G111" i="12"/>
  <c r="O120" i="12"/>
  <c r="P112" i="12"/>
  <c r="L125" i="12"/>
  <c r="M124" i="12"/>
  <c r="H120" i="12"/>
  <c r="T125" i="12"/>
  <c r="I110" i="12"/>
  <c r="S117" i="12"/>
  <c r="L110" i="12"/>
  <c r="H123" i="12"/>
  <c r="I122" i="12"/>
  <c r="N118" i="12"/>
  <c r="K112" i="12"/>
  <c r="T118" i="12"/>
  <c r="U117" i="12"/>
  <c r="Q112" i="12"/>
  <c r="O121" i="12"/>
  <c r="L113" i="12"/>
  <c r="H126" i="12"/>
  <c r="I125" i="12"/>
  <c r="D117" i="12"/>
  <c r="V126" i="12"/>
  <c r="T109" i="12"/>
  <c r="N113" i="12"/>
  <c r="U112" i="12"/>
  <c r="P121" i="12"/>
  <c r="D121" i="12"/>
  <c r="L121" i="12"/>
  <c r="K122" i="12"/>
  <c r="N114" i="12"/>
  <c r="P123" i="12"/>
  <c r="S123" i="12"/>
  <c r="M126" i="12"/>
  <c r="P124" i="12"/>
  <c r="I116" i="12"/>
  <c r="K126" i="12"/>
  <c r="N111" i="12"/>
  <c r="V125" i="12"/>
  <c r="G115" i="12"/>
  <c r="T126" i="12"/>
  <c r="M117" i="12"/>
  <c r="S127" i="12"/>
  <c r="J116" i="12"/>
  <c r="O109" i="12"/>
  <c r="L111" i="12"/>
  <c r="I127" i="12"/>
  <c r="I117" i="12"/>
  <c r="O127" i="12"/>
  <c r="T110" i="12"/>
  <c r="O110" i="12"/>
  <c r="J124" i="12"/>
  <c r="J115" i="12"/>
  <c r="P114" i="12"/>
  <c r="M109" i="12"/>
  <c r="T127" i="12"/>
  <c r="J110" i="12"/>
  <c r="M119" i="12"/>
  <c r="D112" i="12"/>
  <c r="K110" i="12"/>
  <c r="R127" i="12"/>
  <c r="T117" i="12"/>
  <c r="N109" i="12"/>
  <c r="U114" i="12"/>
  <c r="S122" i="12"/>
  <c r="L114" i="12"/>
  <c r="H127" i="12"/>
  <c r="I126" i="12"/>
  <c r="K117" i="12"/>
  <c r="D110" i="12"/>
  <c r="T122" i="12"/>
  <c r="U121" i="12"/>
  <c r="J114" i="12"/>
  <c r="J127" i="12"/>
  <c r="O126" i="12"/>
  <c r="L117" i="12"/>
  <c r="M116" i="12"/>
  <c r="Q125" i="12"/>
  <c r="R109" i="12"/>
  <c r="L123" i="12"/>
  <c r="V111" i="12"/>
  <c r="Q109" i="12"/>
  <c r="R119" i="12"/>
  <c r="M111" i="12"/>
  <c r="S120" i="12"/>
  <c r="T112" i="12"/>
  <c r="P125" i="12"/>
  <c r="Q124" i="12"/>
  <c r="N126" i="12"/>
  <c r="K115" i="12"/>
  <c r="H121" i="12"/>
  <c r="I120" i="12"/>
  <c r="K111" i="12"/>
  <c r="J121" i="12"/>
  <c r="O124" i="12"/>
  <c r="T115" i="12"/>
  <c r="Q127" i="12"/>
  <c r="S110" i="12"/>
  <c r="D113" i="12"/>
  <c r="R111" i="12"/>
  <c r="J120" i="12"/>
  <c r="J113" i="12"/>
  <c r="S121" i="12"/>
  <c r="P113" i="12"/>
  <c r="L126" i="12"/>
  <c r="M125" i="12"/>
  <c r="K116" i="12"/>
  <c r="H109" i="12"/>
  <c r="D122" i="12"/>
  <c r="E121" i="12"/>
  <c r="N112" i="12"/>
  <c r="J125" i="12"/>
  <c r="O125" i="12"/>
  <c r="P116" i="12"/>
  <c r="Q115" i="12"/>
  <c r="Q121" i="12"/>
  <c r="F120" i="12"/>
  <c r="H124" i="12"/>
  <c r="V117" i="12"/>
  <c r="P118" i="12"/>
  <c r="Q117" i="12"/>
  <c r="F113" i="12"/>
  <c r="M112" i="12"/>
  <c r="S111" i="12"/>
  <c r="N119" i="12"/>
  <c r="J118" i="12"/>
  <c r="Q110" i="12"/>
  <c r="G120" i="12"/>
  <c r="H112" i="12"/>
  <c r="D125" i="12"/>
  <c r="E124" i="12"/>
  <c r="M110" i="12"/>
  <c r="V116" i="12"/>
  <c r="G116" i="12"/>
  <c r="D109" i="12"/>
  <c r="T121" i="12"/>
  <c r="U120" i="12"/>
  <c r="E113" i="12"/>
  <c r="V124" i="12"/>
  <c r="J126" i="12"/>
  <c r="J119" i="12"/>
  <c r="L115" i="12"/>
  <c r="N116" i="12"/>
  <c r="Q122" i="12"/>
  <c r="H115" i="12"/>
  <c r="R118" i="12"/>
  <c r="F109" i="12"/>
  <c r="S109" i="12"/>
  <c r="L127" i="12"/>
  <c r="D115" i="12"/>
  <c r="J117" i="12"/>
  <c r="K114" i="12"/>
  <c r="V123" i="12"/>
  <c r="U123" i="12"/>
  <c r="F124" i="12"/>
  <c r="G110" i="12"/>
  <c r="F115" i="12"/>
  <c r="R114" i="12"/>
  <c r="N127" i="12"/>
  <c r="S126" i="12"/>
  <c r="P117" i="12"/>
  <c r="Q116" i="12"/>
  <c r="I112" i="12"/>
  <c r="K121" i="12"/>
  <c r="H113" i="12"/>
  <c r="D126" i="12"/>
  <c r="E125" i="12"/>
  <c r="N124" i="12"/>
  <c r="O114" i="12"/>
  <c r="P120" i="12"/>
  <c r="Q119" i="12"/>
  <c r="G122" i="12"/>
  <c r="U113" i="12"/>
  <c r="M118" i="12"/>
  <c r="N117" i="12"/>
  <c r="I114" i="12"/>
  <c r="P110" i="12"/>
  <c r="Q114" i="12"/>
  <c r="H116" i="12"/>
  <c r="J123" i="12"/>
  <c r="Q111" i="12"/>
  <c r="R122" i="12"/>
  <c r="S124" i="12"/>
  <c r="D116" i="12"/>
  <c r="E115" i="12"/>
  <c r="U127" i="12"/>
  <c r="V122" i="12"/>
  <c r="U109" i="12"/>
  <c r="K119" i="12"/>
  <c r="P111" i="12"/>
  <c r="L124" i="12"/>
  <c r="M123" i="12"/>
  <c r="F119" i="12"/>
  <c r="O112" i="12"/>
  <c r="D119" i="12"/>
  <c r="E118" i="12"/>
  <c r="I119" i="12"/>
  <c r="F118" i="12"/>
  <c r="J111" i="12"/>
  <c r="U124" i="12"/>
  <c r="V112" i="12"/>
  <c r="R126" i="12"/>
  <c r="S125" i="12"/>
  <c r="T116" i="12"/>
  <c r="U115" i="12"/>
  <c r="N125" i="12"/>
  <c r="V110" i="12"/>
  <c r="K120" i="12"/>
  <c r="L112" i="12"/>
  <c r="H125" i="12"/>
  <c r="I124" i="12"/>
  <c r="V121" i="12"/>
  <c r="O113" i="12"/>
  <c r="T119" i="12"/>
  <c r="U118" i="12"/>
  <c r="E116" i="12"/>
  <c r="G126" i="12"/>
  <c r="N115" i="12"/>
  <c r="G117" i="12"/>
  <c r="E112" i="12"/>
  <c r="U111" i="12"/>
  <c r="D4" i="9"/>
  <c r="H8" i="9" l="1"/>
  <c r="L8" i="9"/>
  <c r="P8" i="9"/>
  <c r="T8" i="9"/>
  <c r="G8" i="9"/>
  <c r="K8" i="9"/>
  <c r="O8" i="9"/>
  <c r="S8" i="9"/>
  <c r="E8" i="9"/>
  <c r="I8" i="9"/>
  <c r="M8" i="9"/>
  <c r="Q8" i="9"/>
  <c r="U8" i="9"/>
  <c r="F8" i="9"/>
  <c r="J8" i="9"/>
  <c r="N8" i="9"/>
  <c r="R8" i="9"/>
  <c r="D8" i="9"/>
  <c r="E4" i="9"/>
  <c r="F4" i="9"/>
  <c r="G4" i="9"/>
  <c r="H4" i="9"/>
  <c r="I4" i="9"/>
  <c r="J4" i="9"/>
  <c r="K4" i="9"/>
  <c r="L4" i="9"/>
  <c r="M4" i="9"/>
  <c r="N4" i="9"/>
  <c r="O4" i="9"/>
  <c r="P4" i="9"/>
  <c r="Q4" i="9"/>
  <c r="R4" i="9"/>
  <c r="S4" i="9"/>
  <c r="T4" i="9"/>
  <c r="U4" i="9"/>
  <c r="Q12" i="9" l="1"/>
  <c r="S12" i="9"/>
  <c r="G12" i="9"/>
  <c r="J12" i="9"/>
  <c r="U12" i="9"/>
  <c r="P12" i="9"/>
  <c r="O12" i="9"/>
  <c r="I12" i="9"/>
  <c r="T12" i="9"/>
  <c r="R12" i="9"/>
  <c r="F12" i="9"/>
  <c r="M12" i="9"/>
  <c r="H12" i="9"/>
  <c r="D12" i="9"/>
  <c r="E12" i="9"/>
  <c r="L12" i="9"/>
  <c r="K12" i="9"/>
  <c r="N12" i="9"/>
  <c r="D1" i="11"/>
  <c r="D1" i="10"/>
  <c r="H1" i="5"/>
  <c r="F16" i="9" l="1"/>
  <c r="O16" i="9"/>
  <c r="L16" i="9"/>
  <c r="H16" i="9"/>
  <c r="R16" i="9"/>
  <c r="Q16" i="9"/>
  <c r="G16" i="9"/>
  <c r="S16" i="9"/>
  <c r="P16" i="9"/>
  <c r="M16" i="9"/>
  <c r="I16" i="9"/>
  <c r="U16" i="9"/>
  <c r="N16" i="9"/>
  <c r="K16" i="9"/>
  <c r="T16" i="9"/>
  <c r="D16" i="9"/>
  <c r="D20" i="9" s="1"/>
  <c r="E16" i="9"/>
  <c r="J16" i="9"/>
  <c r="D1181" i="1"/>
  <c r="D1180" i="1"/>
  <c r="D1179" i="1"/>
  <c r="D1178" i="1"/>
  <c r="D1177" i="1"/>
  <c r="D1176" i="1"/>
  <c r="D1175" i="1"/>
  <c r="D1174" i="1"/>
  <c r="D1173" i="1"/>
  <c r="D1172" i="1"/>
  <c r="D1171" i="1"/>
  <c r="D1170" i="1"/>
  <c r="D1169" i="1"/>
  <c r="D1168" i="1"/>
  <c r="D1167" i="1"/>
  <c r="D1166" i="1"/>
  <c r="D1165" i="1"/>
  <c r="D1164" i="1"/>
  <c r="D1163" i="1"/>
  <c r="D1162" i="1"/>
  <c r="D1161" i="1"/>
  <c r="D1160" i="1"/>
  <c r="D1159" i="1"/>
  <c r="D1158" i="1"/>
  <c r="D1157" i="1"/>
  <c r="D1156" i="1"/>
  <c r="D1155" i="1"/>
  <c r="D1154" i="1"/>
  <c r="D1153" i="1"/>
  <c r="D1152" i="1"/>
  <c r="D1151" i="1"/>
  <c r="D1150" i="1"/>
  <c r="D1149" i="1"/>
  <c r="D1148" i="1"/>
  <c r="D1147" i="1"/>
  <c r="D1146" i="1"/>
  <c r="D1145" i="1"/>
  <c r="D1144" i="1"/>
  <c r="D1143" i="1"/>
  <c r="D1142" i="1"/>
  <c r="D1141" i="1"/>
  <c r="D1140" i="1"/>
  <c r="D1139" i="1"/>
  <c r="D1138" i="1"/>
  <c r="D1137" i="1"/>
  <c r="D1136" i="1"/>
  <c r="D1135" i="1"/>
  <c r="D1134" i="1"/>
  <c r="D1133" i="1"/>
  <c r="D1132" i="1"/>
  <c r="D1131" i="1"/>
  <c r="D1130" i="1"/>
  <c r="D1129" i="1"/>
  <c r="D1128" i="1"/>
  <c r="D1127" i="1"/>
  <c r="D1126" i="1"/>
  <c r="D1125" i="1"/>
  <c r="D1124" i="1"/>
  <c r="D1123" i="1"/>
  <c r="D1122" i="1"/>
  <c r="D1121" i="1"/>
  <c r="D1120" i="1"/>
  <c r="D1119" i="1"/>
  <c r="D1118" i="1"/>
  <c r="D1117" i="1"/>
  <c r="D1116" i="1"/>
  <c r="D1115" i="1"/>
  <c r="D1114" i="1"/>
  <c r="D1113" i="1"/>
  <c r="D1112" i="1"/>
  <c r="D1111" i="1"/>
  <c r="D1110" i="1"/>
  <c r="D1109" i="1"/>
  <c r="D1108" i="1"/>
  <c r="D1107" i="1"/>
  <c r="D1106" i="1"/>
  <c r="D1105" i="1"/>
  <c r="D1104" i="1"/>
  <c r="D1103" i="1"/>
  <c r="D1102" i="1"/>
  <c r="D1101" i="1"/>
  <c r="D1100" i="1"/>
  <c r="D1099" i="1"/>
  <c r="D1098" i="1"/>
  <c r="D1097" i="1"/>
  <c r="D1096" i="1"/>
  <c r="D1095" i="1"/>
  <c r="D1094" i="1"/>
  <c r="D1093" i="1"/>
  <c r="D1092" i="1"/>
  <c r="D1091" i="1"/>
  <c r="D1090" i="1"/>
  <c r="D1089" i="1"/>
  <c r="D1088" i="1"/>
  <c r="D1087" i="1"/>
  <c r="D1086" i="1"/>
  <c r="D1085" i="1"/>
  <c r="D1084" i="1"/>
  <c r="D1083" i="1"/>
  <c r="D1082" i="1"/>
  <c r="D1081" i="1"/>
  <c r="D1080" i="1"/>
  <c r="D1079" i="1"/>
  <c r="D1078" i="1"/>
  <c r="D1077" i="1"/>
  <c r="D1076" i="1"/>
  <c r="D1075" i="1"/>
  <c r="D1074" i="1"/>
  <c r="D1073" i="1"/>
  <c r="D1072" i="1"/>
  <c r="D1071" i="1"/>
  <c r="D1070" i="1"/>
  <c r="D1069" i="1"/>
  <c r="D1068" i="1"/>
  <c r="D1067" i="1"/>
  <c r="D1066" i="1"/>
  <c r="D1065" i="1"/>
  <c r="D1064" i="1"/>
  <c r="D1063" i="1"/>
  <c r="D1062" i="1"/>
  <c r="D1061" i="1"/>
  <c r="D1060" i="1"/>
  <c r="D1059" i="1"/>
  <c r="D1058" i="1"/>
  <c r="D1057" i="1"/>
  <c r="D1056" i="1"/>
  <c r="D1055" i="1"/>
  <c r="D1054" i="1"/>
  <c r="D1053" i="1"/>
  <c r="D1052" i="1"/>
  <c r="D1051" i="1"/>
  <c r="D1050" i="1"/>
  <c r="D1049" i="1"/>
  <c r="D1048" i="1"/>
  <c r="D1047" i="1"/>
  <c r="D1046" i="1"/>
  <c r="D1045" i="1"/>
  <c r="D1044" i="1"/>
  <c r="D1043" i="1"/>
  <c r="D1042" i="1"/>
  <c r="D1041" i="1"/>
  <c r="D1040" i="1"/>
  <c r="D1039" i="1"/>
  <c r="D1038" i="1"/>
  <c r="D1037" i="1"/>
  <c r="D1036" i="1"/>
  <c r="D1035" i="1"/>
  <c r="D1034" i="1"/>
  <c r="D1033" i="1"/>
  <c r="D1032" i="1"/>
  <c r="D1031" i="1"/>
  <c r="D1030" i="1"/>
  <c r="D1029" i="1"/>
  <c r="D1028" i="1"/>
  <c r="D1027" i="1"/>
  <c r="D1026" i="1"/>
  <c r="D1025" i="1"/>
  <c r="D1024" i="1"/>
  <c r="D1023" i="1"/>
  <c r="D1022" i="1"/>
  <c r="D1021" i="1"/>
  <c r="D1020" i="1"/>
  <c r="D1019" i="1"/>
  <c r="D1018" i="1"/>
  <c r="D1017" i="1"/>
  <c r="D1016" i="1"/>
  <c r="D1015" i="1"/>
  <c r="D1014" i="1"/>
  <c r="D1013" i="1"/>
  <c r="D1012" i="1"/>
  <c r="D1011" i="1"/>
  <c r="D1010" i="1"/>
  <c r="D1009" i="1"/>
  <c r="D1008" i="1"/>
  <c r="D1007" i="1"/>
  <c r="D1006" i="1"/>
  <c r="D1005" i="1"/>
  <c r="D1004" i="1"/>
  <c r="D1003" i="1"/>
  <c r="D1002" i="1"/>
  <c r="D1001" i="1"/>
  <c r="D1000" i="1"/>
  <c r="D999" i="1"/>
  <c r="D998" i="1"/>
  <c r="D997" i="1"/>
  <c r="D996" i="1"/>
  <c r="D995" i="1"/>
  <c r="D994" i="1"/>
  <c r="D993" i="1"/>
  <c r="D992" i="1"/>
  <c r="D991" i="1"/>
  <c r="D990" i="1"/>
  <c r="D989" i="1"/>
  <c r="D988" i="1"/>
  <c r="D987" i="1"/>
  <c r="D986" i="1"/>
  <c r="D985" i="1"/>
  <c r="D984" i="1"/>
  <c r="D983" i="1"/>
  <c r="D982" i="1"/>
  <c r="D981" i="1"/>
  <c r="D980" i="1"/>
  <c r="D979" i="1"/>
  <c r="D978" i="1"/>
  <c r="D977" i="1"/>
  <c r="D976" i="1"/>
  <c r="D975" i="1"/>
  <c r="D974" i="1"/>
  <c r="D973" i="1"/>
  <c r="D972" i="1"/>
  <c r="D971" i="1"/>
  <c r="D970" i="1"/>
  <c r="D969" i="1"/>
  <c r="D968" i="1"/>
  <c r="D967" i="1"/>
  <c r="D966" i="1"/>
  <c r="D965" i="1"/>
  <c r="D964" i="1"/>
  <c r="D963" i="1"/>
  <c r="D962" i="1"/>
  <c r="D961" i="1"/>
  <c r="D960" i="1"/>
  <c r="D959" i="1"/>
  <c r="D958" i="1"/>
  <c r="D957" i="1"/>
  <c r="D956" i="1"/>
  <c r="D955" i="1"/>
  <c r="D954" i="1"/>
  <c r="D953" i="1"/>
  <c r="D952" i="1"/>
  <c r="D951" i="1"/>
  <c r="D950" i="1"/>
  <c r="D949" i="1"/>
  <c r="D948" i="1"/>
  <c r="D947" i="1"/>
  <c r="D946" i="1"/>
  <c r="D945" i="1"/>
  <c r="D944" i="1"/>
  <c r="D943" i="1"/>
  <c r="D942" i="1"/>
  <c r="D941" i="1"/>
  <c r="D940" i="1"/>
  <c r="D939" i="1"/>
  <c r="D938" i="1"/>
  <c r="D937" i="1"/>
  <c r="D936" i="1"/>
  <c r="D935" i="1"/>
  <c r="D934" i="1"/>
  <c r="D933" i="1"/>
  <c r="D932" i="1"/>
  <c r="D931" i="1"/>
  <c r="D930" i="1"/>
  <c r="D929" i="1"/>
  <c r="D928" i="1"/>
  <c r="D927" i="1"/>
  <c r="D926" i="1"/>
  <c r="D925" i="1"/>
  <c r="D924" i="1"/>
  <c r="D923" i="1"/>
  <c r="D922" i="1"/>
  <c r="D921" i="1"/>
  <c r="D920" i="1"/>
  <c r="D919" i="1"/>
  <c r="D918" i="1"/>
  <c r="D917" i="1"/>
  <c r="D916" i="1"/>
  <c r="D915" i="1"/>
  <c r="D914" i="1"/>
  <c r="D913" i="1"/>
  <c r="D912" i="1"/>
  <c r="D911" i="1"/>
  <c r="D910" i="1"/>
  <c r="D909" i="1"/>
  <c r="D908" i="1"/>
  <c r="D907" i="1"/>
  <c r="D906" i="1"/>
  <c r="D905" i="1"/>
  <c r="D904" i="1"/>
  <c r="D903" i="1"/>
  <c r="D902" i="1"/>
  <c r="D901" i="1"/>
  <c r="D900" i="1"/>
  <c r="D899" i="1"/>
  <c r="D898" i="1"/>
  <c r="D897" i="1"/>
  <c r="D896" i="1"/>
  <c r="D895" i="1"/>
  <c r="D894" i="1"/>
  <c r="D893" i="1"/>
  <c r="D892" i="1"/>
  <c r="D891" i="1"/>
  <c r="D890" i="1"/>
  <c r="D889" i="1"/>
  <c r="D888" i="1"/>
  <c r="D887" i="1"/>
  <c r="D886" i="1"/>
  <c r="D885" i="1"/>
  <c r="D884" i="1"/>
  <c r="D883" i="1"/>
  <c r="D882" i="1"/>
  <c r="D881" i="1"/>
  <c r="D880" i="1"/>
  <c r="D879" i="1"/>
  <c r="D878" i="1"/>
  <c r="D877" i="1"/>
  <c r="D876" i="1"/>
  <c r="D875" i="1"/>
  <c r="D874" i="1"/>
  <c r="D873" i="1"/>
  <c r="D872" i="1"/>
  <c r="D871" i="1"/>
  <c r="D870" i="1"/>
  <c r="D869" i="1"/>
  <c r="D868" i="1"/>
  <c r="D867" i="1"/>
  <c r="D866" i="1"/>
  <c r="D865" i="1"/>
  <c r="D864" i="1"/>
  <c r="D863" i="1"/>
  <c r="D862" i="1"/>
  <c r="D861" i="1"/>
  <c r="D860" i="1"/>
  <c r="D859" i="1"/>
  <c r="D858" i="1"/>
  <c r="D857" i="1"/>
  <c r="D856" i="1"/>
  <c r="D855" i="1"/>
  <c r="D854" i="1"/>
  <c r="D853" i="1"/>
  <c r="D852" i="1"/>
  <c r="D851" i="1"/>
  <c r="D850" i="1"/>
  <c r="D849" i="1"/>
  <c r="D848" i="1"/>
  <c r="D847" i="1"/>
  <c r="D846" i="1"/>
  <c r="D845" i="1"/>
  <c r="D844" i="1"/>
  <c r="D843" i="1"/>
  <c r="D842" i="1"/>
  <c r="D841" i="1"/>
  <c r="D840" i="1"/>
  <c r="D839" i="1"/>
  <c r="D838" i="1"/>
  <c r="D837" i="1"/>
  <c r="D836" i="1"/>
  <c r="D835" i="1"/>
  <c r="D834" i="1"/>
  <c r="D833" i="1"/>
  <c r="D832" i="1"/>
  <c r="D831" i="1"/>
  <c r="D830" i="1"/>
  <c r="D829" i="1"/>
  <c r="D828" i="1"/>
  <c r="D827" i="1"/>
  <c r="D826" i="1"/>
  <c r="D825" i="1"/>
  <c r="D824" i="1"/>
  <c r="D823" i="1"/>
  <c r="D822" i="1"/>
  <c r="D821" i="1"/>
  <c r="D820" i="1"/>
  <c r="D819" i="1"/>
  <c r="D818" i="1"/>
  <c r="D817" i="1"/>
  <c r="D816" i="1"/>
  <c r="D815" i="1"/>
  <c r="D814" i="1"/>
  <c r="D813" i="1"/>
  <c r="D812" i="1"/>
  <c r="D811" i="1"/>
  <c r="D810" i="1"/>
  <c r="D809" i="1"/>
  <c r="D808" i="1"/>
  <c r="D807" i="1"/>
  <c r="D806" i="1"/>
  <c r="D805" i="1"/>
  <c r="D804" i="1"/>
  <c r="D803" i="1"/>
  <c r="D802" i="1"/>
  <c r="D801" i="1"/>
  <c r="D800" i="1"/>
  <c r="D799" i="1"/>
  <c r="D798" i="1"/>
  <c r="D797" i="1"/>
  <c r="D796" i="1"/>
  <c r="D795" i="1"/>
  <c r="D794" i="1"/>
  <c r="D793" i="1"/>
  <c r="D792" i="1"/>
  <c r="D791" i="1"/>
  <c r="D790" i="1"/>
  <c r="D789" i="1"/>
  <c r="D788" i="1"/>
  <c r="D787" i="1"/>
  <c r="D786" i="1"/>
  <c r="D785" i="1"/>
  <c r="D784" i="1"/>
  <c r="D783" i="1"/>
  <c r="D782" i="1"/>
  <c r="D781" i="1"/>
  <c r="D780" i="1"/>
  <c r="D779" i="1"/>
  <c r="D778" i="1"/>
  <c r="D777" i="1"/>
  <c r="D776" i="1"/>
  <c r="D775" i="1"/>
  <c r="D774" i="1"/>
  <c r="D773" i="1"/>
  <c r="D772" i="1"/>
  <c r="D771" i="1"/>
  <c r="D770" i="1"/>
  <c r="D769" i="1"/>
  <c r="D768" i="1"/>
  <c r="D767" i="1"/>
  <c r="D766" i="1"/>
  <c r="D765" i="1"/>
  <c r="D764" i="1"/>
  <c r="D763" i="1"/>
  <c r="D762" i="1"/>
  <c r="D761" i="1"/>
  <c r="D760" i="1"/>
  <c r="D759" i="1"/>
  <c r="D758" i="1"/>
  <c r="D757" i="1"/>
  <c r="D756" i="1"/>
  <c r="D755" i="1"/>
  <c r="D754" i="1"/>
  <c r="D753" i="1"/>
  <c r="D752" i="1"/>
  <c r="D751" i="1"/>
  <c r="D750" i="1"/>
  <c r="D749" i="1"/>
  <c r="D748" i="1"/>
  <c r="D747" i="1"/>
  <c r="D746" i="1"/>
  <c r="D745" i="1"/>
  <c r="D744" i="1"/>
  <c r="D743" i="1"/>
  <c r="D742" i="1"/>
  <c r="D741" i="1"/>
  <c r="D740" i="1"/>
  <c r="D739" i="1"/>
  <c r="D738" i="1"/>
  <c r="D737" i="1"/>
  <c r="D736" i="1"/>
  <c r="D735" i="1"/>
  <c r="D734" i="1"/>
  <c r="D733" i="1"/>
  <c r="D732" i="1"/>
  <c r="D731" i="1"/>
  <c r="D730" i="1"/>
  <c r="D729" i="1"/>
  <c r="D728" i="1"/>
  <c r="D727" i="1"/>
  <c r="D726" i="1"/>
  <c r="D725" i="1"/>
  <c r="D724" i="1"/>
  <c r="D723" i="1"/>
  <c r="D722" i="1"/>
  <c r="D721" i="1"/>
  <c r="D720" i="1"/>
  <c r="D719" i="1"/>
  <c r="D718" i="1"/>
  <c r="D717" i="1"/>
  <c r="D716" i="1"/>
  <c r="D715" i="1"/>
  <c r="D714" i="1"/>
  <c r="D713" i="1"/>
  <c r="D712" i="1"/>
  <c r="D711" i="1"/>
  <c r="D710" i="1"/>
  <c r="D709" i="1"/>
  <c r="D708" i="1"/>
  <c r="D707" i="1"/>
  <c r="D706" i="1"/>
  <c r="D705" i="1"/>
  <c r="D704" i="1"/>
  <c r="D703" i="1"/>
  <c r="D702" i="1"/>
  <c r="D701" i="1"/>
  <c r="D700" i="1"/>
  <c r="D699" i="1"/>
  <c r="D698" i="1"/>
  <c r="D697" i="1"/>
  <c r="D696" i="1"/>
  <c r="D695" i="1"/>
  <c r="D694" i="1"/>
  <c r="D693" i="1"/>
  <c r="D692" i="1"/>
  <c r="D691" i="1"/>
  <c r="D690" i="1"/>
  <c r="D689" i="1"/>
  <c r="D688" i="1"/>
  <c r="D687" i="1"/>
  <c r="D686" i="1"/>
  <c r="D685" i="1"/>
  <c r="D684" i="1"/>
  <c r="D683" i="1"/>
  <c r="D682" i="1"/>
  <c r="D681" i="1"/>
  <c r="D680" i="1"/>
  <c r="D679" i="1"/>
  <c r="D678" i="1"/>
  <c r="D677" i="1"/>
  <c r="D676" i="1"/>
  <c r="D675" i="1"/>
  <c r="D674" i="1"/>
  <c r="D673" i="1"/>
  <c r="D672" i="1"/>
  <c r="D671" i="1"/>
  <c r="D670" i="1"/>
  <c r="D669" i="1"/>
  <c r="D668" i="1"/>
  <c r="D667" i="1"/>
  <c r="D666" i="1"/>
  <c r="D665" i="1"/>
  <c r="D664" i="1"/>
  <c r="D663" i="1"/>
  <c r="D662" i="1"/>
  <c r="D661" i="1"/>
  <c r="D660" i="1"/>
  <c r="D659" i="1"/>
  <c r="D658" i="1"/>
  <c r="D657" i="1"/>
  <c r="D656" i="1"/>
  <c r="D655" i="1"/>
  <c r="D654" i="1"/>
  <c r="D653" i="1"/>
  <c r="D652" i="1"/>
  <c r="D651" i="1"/>
  <c r="D650" i="1"/>
  <c r="D649" i="1"/>
  <c r="D648" i="1"/>
  <c r="D647" i="1"/>
  <c r="D646" i="1"/>
  <c r="D645" i="1"/>
  <c r="D644" i="1"/>
  <c r="D643" i="1"/>
  <c r="D642" i="1"/>
  <c r="D641" i="1"/>
  <c r="D640" i="1"/>
  <c r="D639" i="1"/>
  <c r="D638" i="1"/>
  <c r="D637" i="1"/>
  <c r="D636" i="1"/>
  <c r="D635" i="1"/>
  <c r="D634" i="1"/>
  <c r="D633" i="1"/>
  <c r="D632" i="1"/>
  <c r="D631" i="1"/>
  <c r="D630" i="1"/>
  <c r="D629" i="1"/>
  <c r="D628" i="1"/>
  <c r="D627" i="1"/>
  <c r="D626" i="1"/>
  <c r="D625" i="1"/>
  <c r="D624" i="1"/>
  <c r="D623" i="1"/>
  <c r="D622" i="1"/>
  <c r="D621" i="1"/>
  <c r="D620" i="1"/>
  <c r="D619" i="1"/>
  <c r="D618" i="1"/>
  <c r="D617" i="1"/>
  <c r="D616" i="1"/>
  <c r="D615" i="1"/>
  <c r="D614" i="1"/>
  <c r="D613" i="1"/>
  <c r="D612" i="1"/>
  <c r="D611" i="1"/>
  <c r="D610" i="1"/>
  <c r="D609" i="1"/>
  <c r="D608" i="1"/>
  <c r="D607" i="1"/>
  <c r="D606" i="1"/>
  <c r="D605" i="1"/>
  <c r="D604" i="1"/>
  <c r="D603" i="1"/>
  <c r="D602" i="1"/>
  <c r="D601" i="1"/>
  <c r="D600" i="1"/>
  <c r="D599" i="1"/>
  <c r="D598" i="1"/>
  <c r="D597" i="1"/>
  <c r="D596" i="1"/>
  <c r="D595" i="1"/>
  <c r="D594" i="1"/>
  <c r="D593" i="1"/>
  <c r="D592" i="1"/>
  <c r="D591" i="1"/>
  <c r="D590" i="1"/>
  <c r="D589" i="1"/>
  <c r="D588" i="1"/>
  <c r="D587" i="1"/>
  <c r="D586" i="1"/>
  <c r="D585" i="1"/>
  <c r="D584" i="1"/>
  <c r="D583" i="1"/>
  <c r="D582" i="1"/>
  <c r="D581" i="1"/>
  <c r="D580" i="1"/>
  <c r="D579" i="1"/>
  <c r="D578" i="1"/>
  <c r="D577" i="1"/>
  <c r="D576" i="1"/>
  <c r="D575" i="1"/>
  <c r="D574" i="1"/>
  <c r="D573" i="1"/>
  <c r="D572" i="1"/>
  <c r="D571" i="1"/>
  <c r="D570" i="1"/>
  <c r="D569" i="1"/>
  <c r="D568" i="1"/>
  <c r="D567" i="1"/>
  <c r="D566" i="1"/>
  <c r="D565" i="1"/>
  <c r="D564" i="1"/>
  <c r="D563" i="1"/>
  <c r="D562" i="1"/>
  <c r="D561" i="1"/>
  <c r="D560" i="1"/>
  <c r="D559" i="1"/>
  <c r="D558" i="1"/>
  <c r="D557" i="1"/>
  <c r="D556" i="1"/>
  <c r="D555" i="1"/>
  <c r="D554" i="1"/>
  <c r="D553" i="1"/>
  <c r="D552" i="1"/>
  <c r="D551" i="1"/>
  <c r="D550" i="1"/>
  <c r="D549" i="1"/>
  <c r="D548" i="1"/>
  <c r="D547" i="1"/>
  <c r="D546" i="1"/>
  <c r="D545" i="1"/>
  <c r="D544" i="1"/>
  <c r="D543" i="1"/>
  <c r="D542" i="1"/>
  <c r="D541" i="1"/>
  <c r="D540" i="1"/>
  <c r="D539" i="1"/>
  <c r="D538" i="1"/>
  <c r="D537" i="1"/>
  <c r="D536" i="1"/>
  <c r="D535" i="1"/>
  <c r="D534" i="1"/>
  <c r="D533" i="1"/>
  <c r="D532" i="1"/>
  <c r="D531" i="1"/>
  <c r="D530" i="1"/>
  <c r="D529" i="1"/>
  <c r="D528" i="1"/>
  <c r="D527" i="1"/>
  <c r="D526" i="1"/>
  <c r="D525" i="1"/>
  <c r="D524" i="1"/>
  <c r="D523" i="1"/>
  <c r="D522" i="1"/>
  <c r="D521" i="1"/>
  <c r="D520" i="1"/>
  <c r="D519" i="1"/>
  <c r="D518" i="1"/>
  <c r="D517" i="1"/>
  <c r="D516" i="1"/>
  <c r="D515" i="1"/>
  <c r="D514" i="1"/>
  <c r="D513" i="1"/>
  <c r="D512" i="1"/>
  <c r="D511" i="1"/>
  <c r="D510" i="1"/>
  <c r="D509" i="1"/>
  <c r="D508" i="1"/>
  <c r="D507" i="1"/>
  <c r="D506" i="1"/>
  <c r="D505" i="1"/>
  <c r="D504" i="1"/>
  <c r="D503" i="1"/>
  <c r="D502" i="1"/>
  <c r="D501" i="1"/>
  <c r="D500" i="1"/>
  <c r="D499" i="1"/>
  <c r="D498" i="1"/>
  <c r="D497" i="1"/>
  <c r="D496" i="1"/>
  <c r="D495" i="1"/>
  <c r="D494" i="1"/>
  <c r="D493" i="1"/>
  <c r="D492" i="1"/>
  <c r="D491" i="1"/>
  <c r="D490" i="1"/>
  <c r="D489" i="1"/>
  <c r="D488" i="1"/>
  <c r="D487" i="1"/>
  <c r="D486" i="1"/>
  <c r="D485" i="1"/>
  <c r="D484" i="1"/>
  <c r="D483" i="1"/>
  <c r="D482" i="1"/>
  <c r="D481" i="1"/>
  <c r="D480" i="1"/>
  <c r="D479" i="1"/>
  <c r="D478" i="1"/>
  <c r="D477" i="1"/>
  <c r="D476" i="1"/>
  <c r="D475" i="1"/>
  <c r="D474" i="1"/>
  <c r="D473" i="1"/>
  <c r="D472" i="1"/>
  <c r="D471" i="1"/>
  <c r="D470" i="1"/>
  <c r="D469" i="1"/>
  <c r="D468" i="1"/>
  <c r="D467" i="1"/>
  <c r="D466" i="1"/>
  <c r="D465" i="1"/>
  <c r="D464" i="1"/>
  <c r="D463" i="1"/>
  <c r="D462" i="1"/>
  <c r="D461" i="1"/>
  <c r="D460" i="1"/>
  <c r="D459" i="1"/>
  <c r="D458" i="1"/>
  <c r="D457" i="1"/>
  <c r="D456" i="1"/>
  <c r="D455" i="1"/>
  <c r="D454" i="1"/>
  <c r="D453" i="1"/>
  <c r="D452" i="1"/>
  <c r="D451" i="1"/>
  <c r="D450" i="1"/>
  <c r="D449" i="1"/>
  <c r="D448" i="1"/>
  <c r="D447" i="1"/>
  <c r="D446" i="1"/>
  <c r="D445" i="1"/>
  <c r="D444" i="1"/>
  <c r="D443" i="1"/>
  <c r="D442" i="1"/>
  <c r="D441" i="1"/>
  <c r="D440" i="1"/>
  <c r="D439" i="1"/>
  <c r="D438" i="1"/>
  <c r="D437" i="1"/>
  <c r="D436" i="1"/>
  <c r="D435" i="1"/>
  <c r="D434" i="1"/>
  <c r="D433" i="1"/>
  <c r="D432" i="1"/>
  <c r="D431" i="1"/>
  <c r="D430" i="1"/>
  <c r="D429" i="1"/>
  <c r="D428" i="1"/>
  <c r="D427" i="1"/>
  <c r="D426" i="1"/>
  <c r="D425" i="1"/>
  <c r="D424" i="1"/>
  <c r="D423" i="1"/>
  <c r="D422" i="1"/>
  <c r="D421" i="1"/>
  <c r="D420" i="1"/>
  <c r="D419" i="1"/>
  <c r="D418" i="1"/>
  <c r="D417" i="1"/>
  <c r="D416" i="1"/>
  <c r="D415" i="1"/>
  <c r="D414" i="1"/>
  <c r="D413" i="1"/>
  <c r="D412" i="1"/>
  <c r="D411" i="1"/>
  <c r="D410" i="1"/>
  <c r="D409" i="1"/>
  <c r="D408" i="1"/>
  <c r="D407" i="1"/>
  <c r="D406" i="1"/>
  <c r="D405" i="1"/>
  <c r="D404" i="1"/>
  <c r="D403" i="1"/>
  <c r="D402" i="1"/>
  <c r="D401" i="1"/>
  <c r="D400" i="1"/>
  <c r="D399" i="1"/>
  <c r="D398" i="1"/>
  <c r="D397" i="1"/>
  <c r="D396" i="1"/>
  <c r="D395" i="1"/>
  <c r="D394" i="1"/>
  <c r="D393" i="1"/>
  <c r="D392" i="1"/>
  <c r="D391" i="1"/>
  <c r="D390" i="1"/>
  <c r="D389" i="1"/>
  <c r="D388" i="1"/>
  <c r="D387" i="1"/>
  <c r="D386" i="1"/>
  <c r="D385" i="1"/>
  <c r="D384" i="1"/>
  <c r="D383" i="1"/>
  <c r="D382" i="1"/>
  <c r="D381" i="1"/>
  <c r="D380" i="1"/>
  <c r="D379" i="1"/>
  <c r="D378" i="1"/>
  <c r="D377" i="1"/>
  <c r="D376" i="1"/>
  <c r="D375" i="1"/>
  <c r="D374" i="1"/>
  <c r="D373" i="1"/>
  <c r="D372" i="1"/>
  <c r="D371" i="1"/>
  <c r="D370" i="1"/>
  <c r="D369" i="1"/>
  <c r="D368" i="1"/>
  <c r="D367" i="1"/>
  <c r="D366" i="1"/>
  <c r="D365" i="1"/>
  <c r="D364" i="1"/>
  <c r="D363" i="1"/>
  <c r="D362" i="1"/>
  <c r="D361" i="1"/>
  <c r="D360" i="1"/>
  <c r="D359" i="1"/>
  <c r="D358" i="1"/>
  <c r="D357" i="1"/>
  <c r="D356" i="1"/>
  <c r="D355" i="1"/>
  <c r="D354" i="1"/>
  <c r="D353" i="1"/>
  <c r="D352" i="1"/>
  <c r="D351" i="1"/>
  <c r="D350" i="1"/>
  <c r="D349" i="1"/>
  <c r="D348" i="1"/>
  <c r="D347" i="1"/>
  <c r="D346" i="1"/>
  <c r="D345" i="1"/>
  <c r="D344" i="1"/>
  <c r="D343" i="1"/>
  <c r="D342" i="1"/>
  <c r="D341" i="1"/>
  <c r="D340" i="1"/>
  <c r="D339" i="1"/>
  <c r="D338" i="1"/>
  <c r="D337" i="1"/>
  <c r="D336" i="1"/>
  <c r="D335" i="1"/>
  <c r="D334" i="1"/>
  <c r="D333" i="1"/>
  <c r="D332" i="1"/>
  <c r="D331" i="1"/>
  <c r="D330" i="1"/>
  <c r="D329" i="1"/>
  <c r="D328" i="1"/>
  <c r="D327" i="1"/>
  <c r="D326" i="1"/>
  <c r="D325" i="1"/>
  <c r="D324" i="1"/>
  <c r="D323" i="1"/>
  <c r="D322" i="1"/>
  <c r="D321" i="1"/>
  <c r="D320" i="1"/>
  <c r="D319" i="1"/>
  <c r="D318" i="1"/>
  <c r="D317" i="1"/>
  <c r="D316" i="1"/>
  <c r="D315" i="1"/>
  <c r="D314" i="1"/>
  <c r="D313" i="1"/>
  <c r="D312" i="1"/>
  <c r="D311" i="1"/>
  <c r="D310" i="1"/>
  <c r="D309" i="1"/>
  <c r="D308" i="1"/>
  <c r="D307" i="1"/>
  <c r="D306" i="1"/>
  <c r="D305" i="1"/>
  <c r="D304" i="1"/>
  <c r="D303" i="1"/>
  <c r="D302" i="1"/>
  <c r="D301" i="1"/>
  <c r="D300" i="1"/>
  <c r="D299" i="1"/>
  <c r="D298" i="1"/>
  <c r="D297" i="1"/>
  <c r="D296" i="1"/>
  <c r="D295" i="1"/>
  <c r="D294" i="1"/>
  <c r="D293" i="1"/>
  <c r="D292" i="1"/>
  <c r="D291" i="1"/>
  <c r="D290" i="1"/>
  <c r="D289" i="1"/>
  <c r="D288" i="1"/>
  <c r="D287" i="1"/>
  <c r="D286" i="1"/>
  <c r="D285" i="1"/>
  <c r="D284" i="1"/>
  <c r="D283" i="1"/>
  <c r="D282" i="1"/>
  <c r="D281" i="1"/>
  <c r="D280" i="1"/>
  <c r="D279" i="1"/>
  <c r="D278" i="1"/>
  <c r="D277" i="1"/>
  <c r="D276" i="1"/>
  <c r="D275" i="1"/>
  <c r="D274" i="1"/>
  <c r="D273" i="1"/>
  <c r="D272" i="1"/>
  <c r="D271" i="1"/>
  <c r="D270" i="1"/>
  <c r="D269" i="1"/>
  <c r="D268" i="1"/>
  <c r="D267" i="1"/>
  <c r="D266" i="1"/>
  <c r="D265" i="1"/>
  <c r="D264" i="1"/>
  <c r="D263" i="1"/>
  <c r="D262" i="1"/>
  <c r="D261" i="1"/>
  <c r="D260" i="1"/>
  <c r="D259" i="1"/>
  <c r="D258" i="1"/>
  <c r="D257" i="1"/>
  <c r="D256" i="1"/>
  <c r="D255" i="1"/>
  <c r="D254" i="1"/>
  <c r="D253" i="1"/>
  <c r="D252" i="1"/>
  <c r="D251" i="1"/>
  <c r="D250" i="1"/>
  <c r="D249" i="1"/>
  <c r="D248" i="1"/>
  <c r="D247" i="1"/>
  <c r="D246" i="1"/>
  <c r="D245" i="1"/>
  <c r="D244" i="1"/>
  <c r="D243" i="1"/>
  <c r="D242" i="1"/>
  <c r="D241" i="1"/>
  <c r="D240" i="1"/>
  <c r="D239" i="1"/>
  <c r="D238" i="1"/>
  <c r="D237" i="1"/>
  <c r="D236" i="1"/>
  <c r="D235" i="1"/>
  <c r="D234" i="1"/>
  <c r="D233" i="1"/>
  <c r="D232" i="1"/>
  <c r="D231" i="1"/>
  <c r="D230" i="1"/>
  <c r="D229" i="1"/>
  <c r="D228" i="1"/>
  <c r="D227" i="1"/>
  <c r="D226" i="1"/>
  <c r="D225" i="1"/>
  <c r="D224" i="1"/>
  <c r="D223" i="1"/>
  <c r="D222" i="1"/>
  <c r="D221" i="1"/>
  <c r="D220" i="1"/>
  <c r="D219" i="1"/>
  <c r="D218" i="1"/>
  <c r="D217" i="1"/>
  <c r="D216" i="1"/>
  <c r="D215" i="1"/>
  <c r="D214" i="1"/>
  <c r="D213" i="1"/>
  <c r="D212" i="1"/>
  <c r="D211" i="1"/>
  <c r="D210" i="1"/>
  <c r="D209" i="1"/>
  <c r="D208" i="1"/>
  <c r="D207" i="1"/>
  <c r="D206" i="1"/>
  <c r="D205" i="1"/>
  <c r="D204" i="1"/>
  <c r="D203" i="1"/>
  <c r="D202" i="1"/>
  <c r="D201" i="1"/>
  <c r="D200" i="1"/>
  <c r="D199" i="1"/>
  <c r="D198" i="1"/>
  <c r="D197" i="1"/>
  <c r="D196" i="1"/>
  <c r="D195" i="1"/>
  <c r="D194" i="1"/>
  <c r="D193" i="1"/>
  <c r="D192" i="1"/>
  <c r="D191" i="1"/>
  <c r="D190" i="1"/>
  <c r="D189" i="1"/>
  <c r="D188" i="1"/>
  <c r="D187" i="1"/>
  <c r="D186" i="1"/>
  <c r="D185" i="1"/>
  <c r="D184" i="1"/>
  <c r="D183" i="1"/>
  <c r="D182" i="1"/>
  <c r="D181" i="1"/>
  <c r="D180" i="1"/>
  <c r="D179" i="1"/>
  <c r="D178" i="1"/>
  <c r="D176" i="1"/>
  <c r="D175" i="1"/>
  <c r="D174" i="1"/>
  <c r="D173" i="1"/>
  <c r="D172" i="1"/>
  <c r="D171" i="1"/>
  <c r="D170" i="1"/>
  <c r="D169" i="1"/>
  <c r="D168" i="1"/>
  <c r="D167" i="1"/>
  <c r="D166" i="1"/>
  <c r="D165" i="1"/>
  <c r="D164" i="1"/>
  <c r="D163" i="1"/>
  <c r="D162" i="1"/>
  <c r="D161" i="1"/>
  <c r="D160" i="1"/>
  <c r="D159" i="1"/>
  <c r="D158" i="1"/>
  <c r="D157" i="1"/>
  <c r="D156" i="1"/>
  <c r="D155" i="1"/>
  <c r="D154" i="1"/>
  <c r="D153" i="1"/>
  <c r="D152" i="1"/>
  <c r="D151" i="1"/>
  <c r="D150" i="1"/>
  <c r="D149" i="1"/>
  <c r="D148" i="1"/>
  <c r="D147" i="1"/>
  <c r="D146" i="1"/>
  <c r="D145" i="1"/>
  <c r="D144" i="1"/>
  <c r="D143" i="1"/>
  <c r="D142" i="1"/>
  <c r="D141" i="1"/>
  <c r="D140" i="1"/>
  <c r="D139" i="1"/>
  <c r="D138" i="1"/>
  <c r="D137" i="1"/>
  <c r="D136" i="1"/>
  <c r="D135" i="1"/>
  <c r="D134" i="1"/>
  <c r="D133" i="1"/>
  <c r="D132" i="1"/>
  <c r="D131" i="1"/>
  <c r="D130" i="1"/>
  <c r="D129" i="1"/>
  <c r="D128" i="1"/>
  <c r="D127" i="1"/>
  <c r="D126" i="1"/>
  <c r="D125" i="1"/>
  <c r="D124" i="1"/>
  <c r="D123" i="1"/>
  <c r="D122" i="1"/>
  <c r="D121" i="1"/>
  <c r="D120" i="1"/>
  <c r="D119" i="1"/>
  <c r="D118" i="1"/>
  <c r="D117" i="1"/>
  <c r="D116" i="1"/>
  <c r="D115" i="1"/>
  <c r="D114" i="1"/>
  <c r="D113" i="1"/>
  <c r="D112" i="1"/>
  <c r="D111" i="1"/>
  <c r="D110" i="1"/>
  <c r="D109" i="1"/>
  <c r="D108" i="1"/>
  <c r="D107" i="1"/>
  <c r="D106" i="1"/>
  <c r="D105" i="1"/>
  <c r="D104" i="1"/>
  <c r="D103" i="1"/>
  <c r="D102" i="1"/>
  <c r="D101" i="1"/>
  <c r="D100" i="1"/>
  <c r="D99" i="1"/>
  <c r="D98" i="1"/>
  <c r="D97" i="1"/>
  <c r="D96" i="1"/>
  <c r="D95" i="1"/>
  <c r="D94" i="1"/>
  <c r="D93" i="1"/>
  <c r="D92" i="1"/>
  <c r="D91" i="1"/>
  <c r="D90" i="1"/>
  <c r="D89" i="1"/>
  <c r="D88" i="1"/>
  <c r="D87" i="1"/>
  <c r="D86" i="1"/>
  <c r="D85" i="1"/>
  <c r="D84" i="1"/>
  <c r="D83" i="1"/>
  <c r="D82" i="1"/>
  <c r="D81" i="1"/>
  <c r="D80" i="1"/>
  <c r="D79" i="1"/>
  <c r="D78" i="1"/>
  <c r="D77" i="1"/>
  <c r="D76" i="1"/>
  <c r="D75" i="1"/>
  <c r="D74" i="1"/>
  <c r="D73" i="1"/>
  <c r="D72" i="1"/>
  <c r="D71" i="1"/>
  <c r="D70" i="1"/>
  <c r="D69" i="1"/>
  <c r="D68" i="1"/>
  <c r="D67" i="1"/>
  <c r="D66" i="1"/>
  <c r="D65" i="1"/>
  <c r="D64" i="1"/>
  <c r="D63" i="1"/>
  <c r="D62" i="1"/>
  <c r="D61" i="1"/>
  <c r="D60" i="1"/>
  <c r="D59" i="1"/>
  <c r="D58" i="1"/>
  <c r="D57" i="1"/>
  <c r="D56" i="1"/>
  <c r="D55" i="1"/>
  <c r="D54" i="1"/>
  <c r="D53" i="1"/>
  <c r="D52" i="1"/>
  <c r="D51" i="1"/>
  <c r="D50" i="1"/>
  <c r="D49" i="1"/>
  <c r="D48" i="1"/>
  <c r="D47" i="1"/>
  <c r="D46" i="1"/>
  <c r="D45" i="1"/>
  <c r="D44" i="1"/>
  <c r="D43" i="1"/>
  <c r="D42" i="1"/>
  <c r="D41" i="1"/>
  <c r="D40" i="1"/>
  <c r="D39" i="1"/>
  <c r="D38" i="1"/>
  <c r="D37" i="1"/>
  <c r="D36" i="1"/>
  <c r="D35" i="1"/>
  <c r="D34" i="1"/>
  <c r="D33" i="1"/>
  <c r="D32" i="1"/>
  <c r="D31" i="1"/>
  <c r="D30" i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16" i="1"/>
  <c r="D15" i="1"/>
  <c r="D14" i="1"/>
  <c r="D13" i="1"/>
  <c r="D12" i="1"/>
  <c r="D11" i="1"/>
  <c r="D10" i="1"/>
  <c r="D9" i="1"/>
  <c r="D8" i="1"/>
  <c r="D7" i="1"/>
  <c r="D6" i="1"/>
  <c r="AE5" i="1"/>
  <c r="B12" i="3" s="1"/>
  <c r="AD5" i="1"/>
  <c r="B8" i="3" s="1"/>
  <c r="AC5" i="1"/>
  <c r="AB5" i="1"/>
  <c r="AA5" i="1"/>
  <c r="Z5" i="1"/>
  <c r="D5" i="1"/>
  <c r="D4" i="1"/>
  <c r="F48" i="4" l="1"/>
  <c r="E47" i="4"/>
  <c r="E46" i="4"/>
  <c r="F39" i="4"/>
  <c r="F38" i="4"/>
  <c r="F37" i="4"/>
  <c r="F36" i="4"/>
  <c r="E35" i="4"/>
  <c r="E34" i="4"/>
  <c r="E33" i="4"/>
  <c r="E32" i="4"/>
  <c r="F23" i="4"/>
  <c r="F22" i="4"/>
  <c r="F21" i="4"/>
  <c r="F20" i="4"/>
  <c r="E19" i="4"/>
  <c r="E18" i="4"/>
  <c r="E17" i="4"/>
  <c r="E16" i="4"/>
  <c r="F7" i="4"/>
  <c r="F6" i="4"/>
  <c r="F5" i="4"/>
  <c r="F4" i="4"/>
  <c r="E3" i="4"/>
  <c r="M3" i="4"/>
  <c r="L4" i="4"/>
  <c r="M5" i="4"/>
  <c r="E45" i="4"/>
  <c r="F35" i="4"/>
  <c r="D35" i="4" s="1"/>
  <c r="F33" i="4"/>
  <c r="F32" i="4"/>
  <c r="E31" i="4"/>
  <c r="E30" i="4"/>
  <c r="E29" i="4"/>
  <c r="E28" i="4"/>
  <c r="F19" i="4"/>
  <c r="D19" i="4" s="1"/>
  <c r="F18" i="4"/>
  <c r="F16" i="4"/>
  <c r="E15" i="4"/>
  <c r="E14" i="4"/>
  <c r="E13" i="4"/>
  <c r="E12" i="4"/>
  <c r="F3" i="4"/>
  <c r="G3" i="4" s="1"/>
  <c r="L5" i="4"/>
  <c r="M6" i="4"/>
  <c r="M7" i="4"/>
  <c r="E48" i="4"/>
  <c r="F43" i="4"/>
  <c r="G43" i="4" s="1"/>
  <c r="F42" i="4"/>
  <c r="F41" i="4"/>
  <c r="F40" i="4"/>
  <c r="E39" i="4"/>
  <c r="D39" i="4" s="1"/>
  <c r="E38" i="4"/>
  <c r="E37" i="4"/>
  <c r="E36" i="4"/>
  <c r="F27" i="4"/>
  <c r="D27" i="4" s="1"/>
  <c r="F26" i="4"/>
  <c r="F25" i="4"/>
  <c r="F24" i="4"/>
  <c r="E23" i="4"/>
  <c r="D23" i="4" s="1"/>
  <c r="E22" i="4"/>
  <c r="E21" i="4"/>
  <c r="E20" i="4"/>
  <c r="F11" i="4"/>
  <c r="D11" i="4" s="1"/>
  <c r="F10" i="4"/>
  <c r="F9" i="4"/>
  <c r="F8" i="4"/>
  <c r="E7" i="4"/>
  <c r="G7" i="4" s="1"/>
  <c r="E6" i="4"/>
  <c r="E5" i="4"/>
  <c r="E4" i="4"/>
  <c r="L3" i="4"/>
  <c r="M4" i="4"/>
  <c r="L8" i="4"/>
  <c r="L9" i="4"/>
  <c r="F45" i="4"/>
  <c r="F44" i="4"/>
  <c r="E43" i="4"/>
  <c r="E42" i="4"/>
  <c r="E41" i="4"/>
  <c r="E40" i="4"/>
  <c r="F31" i="4"/>
  <c r="D31" i="4" s="1"/>
  <c r="F30" i="4"/>
  <c r="F29" i="4"/>
  <c r="F28" i="4"/>
  <c r="E27" i="4"/>
  <c r="E26" i="4"/>
  <c r="E25" i="4"/>
  <c r="E24" i="4"/>
  <c r="F15" i="4"/>
  <c r="G15" i="4" s="1"/>
  <c r="F14" i="4"/>
  <c r="F13" i="4"/>
  <c r="F12" i="4"/>
  <c r="E11" i="4"/>
  <c r="E10" i="4"/>
  <c r="E9" i="4"/>
  <c r="E8" i="4"/>
  <c r="L6" i="4"/>
  <c r="L7" i="4"/>
  <c r="M8" i="4"/>
  <c r="K8" i="4" s="1"/>
  <c r="M9" i="4"/>
  <c r="F47" i="4"/>
  <c r="G47" i="4" s="1"/>
  <c r="F46" i="4"/>
  <c r="D46" i="4" s="1"/>
  <c r="E44" i="4"/>
  <c r="F34" i="4"/>
  <c r="F17" i="4"/>
  <c r="L11" i="4"/>
  <c r="L15" i="4"/>
  <c r="L19" i="4"/>
  <c r="L23" i="4"/>
  <c r="L27" i="4"/>
  <c r="L31" i="4"/>
  <c r="L35" i="4"/>
  <c r="L39" i="4"/>
  <c r="L43" i="4"/>
  <c r="L12" i="4"/>
  <c r="L16" i="4"/>
  <c r="L20" i="4"/>
  <c r="L24" i="4"/>
  <c r="L28" i="4"/>
  <c r="L32" i="4"/>
  <c r="L36" i="4"/>
  <c r="L40" i="4"/>
  <c r="L13" i="4"/>
  <c r="L17" i="4"/>
  <c r="L21" i="4"/>
  <c r="L25" i="4"/>
  <c r="L29" i="4"/>
  <c r="L33" i="4"/>
  <c r="L37" i="4"/>
  <c r="L41" i="4"/>
  <c r="L10" i="4"/>
  <c r="L14" i="4"/>
  <c r="L18" i="4"/>
  <c r="L22" i="4"/>
  <c r="L26" i="4"/>
  <c r="L30" i="4"/>
  <c r="L34" i="4"/>
  <c r="L38" i="4"/>
  <c r="L42" i="4"/>
  <c r="M10" i="4"/>
  <c r="M14" i="4"/>
  <c r="M18" i="4"/>
  <c r="M22" i="4"/>
  <c r="M26" i="4"/>
  <c r="M30" i="4"/>
  <c r="M34" i="4"/>
  <c r="M38" i="4"/>
  <c r="M42" i="4"/>
  <c r="M11" i="4"/>
  <c r="M15" i="4"/>
  <c r="M19" i="4"/>
  <c r="M23" i="4"/>
  <c r="M27" i="4"/>
  <c r="M31" i="4"/>
  <c r="M35" i="4"/>
  <c r="M39" i="4"/>
  <c r="M43" i="4"/>
  <c r="M13" i="4"/>
  <c r="M17" i="4"/>
  <c r="M21" i="4"/>
  <c r="M25" i="4"/>
  <c r="M29" i="4"/>
  <c r="M33" i="4"/>
  <c r="M37" i="4"/>
  <c r="M41" i="4"/>
  <c r="M12" i="4"/>
  <c r="M16" i="4"/>
  <c r="M20" i="4"/>
  <c r="M24" i="4"/>
  <c r="M28" i="4"/>
  <c r="M32" i="4"/>
  <c r="M36" i="4"/>
  <c r="M40" i="4"/>
  <c r="N20" i="9"/>
  <c r="L20" i="9"/>
  <c r="F20" i="9"/>
  <c r="J20" i="9"/>
  <c r="K20" i="9"/>
  <c r="R20" i="9"/>
  <c r="P20" i="9"/>
  <c r="G20" i="9"/>
  <c r="T20" i="9"/>
  <c r="O20" i="9"/>
  <c r="S20" i="9"/>
  <c r="H20" i="9"/>
  <c r="U20" i="9"/>
  <c r="I20" i="9"/>
  <c r="M20" i="9"/>
  <c r="Q20" i="9"/>
  <c r="E20" i="9"/>
  <c r="B13" i="3"/>
  <c r="N5" i="4" l="1"/>
  <c r="K5" i="4"/>
  <c r="D14" i="4"/>
  <c r="G14" i="4"/>
  <c r="G31" i="4"/>
  <c r="G45" i="4"/>
  <c r="D45" i="4"/>
  <c r="D3" i="4"/>
  <c r="D7" i="4"/>
  <c r="G19" i="4"/>
  <c r="G23" i="4"/>
  <c r="G35" i="4"/>
  <c r="G39" i="4"/>
  <c r="N7" i="4"/>
  <c r="K7" i="4"/>
  <c r="G10" i="4"/>
  <c r="D10" i="4"/>
  <c r="G26" i="4"/>
  <c r="D26" i="4"/>
  <c r="G42" i="4"/>
  <c r="D42" i="4"/>
  <c r="N9" i="4"/>
  <c r="K9" i="4"/>
  <c r="D4" i="4"/>
  <c r="G4" i="4"/>
  <c r="D20" i="4"/>
  <c r="G20" i="4"/>
  <c r="D36" i="4"/>
  <c r="G36" i="4"/>
  <c r="D48" i="4"/>
  <c r="G48" i="4"/>
  <c r="D15" i="4"/>
  <c r="D28" i="4"/>
  <c r="G28" i="4"/>
  <c r="D16" i="4"/>
  <c r="G16" i="4"/>
  <c r="D32" i="4"/>
  <c r="G32" i="4"/>
  <c r="G46" i="4"/>
  <c r="D44" i="4"/>
  <c r="G44" i="4"/>
  <c r="N6" i="4"/>
  <c r="K6" i="4"/>
  <c r="G11" i="4"/>
  <c r="G27" i="4"/>
  <c r="D43" i="4"/>
  <c r="N8" i="4"/>
  <c r="G5" i="4"/>
  <c r="D5" i="4"/>
  <c r="G21" i="4"/>
  <c r="D21" i="4"/>
  <c r="G37" i="4"/>
  <c r="D37" i="4"/>
  <c r="D12" i="4"/>
  <c r="G12" i="4"/>
  <c r="G29" i="4"/>
  <c r="D29" i="4"/>
  <c r="N4" i="4"/>
  <c r="K4" i="4"/>
  <c r="G17" i="4"/>
  <c r="D17" i="4"/>
  <c r="G33" i="4"/>
  <c r="D33" i="4"/>
  <c r="D47" i="4"/>
  <c r="G9" i="4"/>
  <c r="D9" i="4"/>
  <c r="G25" i="4"/>
  <c r="D25" i="4"/>
  <c r="G41" i="4"/>
  <c r="D41" i="4"/>
  <c r="N3" i="4"/>
  <c r="K3" i="4"/>
  <c r="D8" i="4"/>
  <c r="G8" i="4"/>
  <c r="D24" i="4"/>
  <c r="G24" i="4"/>
  <c r="D40" i="4"/>
  <c r="G40" i="4"/>
  <c r="G6" i="4"/>
  <c r="D6" i="4"/>
  <c r="G22" i="4"/>
  <c r="D22" i="4"/>
  <c r="D38" i="4"/>
  <c r="G38" i="4"/>
  <c r="G13" i="4"/>
  <c r="D13" i="4"/>
  <c r="D30" i="4"/>
  <c r="G30" i="4"/>
  <c r="D18" i="4"/>
  <c r="G18" i="4"/>
  <c r="D34" i="4"/>
  <c r="G34" i="4"/>
  <c r="K13" i="4"/>
  <c r="K15" i="4"/>
  <c r="K16" i="4"/>
  <c r="K11" i="4"/>
  <c r="K14" i="4"/>
  <c r="K12" i="4"/>
  <c r="K10" i="4"/>
  <c r="N33" i="4"/>
  <c r="K33" i="4"/>
  <c r="N29" i="4"/>
  <c r="K29" i="4"/>
  <c r="N21" i="4"/>
  <c r="K21" i="4"/>
  <c r="N34" i="4"/>
  <c r="K34" i="4"/>
  <c r="N26" i="4"/>
  <c r="K26" i="4"/>
  <c r="N18" i="4"/>
  <c r="K18" i="4"/>
  <c r="N10" i="4"/>
  <c r="N39" i="4"/>
  <c r="K39" i="4"/>
  <c r="N35" i="4"/>
  <c r="K35" i="4"/>
  <c r="N23" i="4"/>
  <c r="K23" i="4"/>
  <c r="N19" i="4"/>
  <c r="K19" i="4"/>
  <c r="N15" i="4"/>
  <c r="N11" i="4"/>
  <c r="N41" i="4"/>
  <c r="K41" i="4"/>
  <c r="N37" i="4"/>
  <c r="K37" i="4"/>
  <c r="N25" i="4"/>
  <c r="K25" i="4"/>
  <c r="N17" i="4"/>
  <c r="K17" i="4"/>
  <c r="N13" i="4"/>
  <c r="N42" i="4"/>
  <c r="K42" i="4"/>
  <c r="N38" i="4"/>
  <c r="K38" i="4"/>
  <c r="N30" i="4"/>
  <c r="K30" i="4"/>
  <c r="N22" i="4"/>
  <c r="K22" i="4"/>
  <c r="N14" i="4"/>
  <c r="N43" i="4"/>
  <c r="K43" i="4"/>
  <c r="N31" i="4"/>
  <c r="K31" i="4"/>
  <c r="N27" i="4"/>
  <c r="K27" i="4"/>
  <c r="N40" i="4"/>
  <c r="K40" i="4"/>
  <c r="N36" i="4"/>
  <c r="K36" i="4"/>
  <c r="N32" i="4"/>
  <c r="K32" i="4"/>
  <c r="N28" i="4"/>
  <c r="K28" i="4"/>
  <c r="N24" i="4"/>
  <c r="K24" i="4"/>
  <c r="N20" i="4"/>
  <c r="K20" i="4"/>
  <c r="N16" i="4"/>
  <c r="N12" i="4"/>
  <c r="K44" i="4" l="1"/>
  <c r="D49" i="4"/>
  <c r="L24" i="9"/>
  <c r="G24" i="9"/>
  <c r="T24" i="9"/>
  <c r="N24" i="9"/>
  <c r="U24" i="9"/>
  <c r="Q24" i="9"/>
  <c r="E24" i="9"/>
  <c r="I24" i="9"/>
  <c r="F24" i="9"/>
  <c r="M24" i="9"/>
  <c r="J24" i="9"/>
  <c r="D24" i="9"/>
  <c r="H28" i="9" s="1"/>
  <c r="O24" i="9"/>
  <c r="S24" i="9"/>
  <c r="R24" i="9"/>
  <c r="H24" i="9"/>
  <c r="K24" i="9"/>
  <c r="P24" i="9"/>
  <c r="D28" i="9" l="1"/>
  <c r="N32" i="9" s="1"/>
  <c r="L28" i="9"/>
  <c r="U28" i="9"/>
  <c r="K28" i="9"/>
  <c r="T28" i="9"/>
  <c r="S28" i="9"/>
  <c r="M28" i="9"/>
  <c r="F32" i="9"/>
  <c r="K32" i="9"/>
  <c r="P28" i="9"/>
  <c r="R28" i="9"/>
  <c r="F28" i="9"/>
  <c r="J28" i="9"/>
  <c r="T32" i="9"/>
  <c r="O28" i="9"/>
  <c r="E28" i="9"/>
  <c r="M32" i="9"/>
  <c r="D32" i="9"/>
  <c r="T36" i="9" s="1"/>
  <c r="P32" i="9"/>
  <c r="Q32" i="9"/>
  <c r="Q28" i="9"/>
  <c r="M36" i="9"/>
  <c r="G32" i="9"/>
  <c r="E32" i="9"/>
  <c r="G28" i="9"/>
  <c r="I28" i="9"/>
  <c r="N28" i="9"/>
  <c r="S32" i="9"/>
  <c r="U32" i="9" l="1"/>
  <c r="H32" i="9"/>
  <c r="O32" i="9"/>
  <c r="R32" i="9"/>
  <c r="J32" i="9"/>
  <c r="I32" i="9"/>
  <c r="L32" i="9"/>
  <c r="N36" i="9"/>
  <c r="J36" i="9"/>
  <c r="L36" i="9"/>
  <c r="R36" i="9"/>
  <c r="K36" i="9"/>
  <c r="H36" i="9"/>
  <c r="U36" i="9"/>
  <c r="O36" i="9"/>
  <c r="D36" i="9"/>
  <c r="R40" i="9" s="1"/>
  <c r="E36" i="9"/>
  <c r="G36" i="9"/>
  <c r="I36" i="9"/>
  <c r="Q36" i="9"/>
  <c r="S36" i="9"/>
  <c r="F36" i="9"/>
  <c r="P36" i="9"/>
  <c r="H40" i="9"/>
  <c r="D40" i="9" l="1"/>
  <c r="D44" i="9" s="1"/>
  <c r="S40" i="9"/>
  <c r="T40" i="9"/>
  <c r="I40" i="9"/>
  <c r="Q40" i="9"/>
  <c r="P40" i="9"/>
  <c r="N40" i="9"/>
  <c r="T44" i="9"/>
  <c r="I44" i="9"/>
  <c r="H44" i="9"/>
  <c r="Q44" i="9"/>
  <c r="E44" i="9"/>
  <c r="R44" i="9"/>
  <c r="G44" i="9"/>
  <c r="U44" i="9"/>
  <c r="J44" i="9"/>
  <c r="F40" i="9"/>
  <c r="S44" i="9"/>
  <c r="U40" i="9"/>
  <c r="L44" i="9"/>
  <c r="E40" i="9"/>
  <c r="G40" i="9"/>
  <c r="J40" i="9"/>
  <c r="P44" i="9"/>
  <c r="K40" i="9"/>
  <c r="N44" i="9"/>
  <c r="L40" i="9"/>
  <c r="F44" i="9"/>
  <c r="M40" i="9"/>
  <c r="O40" i="9"/>
  <c r="U48" i="9" l="1"/>
  <c r="M48" i="9"/>
  <c r="M44" i="9"/>
  <c r="O44" i="9"/>
  <c r="K44" i="9"/>
  <c r="P48" i="9"/>
  <c r="I48" i="9"/>
  <c r="K48" i="9"/>
  <c r="H48" i="9"/>
  <c r="G48" i="9"/>
  <c r="F48" i="9"/>
  <c r="E48" i="9"/>
  <c r="T48" i="9"/>
  <c r="Q48" i="9"/>
  <c r="N48" i="9"/>
  <c r="D48" i="9"/>
  <c r="U52" i="9" s="1"/>
  <c r="S48" i="9"/>
  <c r="J48" i="9"/>
  <c r="R48" i="9"/>
  <c r="M52" i="9"/>
  <c r="J52" i="9"/>
  <c r="N52" i="9"/>
  <c r="L48" i="9"/>
  <c r="O48" i="9"/>
  <c r="D52" i="9" l="1"/>
  <c r="G52" i="9"/>
  <c r="T52" i="9"/>
  <c r="K52" i="9"/>
  <c r="Q52" i="9"/>
  <c r="S52" i="9"/>
  <c r="F52" i="9"/>
  <c r="P52" i="9"/>
  <c r="R52" i="9"/>
  <c r="I52" i="9"/>
  <c r="O52" i="9"/>
  <c r="H52" i="9"/>
  <c r="L52" i="9"/>
  <c r="E52" i="9"/>
  <c r="R155" i="12"/>
  <c r="N138" i="12"/>
  <c r="S216" i="12"/>
  <c r="J96" i="12"/>
  <c r="K208" i="12"/>
  <c r="G152" i="12"/>
  <c r="S140" i="12"/>
  <c r="E223" i="12"/>
  <c r="M198" i="12"/>
  <c r="P134" i="12"/>
  <c r="Q130" i="12"/>
  <c r="L228" i="12"/>
  <c r="T187" i="12"/>
  <c r="I227" i="12"/>
  <c r="J106" i="12"/>
  <c r="L174" i="12"/>
  <c r="S163" i="12"/>
  <c r="F154" i="12"/>
  <c r="E184" i="12"/>
  <c r="J219" i="12"/>
  <c r="T190" i="12"/>
  <c r="R168" i="12"/>
  <c r="E95" i="12"/>
  <c r="J179" i="12"/>
  <c r="U133" i="12"/>
  <c r="D157" i="12"/>
  <c r="D166" i="12"/>
  <c r="H138" i="12"/>
  <c r="F133" i="12"/>
  <c r="T167" i="12"/>
  <c r="Q90" i="12"/>
  <c r="P139" i="12"/>
  <c r="G93" i="12"/>
  <c r="O180" i="12"/>
  <c r="K178" i="12"/>
  <c r="I218" i="12"/>
  <c r="M227" i="12"/>
  <c r="N144" i="12"/>
  <c r="T210" i="12"/>
  <c r="N141" i="12"/>
  <c r="G176" i="12"/>
  <c r="E105" i="12"/>
  <c r="R208" i="12"/>
  <c r="O132" i="12"/>
  <c r="E228" i="12"/>
  <c r="T177" i="12"/>
  <c r="S202" i="12"/>
  <c r="U159" i="12"/>
  <c r="L221" i="12"/>
  <c r="E193" i="12"/>
  <c r="V204" i="12"/>
  <c r="G133" i="12"/>
  <c r="L178" i="12"/>
  <c r="J168" i="12"/>
  <c r="M184" i="12"/>
  <c r="E162" i="12"/>
  <c r="K104" i="12"/>
  <c r="M139" i="12"/>
  <c r="G198" i="12"/>
  <c r="V205" i="12"/>
  <c r="V154" i="12"/>
  <c r="P185" i="12"/>
  <c r="I178" i="12"/>
  <c r="H230" i="12"/>
  <c r="K174" i="12"/>
  <c r="F135" i="12"/>
  <c r="R153" i="12"/>
  <c r="V215" i="12"/>
  <c r="V89" i="12"/>
  <c r="D167" i="12"/>
  <c r="E215" i="12"/>
  <c r="M231" i="12"/>
  <c r="I229" i="12"/>
  <c r="N203" i="12"/>
  <c r="L220" i="12"/>
  <c r="H197" i="12"/>
  <c r="N89" i="12"/>
  <c r="I187" i="12"/>
  <c r="J131" i="12"/>
  <c r="V88" i="12"/>
  <c r="T209" i="12"/>
  <c r="Q209" i="12"/>
  <c r="S199" i="12"/>
  <c r="L163" i="12"/>
  <c r="Q202" i="12"/>
  <c r="V189" i="12"/>
  <c r="I100" i="12"/>
  <c r="K228" i="12"/>
  <c r="J218" i="12"/>
  <c r="E147" i="12"/>
  <c r="J88" i="12"/>
  <c r="I130" i="12"/>
  <c r="L206" i="12"/>
  <c r="M214" i="12"/>
  <c r="J201" i="12"/>
  <c r="V222" i="12"/>
  <c r="G229" i="12"/>
  <c r="Q99" i="12"/>
  <c r="D178" i="12"/>
  <c r="H160" i="12"/>
  <c r="V187" i="12"/>
  <c r="M130" i="12"/>
  <c r="T203" i="12"/>
  <c r="E137" i="12"/>
  <c r="Q88" i="12"/>
  <c r="E157" i="12"/>
  <c r="N168" i="12"/>
  <c r="M221" i="12"/>
  <c r="G183" i="12"/>
  <c r="N175" i="12"/>
  <c r="T148" i="12"/>
  <c r="R103" i="12"/>
  <c r="S94" i="12"/>
  <c r="T145" i="12"/>
  <c r="N221" i="12"/>
  <c r="E209" i="12"/>
  <c r="E100" i="12"/>
  <c r="J226" i="12"/>
  <c r="L194" i="12"/>
  <c r="J224" i="12"/>
  <c r="K98" i="12"/>
  <c r="N182" i="12"/>
  <c r="O162" i="12"/>
  <c r="R201" i="12"/>
  <c r="I195" i="12"/>
  <c r="M93" i="12"/>
  <c r="E164" i="12"/>
  <c r="L182" i="12"/>
  <c r="V143" i="12"/>
  <c r="E194" i="12"/>
  <c r="S133" i="12"/>
  <c r="G187" i="12"/>
  <c r="K230" i="12"/>
  <c r="H139" i="12"/>
  <c r="O134" i="12"/>
  <c r="O141" i="12"/>
  <c r="U230" i="12"/>
  <c r="R99" i="12"/>
  <c r="N104" i="12"/>
  <c r="E97" i="12"/>
  <c r="Q230" i="12"/>
  <c r="L92" i="12"/>
  <c r="F166" i="12"/>
  <c r="S159" i="12"/>
  <c r="D98" i="12"/>
  <c r="L151" i="12"/>
  <c r="H93" i="12"/>
  <c r="P180" i="12"/>
  <c r="J156" i="12"/>
  <c r="R178" i="12"/>
  <c r="T204" i="12"/>
  <c r="N154" i="12"/>
  <c r="T221" i="12"/>
  <c r="Q151" i="12"/>
  <c r="L210" i="12"/>
  <c r="L218" i="12"/>
  <c r="E172" i="12"/>
  <c r="F91" i="12"/>
  <c r="R90" i="12"/>
  <c r="I158" i="12"/>
  <c r="F229" i="12"/>
  <c r="T142" i="12"/>
  <c r="V104" i="12"/>
  <c r="V224" i="12"/>
  <c r="T144" i="12"/>
  <c r="K142" i="12"/>
  <c r="V226" i="12"/>
  <c r="M179" i="12"/>
  <c r="I189" i="12"/>
  <c r="P142" i="12"/>
  <c r="E148" i="12"/>
  <c r="Q160" i="12"/>
  <c r="T227" i="12"/>
  <c r="K89" i="12"/>
  <c r="E99" i="12"/>
  <c r="I185" i="12"/>
  <c r="S198" i="12"/>
  <c r="M173" i="12"/>
  <c r="P91" i="12"/>
  <c r="V158" i="12"/>
  <c r="S222" i="12"/>
  <c r="M180" i="12"/>
  <c r="P196" i="12"/>
  <c r="K210" i="12"/>
  <c r="F106" i="12"/>
  <c r="O160" i="12"/>
  <c r="O226" i="12"/>
  <c r="D152" i="12"/>
  <c r="G227" i="12"/>
  <c r="V173" i="12"/>
  <c r="G196" i="12"/>
  <c r="E227" i="12"/>
  <c r="D104" i="12"/>
  <c r="L152" i="12"/>
  <c r="R206" i="12"/>
  <c r="E186" i="12"/>
  <c r="K99" i="12"/>
  <c r="U160" i="12"/>
  <c r="H186" i="12"/>
  <c r="F176" i="12"/>
  <c r="U92" i="12"/>
  <c r="S207" i="12"/>
  <c r="H89" i="12"/>
  <c r="T154" i="12"/>
  <c r="N103" i="12"/>
  <c r="D169" i="12"/>
  <c r="P232" i="12"/>
  <c r="M206" i="12"/>
  <c r="L142" i="12"/>
  <c r="Q96" i="12"/>
  <c r="D208" i="12"/>
  <c r="T200" i="12"/>
  <c r="O143" i="12"/>
  <c r="D210" i="12"/>
  <c r="M200" i="12"/>
  <c r="L94" i="12"/>
  <c r="N172" i="12"/>
  <c r="R132" i="12"/>
  <c r="D93" i="12"/>
  <c r="E229" i="12"/>
  <c r="R188" i="12"/>
  <c r="Q206" i="12"/>
  <c r="P195" i="12"/>
  <c r="P140" i="12"/>
  <c r="O91" i="12"/>
  <c r="L159" i="12"/>
  <c r="F230" i="12"/>
  <c r="K198" i="12"/>
  <c r="V99" i="12"/>
  <c r="K148" i="12"/>
  <c r="N174" i="12"/>
  <c r="G181" i="12"/>
  <c r="U227" i="12"/>
  <c r="T158" i="12"/>
  <c r="O159" i="12"/>
  <c r="S177" i="12"/>
  <c r="U140" i="12"/>
  <c r="T104" i="12"/>
  <c r="L179" i="12"/>
  <c r="J180" i="12"/>
  <c r="P217" i="12"/>
  <c r="N207" i="12"/>
  <c r="T201" i="12"/>
  <c r="I176" i="12"/>
  <c r="R216" i="12"/>
  <c r="U100" i="12"/>
  <c r="K207" i="12"/>
  <c r="J103" i="12"/>
  <c r="S151" i="12"/>
  <c r="F219" i="12"/>
  <c r="O139" i="12"/>
  <c r="R175" i="12"/>
  <c r="M142" i="12"/>
  <c r="O96" i="12"/>
  <c r="V169" i="12"/>
  <c r="O215" i="12"/>
  <c r="F141" i="12"/>
  <c r="N228" i="12"/>
  <c r="H227" i="12"/>
  <c r="O163" i="12"/>
  <c r="U232" i="12"/>
  <c r="K220" i="12"/>
  <c r="K226" i="12"/>
  <c r="J203" i="12"/>
  <c r="H184" i="12"/>
  <c r="P194" i="12"/>
  <c r="K102" i="12"/>
  <c r="G102" i="12"/>
  <c r="K206" i="12"/>
  <c r="D183" i="12"/>
  <c r="E154" i="12"/>
  <c r="K166" i="12"/>
  <c r="L186" i="12"/>
  <c r="G162" i="12"/>
  <c r="V166" i="12"/>
  <c r="V225" i="12"/>
  <c r="V138" i="12"/>
  <c r="D187" i="12"/>
  <c r="I221" i="12"/>
  <c r="O218" i="12"/>
  <c r="D96" i="12"/>
  <c r="Q138" i="12"/>
  <c r="U187" i="12"/>
  <c r="D200" i="12"/>
  <c r="J155" i="12"/>
  <c r="R200" i="12"/>
  <c r="I222" i="12"/>
  <c r="S181" i="12"/>
  <c r="U172" i="12"/>
  <c r="V216" i="12"/>
  <c r="E226" i="12"/>
  <c r="O206" i="12"/>
  <c r="T176" i="12"/>
  <c r="D190" i="12"/>
  <c r="U158" i="12"/>
  <c r="H130" i="12"/>
  <c r="M160" i="12"/>
  <c r="M223" i="12"/>
  <c r="F182" i="12"/>
  <c r="E199" i="12"/>
  <c r="V140" i="12"/>
  <c r="E132" i="12"/>
  <c r="Q185" i="12"/>
  <c r="R97" i="12"/>
  <c r="V160" i="12"/>
  <c r="K204" i="12"/>
  <c r="M185" i="12"/>
  <c r="G97" i="12"/>
  <c r="L205" i="12"/>
  <c r="G219" i="12"/>
  <c r="G138" i="12"/>
  <c r="S206" i="12"/>
  <c r="H103" i="12"/>
  <c r="O216" i="12"/>
  <c r="T206" i="12"/>
  <c r="H137" i="12"/>
  <c r="F193" i="12"/>
  <c r="K92" i="12"/>
  <c r="I226" i="12"/>
  <c r="U211" i="12"/>
  <c r="D92" i="12"/>
  <c r="N201" i="12"/>
  <c r="V195" i="12"/>
  <c r="G94" i="12"/>
  <c r="U96" i="12"/>
  <c r="O173" i="12"/>
  <c r="K200" i="12"/>
  <c r="L172" i="12"/>
  <c r="M224" i="12"/>
  <c r="T97" i="12"/>
  <c r="S145" i="12"/>
  <c r="P178" i="12"/>
  <c r="L133" i="12"/>
  <c r="L200" i="12"/>
  <c r="I151" i="12"/>
  <c r="P177" i="12"/>
  <c r="I140" i="12"/>
  <c r="M143" i="12"/>
  <c r="U146" i="12"/>
  <c r="L166" i="12"/>
  <c r="D201" i="12"/>
  <c r="P162" i="12"/>
  <c r="H216" i="12"/>
  <c r="N229" i="12"/>
  <c r="D175" i="12"/>
  <c r="K169" i="12"/>
  <c r="K180" i="12"/>
  <c r="Q137" i="12"/>
  <c r="F220" i="12"/>
  <c r="E197" i="12"/>
  <c r="T211" i="12"/>
  <c r="H143" i="12"/>
  <c r="J177" i="12"/>
  <c r="J95" i="12"/>
  <c r="O168" i="12"/>
  <c r="T179" i="12"/>
  <c r="D181" i="12"/>
  <c r="T159" i="12"/>
  <c r="M196" i="12"/>
  <c r="L137" i="12"/>
  <c r="H202" i="12"/>
  <c r="Q106" i="12"/>
  <c r="S195" i="12"/>
  <c r="J232" i="12"/>
  <c r="E139" i="12"/>
  <c r="L208" i="12"/>
  <c r="Q166" i="12"/>
  <c r="T157" i="12"/>
  <c r="O183" i="12"/>
  <c r="S232" i="12"/>
  <c r="Q154" i="12"/>
  <c r="J183" i="12"/>
  <c r="T134" i="12"/>
  <c r="T226" i="12"/>
  <c r="P143" i="12"/>
  <c r="P228" i="12"/>
  <c r="T182" i="12"/>
  <c r="M100" i="12"/>
  <c r="V214" i="12"/>
  <c r="M152" i="12"/>
  <c r="U174" i="12"/>
  <c r="D142" i="12"/>
  <c r="K132" i="12"/>
  <c r="J228" i="12"/>
  <c r="Q135" i="12"/>
  <c r="S130" i="12"/>
  <c r="D198" i="12"/>
  <c r="E204" i="12"/>
  <c r="L193" i="12"/>
  <c r="R162" i="12"/>
  <c r="K154" i="12"/>
  <c r="D188" i="12"/>
  <c r="M158" i="12"/>
  <c r="F95" i="12"/>
  <c r="H200" i="12"/>
  <c r="U178" i="12"/>
  <c r="U142" i="12"/>
  <c r="U153" i="12"/>
  <c r="R137" i="12"/>
  <c r="D133" i="12"/>
  <c r="Q131" i="12"/>
  <c r="V141" i="12"/>
  <c r="U200" i="12"/>
  <c r="O155" i="12"/>
  <c r="K141" i="12"/>
  <c r="G207" i="12"/>
  <c r="P183" i="12"/>
  <c r="P153" i="12"/>
  <c r="E188" i="12"/>
  <c r="T98" i="12"/>
  <c r="N181" i="12"/>
  <c r="H209" i="12"/>
  <c r="K143" i="12"/>
  <c r="G204" i="12"/>
  <c r="L90" i="12"/>
  <c r="E230" i="12"/>
  <c r="M197" i="12"/>
  <c r="Q179" i="12"/>
  <c r="U203" i="12"/>
  <c r="R147" i="12"/>
  <c r="K221" i="12"/>
  <c r="S209" i="12"/>
  <c r="F105" i="12"/>
  <c r="R136" i="12"/>
  <c r="E206" i="12"/>
  <c r="S103" i="12"/>
  <c r="H145" i="12"/>
  <c r="R145" i="12"/>
  <c r="F211" i="12"/>
  <c r="R164" i="12"/>
  <c r="D195" i="12"/>
  <c r="D204" i="12"/>
  <c r="E219" i="12"/>
  <c r="D193" i="12"/>
  <c r="H180" i="12"/>
  <c r="F96" i="12"/>
  <c r="V175" i="12"/>
  <c r="J184" i="12"/>
  <c r="T186" i="12"/>
  <c r="H157" i="12"/>
  <c r="D89" i="12"/>
  <c r="R140" i="12"/>
  <c r="H204" i="12"/>
  <c r="Q187" i="12"/>
  <c r="T151" i="12"/>
  <c r="P181" i="12"/>
  <c r="Q172" i="12"/>
  <c r="Q134" i="12"/>
  <c r="U201" i="12"/>
  <c r="D97" i="12"/>
  <c r="E106" i="12"/>
  <c r="Q226" i="12"/>
  <c r="T181" i="12"/>
  <c r="K97" i="12"/>
  <c r="Q183" i="12"/>
  <c r="L104" i="12"/>
  <c r="D91" i="12"/>
  <c r="U148" i="12"/>
  <c r="G99" i="12"/>
  <c r="L164" i="12"/>
  <c r="K100" i="12"/>
  <c r="J164" i="12"/>
  <c r="R130" i="12"/>
  <c r="N158" i="12"/>
  <c r="L188" i="12"/>
  <c r="J99" i="12"/>
  <c r="T220" i="12"/>
  <c r="E220" i="12"/>
  <c r="P154" i="12"/>
  <c r="E200" i="12"/>
  <c r="F203" i="12"/>
  <c r="F196" i="12"/>
  <c r="O106" i="12"/>
  <c r="M176" i="12"/>
  <c r="E151" i="12"/>
  <c r="R204" i="12"/>
  <c r="T137" i="12"/>
  <c r="R211" i="12"/>
  <c r="O144" i="12"/>
  <c r="L101" i="12"/>
  <c r="H187" i="12"/>
  <c r="H159" i="12"/>
  <c r="U219" i="12"/>
  <c r="H155" i="12"/>
  <c r="M163" i="12"/>
  <c r="H166" i="12"/>
  <c r="O153" i="12"/>
  <c r="D229" i="12"/>
  <c r="N95" i="12"/>
  <c r="F202" i="12"/>
  <c r="N193" i="12"/>
  <c r="D155" i="12"/>
  <c r="R158" i="12"/>
  <c r="V203" i="12"/>
  <c r="F231" i="12"/>
  <c r="E181" i="12"/>
  <c r="V105" i="12"/>
  <c r="J205" i="12"/>
  <c r="O232" i="12"/>
  <c r="U89" i="12"/>
  <c r="G201" i="12"/>
  <c r="S231" i="12"/>
  <c r="O93" i="12"/>
  <c r="K90" i="12"/>
  <c r="O193" i="12"/>
  <c r="U228" i="12"/>
  <c r="F161" i="12"/>
  <c r="Q153" i="12"/>
  <c r="F165" i="12"/>
  <c r="T164" i="12"/>
  <c r="G164" i="12"/>
  <c r="N131" i="12"/>
  <c r="I223" i="12"/>
  <c r="N167" i="12"/>
  <c r="I89" i="12"/>
  <c r="G165" i="12"/>
  <c r="G139" i="12"/>
  <c r="S160" i="12"/>
  <c r="T106" i="12"/>
  <c r="I152" i="12"/>
  <c r="S175" i="12"/>
  <c r="N208" i="12"/>
  <c r="D218" i="12"/>
  <c r="K172" i="12"/>
  <c r="G154" i="12"/>
  <c r="N156" i="12"/>
  <c r="Q100" i="12"/>
  <c r="H96" i="12"/>
  <c r="L232" i="12"/>
  <c r="T132" i="12"/>
  <c r="K227" i="12"/>
  <c r="S187" i="12"/>
  <c r="S189" i="12"/>
  <c r="S165" i="12"/>
  <c r="S154" i="12"/>
  <c r="U225" i="12"/>
  <c r="I179" i="12"/>
  <c r="J209" i="12"/>
  <c r="R133" i="12"/>
  <c r="F99" i="12"/>
  <c r="P157" i="12"/>
  <c r="I207" i="12"/>
  <c r="M220" i="12"/>
  <c r="E214" i="12"/>
  <c r="E142" i="12"/>
  <c r="S180" i="12"/>
  <c r="J187" i="12"/>
  <c r="I198" i="12"/>
  <c r="P137" i="12"/>
  <c r="J133" i="12"/>
  <c r="T101" i="12"/>
  <c r="S169" i="12"/>
  <c r="R190" i="12"/>
  <c r="S201" i="12"/>
  <c r="L219" i="12"/>
  <c r="P167" i="12"/>
  <c r="R106" i="12"/>
  <c r="M193" i="12"/>
  <c r="T88" i="12"/>
  <c r="E232" i="12"/>
  <c r="E94" i="12"/>
  <c r="Q223" i="12"/>
  <c r="N139" i="12"/>
  <c r="V229" i="12"/>
  <c r="I183" i="12"/>
  <c r="E143" i="12"/>
  <c r="J144" i="12"/>
  <c r="J154" i="12"/>
  <c r="M188" i="12"/>
  <c r="F101" i="12"/>
  <c r="V179" i="12"/>
  <c r="J166" i="12"/>
  <c r="G163" i="12"/>
  <c r="Q184" i="12"/>
  <c r="R182" i="12"/>
  <c r="V182" i="12"/>
  <c r="P152" i="12"/>
  <c r="P189" i="12"/>
  <c r="J176" i="12"/>
  <c r="O189" i="12"/>
  <c r="M203" i="12"/>
  <c r="L140" i="12"/>
  <c r="R232" i="12"/>
  <c r="L144" i="12"/>
  <c r="U166" i="12"/>
  <c r="J141" i="12"/>
  <c r="I161" i="12"/>
  <c r="N99" i="12"/>
  <c r="O148" i="12"/>
  <c r="K185" i="12"/>
  <c r="D132" i="12"/>
  <c r="H176" i="12"/>
  <c r="E178" i="12"/>
  <c r="V135" i="12"/>
  <c r="K223" i="12"/>
  <c r="T178" i="12"/>
  <c r="M106" i="12"/>
  <c r="E190" i="12"/>
  <c r="T174" i="12"/>
  <c r="K145" i="12"/>
  <c r="S142" i="12"/>
  <c r="H158" i="12"/>
  <c r="N184" i="12"/>
  <c r="H92" i="12"/>
  <c r="P163" i="12"/>
  <c r="O154" i="12"/>
  <c r="P216" i="12"/>
  <c r="O136" i="12"/>
  <c r="R88" i="12"/>
  <c r="I106" i="12"/>
  <c r="G100" i="12"/>
  <c r="F158" i="12"/>
  <c r="S185" i="12"/>
  <c r="H228" i="12"/>
  <c r="Q194" i="12"/>
  <c r="D156" i="12"/>
  <c r="E133" i="12"/>
  <c r="U221" i="12"/>
  <c r="S205" i="12"/>
  <c r="D216" i="12"/>
  <c r="J105" i="12"/>
  <c r="O95" i="12"/>
  <c r="T184" i="12"/>
  <c r="D197" i="12"/>
  <c r="K168" i="12"/>
  <c r="P218" i="12"/>
  <c r="R202" i="12"/>
  <c r="H101" i="12"/>
  <c r="V188" i="12"/>
  <c r="K146" i="12"/>
  <c r="Q196" i="12"/>
  <c r="F173" i="12"/>
  <c r="E187" i="12"/>
  <c r="I148" i="12"/>
  <c r="G145" i="12"/>
  <c r="O179" i="12"/>
  <c r="R143" i="12"/>
  <c r="J90" i="12"/>
  <c r="P224" i="12"/>
  <c r="T133" i="12"/>
  <c r="M177" i="12"/>
  <c r="V200" i="12"/>
  <c r="T139" i="12"/>
  <c r="G135" i="12"/>
  <c r="R167" i="12"/>
  <c r="F137" i="12"/>
  <c r="M202" i="12"/>
  <c r="M148" i="12"/>
  <c r="V95" i="12"/>
  <c r="U165" i="12"/>
  <c r="V218" i="12"/>
  <c r="M103" i="12"/>
  <c r="L225" i="12"/>
  <c r="L215" i="12"/>
  <c r="D131" i="12"/>
  <c r="M165" i="12"/>
  <c r="U152" i="12"/>
  <c r="G197" i="12"/>
  <c r="I104" i="12"/>
  <c r="P147" i="12"/>
  <c r="Q217" i="12"/>
  <c r="E159" i="12"/>
  <c r="U134" i="12"/>
  <c r="U185" i="12"/>
  <c r="O174" i="12"/>
  <c r="I141" i="12"/>
  <c r="D179" i="12"/>
  <c r="Q225" i="12"/>
  <c r="U218" i="12"/>
  <c r="H211" i="12"/>
  <c r="M97" i="12"/>
  <c r="M91" i="12"/>
  <c r="H90" i="12"/>
  <c r="M156" i="12"/>
  <c r="U214" i="12"/>
  <c r="P207" i="12"/>
  <c r="L147" i="12"/>
  <c r="L199" i="12"/>
  <c r="J220" i="12"/>
  <c r="F169" i="12"/>
  <c r="N160" i="12"/>
  <c r="M187" i="12"/>
  <c r="I136" i="12"/>
  <c r="O89" i="12"/>
  <c r="J222" i="12"/>
  <c r="H134" i="12"/>
  <c r="Q205" i="12"/>
  <c r="N145" i="12"/>
  <c r="V134" i="12"/>
  <c r="I182" i="12"/>
  <c r="R169" i="12"/>
  <c r="J185" i="12"/>
  <c r="F201" i="12"/>
  <c r="V102" i="12"/>
  <c r="Q231" i="12"/>
  <c r="G193" i="12"/>
  <c r="S182" i="12"/>
  <c r="V197" i="12"/>
  <c r="O198" i="12"/>
  <c r="R218" i="12"/>
  <c r="T216" i="12"/>
  <c r="H206" i="12"/>
  <c r="L184" i="12"/>
  <c r="H190" i="12"/>
  <c r="S186" i="12"/>
  <c r="S219" i="12"/>
  <c r="I93" i="12"/>
  <c r="H177" i="12"/>
  <c r="O203" i="12"/>
  <c r="E169" i="12"/>
  <c r="P230" i="12"/>
  <c r="Q215" i="12"/>
  <c r="M167" i="12"/>
  <c r="E221" i="12"/>
  <c r="R203" i="12"/>
  <c r="G134" i="12"/>
  <c r="V220" i="12"/>
  <c r="R220" i="12"/>
  <c r="F132" i="12"/>
  <c r="D189" i="12"/>
  <c r="J210" i="12"/>
  <c r="G205" i="12"/>
  <c r="H183" i="12"/>
  <c r="N227" i="12"/>
  <c r="J221" i="12"/>
  <c r="E152" i="12"/>
  <c r="I181" i="12"/>
  <c r="U231" i="12"/>
  <c r="F178" i="12"/>
  <c r="F188" i="12"/>
  <c r="O210" i="12"/>
  <c r="I180" i="12"/>
  <c r="M157" i="12"/>
  <c r="H169" i="12"/>
  <c r="G200" i="12"/>
  <c r="T169" i="12"/>
  <c r="L91" i="12"/>
  <c r="F185" i="12"/>
  <c r="F208" i="12"/>
  <c r="V168" i="12"/>
  <c r="Q140" i="12"/>
  <c r="H179" i="12"/>
  <c r="Q219" i="12"/>
  <c r="T138" i="12"/>
  <c r="V190" i="12"/>
  <c r="G156" i="12"/>
  <c r="Q97" i="12"/>
  <c r="U208" i="12"/>
  <c r="J227" i="12"/>
  <c r="G217" i="12"/>
  <c r="S174" i="12"/>
  <c r="R94" i="12"/>
  <c r="V148" i="12"/>
  <c r="V142" i="12"/>
  <c r="I95" i="12"/>
  <c r="H148" i="12"/>
  <c r="D151" i="12"/>
  <c r="M211" i="12"/>
  <c r="K164" i="12"/>
  <c r="S139" i="12"/>
  <c r="N224" i="12"/>
  <c r="L216" i="12"/>
  <c r="L100" i="12"/>
  <c r="I139" i="12"/>
  <c r="E155" i="12"/>
  <c r="M204" i="12"/>
  <c r="N178" i="12"/>
  <c r="L187" i="12"/>
  <c r="L146" i="12"/>
  <c r="U162" i="12"/>
  <c r="R197" i="12"/>
  <c r="J146" i="12"/>
  <c r="K199" i="12"/>
  <c r="K153" i="12"/>
  <c r="S227" i="12"/>
  <c r="F93" i="12"/>
  <c r="U141" i="12"/>
  <c r="U104" i="12"/>
  <c r="L157" i="12"/>
  <c r="L169" i="12"/>
  <c r="O202" i="12"/>
  <c r="U95" i="12"/>
  <c r="E208" i="12"/>
  <c r="K209" i="12"/>
  <c r="F140" i="12"/>
  <c r="J157" i="12"/>
  <c r="K158" i="12"/>
  <c r="G159" i="12"/>
  <c r="G189" i="12"/>
  <c r="G158" i="12"/>
  <c r="F181" i="12"/>
  <c r="O223" i="12"/>
  <c r="M195" i="12"/>
  <c r="U138" i="12"/>
  <c r="K163" i="12"/>
  <c r="H165" i="12"/>
  <c r="L88" i="12"/>
  <c r="N218" i="12"/>
  <c r="D173" i="12"/>
  <c r="Q224" i="12"/>
  <c r="H135" i="12"/>
  <c r="V180" i="12"/>
  <c r="I163" i="12"/>
  <c r="V206" i="12"/>
  <c r="U188" i="12"/>
  <c r="E183" i="12"/>
  <c r="K196" i="12"/>
  <c r="I168" i="12"/>
  <c r="S97" i="12"/>
  <c r="V137" i="12"/>
  <c r="E153" i="12"/>
  <c r="M159" i="12"/>
  <c r="J172" i="12"/>
  <c r="Q168" i="12"/>
  <c r="L227" i="12"/>
  <c r="H91" i="12"/>
  <c r="P135" i="12"/>
  <c r="O181" i="12"/>
  <c r="L217" i="12"/>
  <c r="F131" i="12"/>
  <c r="F210" i="12"/>
  <c r="R148" i="12"/>
  <c r="D176" i="12"/>
  <c r="S190" i="12"/>
  <c r="E231" i="12"/>
  <c r="E92" i="12"/>
  <c r="N196" i="12"/>
  <c r="H185" i="12"/>
  <c r="U183" i="12"/>
  <c r="F145" i="12"/>
  <c r="F153" i="12"/>
  <c r="R176" i="12"/>
  <c r="D232" i="12"/>
  <c r="J188" i="12"/>
  <c r="M189" i="12"/>
  <c r="V98" i="12"/>
  <c r="Q222" i="12"/>
  <c r="J225" i="12"/>
  <c r="L197" i="12"/>
  <c r="H100" i="12"/>
  <c r="R195" i="12"/>
  <c r="N93" i="12"/>
  <c r="M207" i="12"/>
  <c r="Q204" i="12"/>
  <c r="L181" i="12"/>
  <c r="V228" i="12"/>
  <c r="Q103" i="12"/>
  <c r="P200" i="12"/>
  <c r="E102" i="12"/>
  <c r="L155" i="12"/>
  <c r="G211" i="12"/>
  <c r="L223" i="12"/>
  <c r="T193" i="12"/>
  <c r="U206" i="12"/>
  <c r="L102" i="12"/>
  <c r="S167" i="12"/>
  <c r="F200" i="12"/>
  <c r="H218" i="12"/>
  <c r="K224" i="12"/>
  <c r="G146" i="12"/>
  <c r="V106" i="12"/>
  <c r="G95" i="12"/>
  <c r="K181" i="12"/>
  <c r="P90" i="12"/>
  <c r="T102" i="12"/>
  <c r="F174" i="12"/>
  <c r="V210" i="12"/>
  <c r="R210" i="12"/>
  <c r="E91" i="12"/>
  <c r="M226" i="12"/>
  <c r="H147" i="12"/>
  <c r="I232" i="12"/>
  <c r="N105" i="12"/>
  <c r="N173" i="12"/>
  <c r="K131" i="12"/>
  <c r="D99" i="12"/>
  <c r="D203" i="12"/>
  <c r="K189" i="12"/>
  <c r="L203" i="12"/>
  <c r="L98" i="12"/>
  <c r="F232" i="12"/>
  <c r="E130" i="12"/>
  <c r="E168" i="12"/>
  <c r="S152" i="12"/>
  <c r="V94" i="12"/>
  <c r="H189" i="12"/>
  <c r="G101" i="12"/>
  <c r="U207" i="12"/>
  <c r="G194" i="12"/>
  <c r="F148" i="12"/>
  <c r="J199" i="12"/>
  <c r="G195" i="12"/>
  <c r="U103" i="12"/>
  <c r="U131" i="12"/>
  <c r="P106" i="12"/>
  <c r="M132" i="12"/>
  <c r="T224" i="12"/>
  <c r="R139" i="12"/>
  <c r="M102" i="12"/>
  <c r="S211" i="12"/>
  <c r="G92" i="12"/>
  <c r="O201" i="12"/>
  <c r="Q210" i="12"/>
  <c r="J206" i="12"/>
  <c r="H98" i="12"/>
  <c r="N217" i="12"/>
  <c r="O224" i="12"/>
  <c r="R93" i="12"/>
  <c r="J143" i="12"/>
  <c r="O166" i="12"/>
  <c r="O208" i="12"/>
  <c r="M217" i="12"/>
  <c r="J195" i="12"/>
  <c r="D106" i="12"/>
  <c r="O176" i="12"/>
  <c r="O225" i="12"/>
  <c r="Q98" i="12"/>
  <c r="J158" i="12"/>
  <c r="I164" i="12"/>
  <c r="F157" i="12"/>
  <c r="M183" i="12"/>
  <c r="N101" i="12"/>
  <c r="K177" i="12"/>
  <c r="L224" i="12"/>
  <c r="M95" i="12"/>
  <c r="O219" i="12"/>
  <c r="E224" i="12"/>
  <c r="P141" i="12"/>
  <c r="P93" i="12"/>
  <c r="I147" i="12"/>
  <c r="O105" i="12"/>
  <c r="K179" i="12"/>
  <c r="D199" i="12"/>
  <c r="P219" i="12"/>
  <c r="T228" i="12"/>
  <c r="E216" i="12"/>
  <c r="V174" i="12"/>
  <c r="V100" i="12"/>
  <c r="Q211" i="12"/>
  <c r="K216" i="12"/>
  <c r="R229" i="12"/>
  <c r="D224" i="12"/>
  <c r="Q139" i="12"/>
  <c r="R219" i="12"/>
  <c r="S224" i="12"/>
  <c r="R138" i="12"/>
  <c r="D177" i="12"/>
  <c r="K144" i="12"/>
  <c r="S106" i="12"/>
  <c r="G214" i="12"/>
  <c r="H221" i="12"/>
  <c r="J153" i="12"/>
  <c r="D227" i="12"/>
  <c r="O194" i="12"/>
  <c r="J229" i="12"/>
  <c r="M135" i="12"/>
  <c r="R209" i="12"/>
  <c r="N88" i="12"/>
  <c r="F159" i="12"/>
  <c r="I142" i="12"/>
  <c r="S162" i="12"/>
  <c r="E89" i="12"/>
  <c r="N163" i="12"/>
  <c r="E211" i="12"/>
  <c r="H223" i="12"/>
  <c r="M155" i="12"/>
  <c r="V208" i="12"/>
  <c r="Q167" i="12"/>
  <c r="D205" i="12"/>
  <c r="P130" i="12"/>
  <c r="F151" i="12"/>
  <c r="V176" i="12"/>
  <c r="H95" i="12"/>
  <c r="D137" i="12"/>
  <c r="R185" i="12"/>
  <c r="M136" i="12"/>
  <c r="T185" i="12"/>
  <c r="D165" i="12"/>
  <c r="I230" i="12"/>
  <c r="E189" i="12"/>
  <c r="S102" i="12"/>
  <c r="S88" i="12"/>
  <c r="U222" i="12"/>
  <c r="V101" i="12"/>
  <c r="D180" i="12"/>
  <c r="V131" i="12"/>
  <c r="J137" i="12"/>
  <c r="M209" i="12"/>
  <c r="K201" i="12"/>
  <c r="K160" i="12"/>
  <c r="F226" i="12"/>
  <c r="N180" i="12"/>
  <c r="H152" i="12"/>
  <c r="N211" i="12"/>
  <c r="T153" i="12"/>
  <c r="I172" i="12"/>
  <c r="T202" i="12"/>
  <c r="F206" i="12"/>
  <c r="J140" i="12"/>
  <c r="L214" i="12"/>
  <c r="S200" i="12"/>
  <c r="I132" i="12"/>
  <c r="L222" i="12"/>
  <c r="D141" i="12"/>
  <c r="J207" i="12"/>
  <c r="T90" i="12"/>
  <c r="T146" i="12"/>
  <c r="V209" i="12"/>
  <c r="L168" i="12"/>
  <c r="K222" i="12"/>
  <c r="S90" i="12"/>
  <c r="G220" i="12"/>
  <c r="O151" i="12"/>
  <c r="I177" i="12"/>
  <c r="E218" i="12"/>
  <c r="R98" i="12"/>
  <c r="V201" i="12"/>
  <c r="T168" i="12"/>
  <c r="V145" i="12"/>
  <c r="D136" i="12"/>
  <c r="V159" i="12"/>
  <c r="O161" i="12"/>
  <c r="D172" i="12"/>
  <c r="V139" i="12"/>
  <c r="G151" i="12"/>
  <c r="R226" i="12"/>
  <c r="R159" i="12"/>
  <c r="F172" i="12"/>
  <c r="G230" i="12"/>
  <c r="J163" i="12"/>
  <c r="L160" i="12"/>
  <c r="P197" i="12"/>
  <c r="M98" i="12"/>
  <c r="O131" i="12"/>
  <c r="S147" i="12"/>
  <c r="S220" i="12"/>
  <c r="F139" i="12"/>
  <c r="S228" i="12"/>
  <c r="S210" i="12"/>
  <c r="H94" i="12"/>
  <c r="M216" i="12"/>
  <c r="S203" i="12"/>
  <c r="N216" i="12"/>
  <c r="U130" i="12"/>
  <c r="H104" i="12"/>
  <c r="V132" i="12"/>
  <c r="H168" i="12"/>
  <c r="U102" i="12"/>
  <c r="U88" i="12"/>
  <c r="K231" i="12"/>
  <c r="D138" i="12"/>
  <c r="G210" i="12"/>
  <c r="F100" i="12"/>
  <c r="I173" i="12"/>
  <c r="L138" i="12"/>
  <c r="L158" i="12"/>
  <c r="J204" i="12"/>
  <c r="I206" i="12"/>
  <c r="P99" i="12"/>
  <c r="R186" i="12"/>
  <c r="U145" i="12"/>
  <c r="H97" i="12"/>
  <c r="L185" i="12"/>
  <c r="F216" i="12"/>
  <c r="M194" i="12"/>
  <c r="T103" i="12"/>
  <c r="J194" i="12"/>
  <c r="D90" i="12"/>
  <c r="D144" i="12"/>
  <c r="F168" i="12"/>
  <c r="L209" i="12"/>
  <c r="V103" i="12"/>
  <c r="O104" i="12"/>
  <c r="P231" i="12"/>
  <c r="L93" i="12"/>
  <c r="U182" i="12"/>
  <c r="I159" i="12"/>
  <c r="P159" i="12"/>
  <c r="R105" i="12"/>
  <c r="F222" i="12"/>
  <c r="L156" i="12"/>
  <c r="R135" i="12"/>
  <c r="U189" i="12"/>
  <c r="O100" i="12"/>
  <c r="G224" i="12"/>
  <c r="Q132" i="12"/>
  <c r="S218" i="12"/>
  <c r="P229" i="12"/>
  <c r="T180" i="12"/>
  <c r="P175" i="12"/>
  <c r="J190" i="12"/>
  <c r="N142" i="12"/>
  <c r="E135" i="12"/>
  <c r="I162" i="12"/>
  <c r="R227" i="12"/>
  <c r="I90" i="12"/>
  <c r="Q214" i="12"/>
  <c r="D94" i="12"/>
  <c r="R172" i="12"/>
  <c r="P199" i="12"/>
  <c r="L105" i="12"/>
  <c r="U190" i="12"/>
  <c r="N226" i="12"/>
  <c r="N96" i="12"/>
  <c r="I219" i="12"/>
  <c r="E222" i="12"/>
  <c r="U136" i="12"/>
  <c r="O102" i="12"/>
  <c r="T93" i="12"/>
  <c r="G178" i="12"/>
  <c r="O197" i="12"/>
  <c r="N186" i="12"/>
  <c r="T215" i="12"/>
  <c r="U106" i="12"/>
  <c r="I184" i="12"/>
  <c r="N102" i="12"/>
  <c r="G105" i="12"/>
  <c r="K195" i="12"/>
  <c r="T152" i="12"/>
  <c r="V227" i="12"/>
  <c r="H226" i="12"/>
  <c r="H196" i="12"/>
  <c r="V92" i="12"/>
  <c r="Q190" i="12"/>
  <c r="K139" i="12"/>
  <c r="Q148" i="12"/>
  <c r="P145" i="12"/>
  <c r="T141" i="12"/>
  <c r="N197" i="12"/>
  <c r="K140" i="12"/>
  <c r="H136" i="12"/>
  <c r="G89" i="12"/>
  <c r="J134" i="12"/>
  <c r="H181" i="12"/>
  <c r="D143" i="12"/>
  <c r="N169" i="12"/>
  <c r="N140" i="12"/>
  <c r="Q161" i="12"/>
  <c r="H225" i="12"/>
  <c r="O200" i="12"/>
  <c r="V193" i="12"/>
  <c r="R151" i="12"/>
  <c r="S156" i="12"/>
  <c r="G143" i="12"/>
  <c r="P179" i="12"/>
  <c r="V202" i="12"/>
  <c r="V161" i="12"/>
  <c r="U209" i="12"/>
  <c r="P165" i="12"/>
  <c r="K147" i="12"/>
  <c r="P214" i="12"/>
  <c r="R163" i="12"/>
  <c r="K156" i="12"/>
  <c r="E176" i="12"/>
  <c r="T143" i="12"/>
  <c r="P146" i="12"/>
  <c r="R215" i="12"/>
  <c r="T163" i="12"/>
  <c r="O196" i="12"/>
  <c r="V199" i="12"/>
  <c r="V230" i="12"/>
  <c r="N177" i="12"/>
  <c r="N166" i="12"/>
  <c r="M88" i="12"/>
  <c r="U139" i="12"/>
  <c r="V186" i="12"/>
  <c r="O133" i="12"/>
  <c r="S188" i="12"/>
  <c r="D95" i="12"/>
  <c r="Q228" i="12"/>
  <c r="F187" i="12"/>
  <c r="V90" i="12"/>
  <c r="M146" i="12"/>
  <c r="M169" i="12"/>
  <c r="Q136" i="12"/>
  <c r="N98" i="12"/>
  <c r="R179" i="12"/>
  <c r="G136" i="12"/>
  <c r="M181" i="12"/>
  <c r="R146" i="12"/>
  <c r="V177" i="12"/>
  <c r="J217" i="12"/>
  <c r="I138" i="12"/>
  <c r="D161" i="12"/>
  <c r="H141" i="12"/>
  <c r="D220" i="12"/>
  <c r="Q193" i="12"/>
  <c r="M172" i="12"/>
  <c r="Q227" i="12"/>
  <c r="G173" i="12"/>
  <c r="Q95" i="12"/>
  <c r="N220" i="12"/>
  <c r="L230" i="12"/>
  <c r="E131" i="12"/>
  <c r="O177" i="12"/>
  <c r="G132" i="12"/>
  <c r="D222" i="12"/>
  <c r="K194" i="12"/>
  <c r="O230" i="12"/>
  <c r="J211" i="12"/>
  <c r="E138" i="12"/>
  <c r="L226" i="12"/>
  <c r="K159" i="12"/>
  <c r="V97" i="12"/>
  <c r="F180" i="12"/>
  <c r="O137" i="12"/>
  <c r="R223" i="12"/>
  <c r="T99" i="12"/>
  <c r="L139" i="12"/>
  <c r="I160" i="12"/>
  <c r="F90" i="12"/>
  <c r="D105" i="12"/>
  <c r="S138" i="12"/>
  <c r="Q159" i="12"/>
  <c r="I205" i="12"/>
  <c r="F134" i="12"/>
  <c r="G208" i="12"/>
  <c r="N90" i="12"/>
  <c r="R198" i="12"/>
  <c r="D146" i="12"/>
  <c r="E156" i="12"/>
  <c r="M166" i="12"/>
  <c r="Q216" i="12"/>
  <c r="Q158" i="12"/>
  <c r="L89" i="12"/>
  <c r="H182" i="12"/>
  <c r="U167" i="12"/>
  <c r="I94" i="12"/>
  <c r="E182" i="12"/>
  <c r="F179" i="12"/>
  <c r="J231" i="12"/>
  <c r="S173" i="12"/>
  <c r="S226" i="12"/>
  <c r="F130" i="12"/>
  <c r="G232" i="12"/>
  <c r="U143" i="12"/>
  <c r="U184" i="12"/>
  <c r="V146" i="12"/>
  <c r="V183" i="12"/>
  <c r="T230" i="12"/>
  <c r="I98" i="12"/>
  <c r="R183" i="12"/>
  <c r="Q94" i="12"/>
  <c r="J97" i="12"/>
  <c r="U175" i="12"/>
  <c r="I166" i="12"/>
  <c r="T205" i="12"/>
  <c r="D194" i="12"/>
  <c r="M96" i="12"/>
  <c r="S89" i="12"/>
  <c r="P166" i="12"/>
  <c r="G104" i="12"/>
  <c r="R231" i="12"/>
  <c r="F142" i="12"/>
  <c r="G228" i="12"/>
  <c r="P138" i="12"/>
  <c r="O90" i="12"/>
  <c r="N200" i="12"/>
  <c r="I215" i="12"/>
  <c r="F146" i="12"/>
  <c r="L153" i="12"/>
  <c r="E225" i="12"/>
  <c r="U90" i="12"/>
  <c r="R160" i="12"/>
  <c r="I220" i="12"/>
  <c r="J169" i="12"/>
  <c r="M215" i="12"/>
  <c r="O138" i="12"/>
  <c r="Q174" i="12"/>
  <c r="O92" i="12"/>
  <c r="H178" i="12"/>
  <c r="D100" i="12"/>
  <c r="P92" i="12"/>
  <c r="U161" i="12"/>
  <c r="Q89" i="12"/>
  <c r="P222" i="12"/>
  <c r="F221" i="12"/>
  <c r="S164" i="12"/>
  <c r="O221" i="12"/>
  <c r="L180" i="12"/>
  <c r="T156" i="12"/>
  <c r="O229" i="12"/>
  <c r="H106" i="12"/>
  <c r="Q188" i="12"/>
  <c r="L161" i="12"/>
  <c r="T218" i="12"/>
  <c r="N214" i="12"/>
  <c r="P226" i="12"/>
  <c r="G166" i="12"/>
  <c r="S100" i="12"/>
  <c r="P215" i="12"/>
  <c r="U164" i="12"/>
  <c r="P88" i="12"/>
  <c r="H220" i="12"/>
  <c r="H199" i="12"/>
  <c r="K205" i="12"/>
  <c r="I102" i="12"/>
  <c r="P98" i="12"/>
  <c r="H201" i="12"/>
  <c r="L145" i="12"/>
  <c r="U223" i="12"/>
  <c r="R228" i="12"/>
  <c r="R92" i="12"/>
  <c r="N97" i="12"/>
  <c r="I91" i="12"/>
  <c r="D184" i="12"/>
  <c r="K225" i="12"/>
  <c r="E165" i="12"/>
  <c r="U173" i="12"/>
  <c r="S137" i="12"/>
  <c r="H164" i="12"/>
  <c r="U194" i="12"/>
  <c r="U216" i="12"/>
  <c r="R207" i="12"/>
  <c r="S172" i="12"/>
  <c r="J189" i="12"/>
  <c r="J92" i="12"/>
  <c r="E136" i="12"/>
  <c r="R174" i="12"/>
  <c r="D228" i="12"/>
  <c r="K157" i="12"/>
  <c r="P89" i="12"/>
  <c r="H151" i="12"/>
  <c r="U224" i="12"/>
  <c r="L148" i="12"/>
  <c r="P209" i="12"/>
  <c r="M141" i="12"/>
  <c r="L135" i="12"/>
  <c r="Q101" i="12"/>
  <c r="F183" i="12"/>
  <c r="Q104" i="12"/>
  <c r="N209" i="12"/>
  <c r="M151" i="12"/>
  <c r="P100" i="12"/>
  <c r="G222" i="12"/>
  <c r="D225" i="12"/>
  <c r="S183" i="12"/>
  <c r="R184" i="12"/>
  <c r="V181" i="12"/>
  <c r="U205" i="12"/>
  <c r="S194" i="12"/>
  <c r="Q146" i="12"/>
  <c r="T105" i="12"/>
  <c r="L132" i="12"/>
  <c r="T95" i="12"/>
  <c r="R100" i="12"/>
  <c r="T214" i="12"/>
  <c r="Q221" i="12"/>
  <c r="F94" i="12"/>
  <c r="P131" i="12"/>
  <c r="V152" i="12"/>
  <c r="U135" i="12"/>
  <c r="F155" i="12"/>
  <c r="P184" i="12"/>
  <c r="O158" i="12"/>
  <c r="G221" i="12"/>
  <c r="K106" i="12"/>
  <c r="R96" i="12"/>
  <c r="G141" i="12"/>
  <c r="H132" i="12"/>
  <c r="O142" i="12"/>
  <c r="I201" i="12"/>
  <c r="H172" i="12"/>
  <c r="J89" i="12"/>
  <c r="J214" i="12"/>
  <c r="U154" i="12"/>
  <c r="E177" i="12"/>
  <c r="N199" i="12"/>
  <c r="G130" i="12"/>
  <c r="E90" i="12"/>
  <c r="R187" i="12"/>
  <c r="I217" i="12"/>
  <c r="U176" i="12"/>
  <c r="S99" i="12"/>
  <c r="H210" i="12"/>
  <c r="U229" i="12"/>
  <c r="S229" i="12"/>
  <c r="E140" i="12"/>
  <c r="G188" i="12"/>
  <c r="V232" i="12"/>
  <c r="R217" i="12"/>
  <c r="M133" i="12"/>
  <c r="D164" i="12"/>
  <c r="U196" i="12"/>
  <c r="S148" i="12"/>
  <c r="P201" i="12"/>
  <c r="Q178" i="12"/>
  <c r="O99" i="12"/>
  <c r="Q144" i="12"/>
  <c r="F205" i="12"/>
  <c r="Q105" i="12"/>
  <c r="H229" i="12"/>
  <c r="N155" i="12"/>
  <c r="H131" i="12"/>
  <c r="V194" i="12"/>
  <c r="S153" i="12"/>
  <c r="F104" i="12"/>
  <c r="E174" i="12"/>
  <c r="M178" i="12"/>
  <c r="O169" i="12"/>
  <c r="F156" i="12"/>
  <c r="M222" i="12"/>
  <c r="H188" i="12"/>
  <c r="J93" i="12"/>
  <c r="L201" i="12"/>
  <c r="M175" i="12"/>
  <c r="P188" i="12"/>
  <c r="M99" i="12"/>
  <c r="L106" i="12"/>
  <c r="U220" i="12"/>
  <c r="O167" i="12"/>
  <c r="M137" i="12"/>
  <c r="S101" i="12"/>
  <c r="D148" i="12"/>
  <c r="T91" i="12"/>
  <c r="U147" i="12"/>
  <c r="P193" i="12"/>
  <c r="Q229" i="12"/>
  <c r="P164" i="12"/>
  <c r="D211" i="12"/>
  <c r="T162" i="12"/>
  <c r="U197" i="12"/>
  <c r="N91" i="12"/>
  <c r="M182" i="12"/>
  <c r="J130" i="12"/>
  <c r="K91" i="12"/>
  <c r="O187" i="12"/>
  <c r="K183" i="12"/>
  <c r="K155" i="12"/>
  <c r="G206" i="12"/>
  <c r="K162" i="12"/>
  <c r="V157" i="12"/>
  <c r="S223" i="12"/>
  <c r="G203" i="12"/>
  <c r="K134" i="12"/>
  <c r="F189" i="12"/>
  <c r="J159" i="12"/>
  <c r="O195" i="12"/>
  <c r="D163" i="12"/>
  <c r="P210" i="12"/>
  <c r="N92" i="12"/>
  <c r="O185" i="12"/>
  <c r="Q176" i="12"/>
  <c r="I190" i="12"/>
  <c r="K214" i="12"/>
  <c r="E160" i="12"/>
  <c r="D154" i="12"/>
  <c r="U137" i="12"/>
  <c r="L154" i="12"/>
  <c r="O135" i="12"/>
  <c r="G185" i="12"/>
  <c r="N231" i="12"/>
  <c r="F160" i="12"/>
  <c r="R152" i="12"/>
  <c r="O217" i="12"/>
  <c r="I194" i="12"/>
  <c r="M161" i="12"/>
  <c r="P101" i="12"/>
  <c r="Q207" i="12"/>
  <c r="G184" i="12"/>
  <c r="O231" i="12"/>
  <c r="P206" i="12"/>
  <c r="T207" i="12"/>
  <c r="J230" i="12"/>
  <c r="P182" i="12"/>
  <c r="P198" i="12"/>
  <c r="Q164" i="12"/>
  <c r="Q91" i="12"/>
  <c r="V96" i="12"/>
  <c r="L177" i="12"/>
  <c r="Q220" i="12"/>
  <c r="N215" i="12"/>
  <c r="S136" i="12"/>
  <c r="E96" i="12"/>
  <c r="P220" i="12"/>
  <c r="F195" i="12"/>
  <c r="L211" i="12"/>
  <c r="Q189" i="12"/>
  <c r="D145" i="12"/>
  <c r="J147" i="12"/>
  <c r="M228" i="12"/>
  <c r="P176" i="12"/>
  <c r="M218" i="12"/>
  <c r="F152" i="12"/>
  <c r="D140" i="12"/>
  <c r="M199" i="12"/>
  <c r="I211" i="12"/>
  <c r="I155" i="12"/>
  <c r="G142" i="12"/>
  <c r="J208" i="12"/>
  <c r="V178" i="12"/>
  <c r="N134" i="12"/>
  <c r="T229" i="12"/>
  <c r="N189" i="12"/>
  <c r="P103" i="12"/>
  <c r="M205" i="12"/>
  <c r="I165" i="12"/>
  <c r="S204" i="12"/>
  <c r="I99" i="12"/>
  <c r="D134" i="12"/>
  <c r="F207" i="12"/>
  <c r="I228" i="12"/>
  <c r="E202" i="12"/>
  <c r="I210" i="12"/>
  <c r="H217" i="12"/>
  <c r="S178" i="12"/>
  <c r="I200" i="12"/>
  <c r="J186" i="12"/>
  <c r="Q92" i="12"/>
  <c r="G155" i="12"/>
  <c r="Q195" i="12"/>
  <c r="U91" i="12"/>
  <c r="E158" i="12"/>
  <c r="H156" i="12"/>
  <c r="N137" i="12"/>
  <c r="F175" i="12"/>
  <c r="G148" i="12"/>
  <c r="L190" i="12"/>
  <c r="V144" i="12"/>
  <c r="K218" i="12"/>
  <c r="N230" i="12"/>
  <c r="J145" i="12"/>
  <c r="P156" i="12"/>
  <c r="Q203" i="12"/>
  <c r="J197" i="12"/>
  <c r="R196" i="12"/>
  <c r="M230" i="12"/>
  <c r="E145" i="12"/>
  <c r="H99" i="12"/>
  <c r="H173" i="12"/>
  <c r="O186" i="12"/>
  <c r="L229" i="12"/>
  <c r="I203" i="12"/>
  <c r="U177" i="12"/>
  <c r="N219" i="12"/>
  <c r="U210" i="12"/>
  <c r="O172" i="12"/>
  <c r="M101" i="12"/>
  <c r="S196" i="12"/>
  <c r="V185" i="12"/>
  <c r="S95" i="12"/>
  <c r="E217" i="12"/>
  <c r="E195" i="12"/>
  <c r="S214" i="12"/>
  <c r="V151" i="12"/>
  <c r="Q180" i="12"/>
  <c r="L131" i="12"/>
  <c r="N136" i="12"/>
  <c r="K190" i="12"/>
  <c r="Q162" i="12"/>
  <c r="Q93" i="12"/>
  <c r="O156" i="12"/>
  <c r="Q102" i="12"/>
  <c r="E134" i="12"/>
  <c r="R89" i="12"/>
  <c r="R104" i="12"/>
  <c r="I131" i="12"/>
  <c r="G226" i="12"/>
  <c r="U168" i="12"/>
  <c r="U195" i="12"/>
  <c r="G216" i="12"/>
  <c r="S96" i="12"/>
  <c r="H144" i="12"/>
  <c r="V164" i="12"/>
  <c r="U179" i="12"/>
  <c r="O103" i="12"/>
  <c r="G160" i="12"/>
  <c r="P136" i="12"/>
  <c r="Q218" i="12"/>
  <c r="D160" i="12"/>
  <c r="E144" i="12"/>
  <c r="J135" i="12"/>
  <c r="I92" i="12"/>
  <c r="J182" i="12"/>
  <c r="H140" i="12"/>
  <c r="I143" i="12"/>
  <c r="N232" i="12"/>
  <c r="Q142" i="12"/>
  <c r="H162" i="12"/>
  <c r="H133" i="12"/>
  <c r="Q198" i="12"/>
  <c r="K175" i="12"/>
  <c r="L231" i="12"/>
  <c r="R141" i="12"/>
  <c r="N183" i="12"/>
  <c r="F177" i="12"/>
  <c r="L143" i="12"/>
  <c r="I231" i="12"/>
  <c r="T172" i="12"/>
  <c r="G167" i="12"/>
  <c r="U157" i="12"/>
  <c r="U193" i="12"/>
  <c r="G223" i="12"/>
  <c r="F217" i="12"/>
  <c r="G179" i="12"/>
  <c r="N152" i="12"/>
  <c r="M90" i="12"/>
  <c r="K217" i="12"/>
  <c r="F103" i="12"/>
  <c r="G172" i="12"/>
  <c r="S217" i="12"/>
  <c r="J98" i="12"/>
  <c r="D168" i="12"/>
  <c r="F89" i="12"/>
  <c r="D202" i="12"/>
  <c r="E198" i="12"/>
  <c r="Q152" i="12"/>
  <c r="M232" i="12"/>
  <c r="E98" i="12"/>
  <c r="P221" i="12"/>
  <c r="O98" i="12"/>
  <c r="G103" i="12"/>
  <c r="F162" i="12"/>
  <c r="P227" i="12"/>
  <c r="V153" i="12"/>
  <c r="V163" i="12"/>
  <c r="P94" i="12"/>
  <c r="V221" i="12"/>
  <c r="I216" i="12"/>
  <c r="L165" i="12"/>
  <c r="R157" i="12"/>
  <c r="E167" i="12"/>
  <c r="P190" i="12"/>
  <c r="V172" i="12"/>
  <c r="M190" i="12"/>
  <c r="Q186" i="12"/>
  <c r="J139" i="12"/>
  <c r="F186" i="12"/>
  <c r="G190" i="12"/>
  <c r="F227" i="12"/>
  <c r="Q173" i="12"/>
  <c r="P97" i="12"/>
  <c r="L103" i="12"/>
  <c r="F164" i="12"/>
  <c r="E207" i="12"/>
  <c r="F138" i="12"/>
  <c r="R177" i="12"/>
  <c r="D139" i="12"/>
  <c r="Q197" i="12"/>
  <c r="T231" i="12"/>
  <c r="O97" i="12"/>
  <c r="J198" i="12"/>
  <c r="Q182" i="12"/>
  <c r="N222" i="12"/>
  <c r="L97" i="12"/>
  <c r="M144" i="12"/>
  <c r="K203" i="12"/>
  <c r="G88" i="12"/>
  <c r="J173" i="12"/>
  <c r="G140" i="12"/>
  <c r="S146" i="12"/>
  <c r="I137" i="12"/>
  <c r="J196" i="12"/>
  <c r="M153" i="12"/>
  <c r="U101" i="12"/>
  <c r="G175" i="12"/>
  <c r="P211" i="12"/>
  <c r="R131" i="12"/>
  <c r="J175" i="12"/>
  <c r="K215" i="12"/>
  <c r="F136" i="12"/>
  <c r="I214" i="12"/>
  <c r="U217" i="12"/>
  <c r="T89" i="12"/>
  <c r="P148" i="12"/>
  <c r="T198" i="12"/>
  <c r="F204" i="12"/>
  <c r="H231" i="12"/>
  <c r="L162" i="12"/>
  <c r="I202" i="12"/>
  <c r="R165" i="12"/>
  <c r="N157" i="12"/>
  <c r="Q145" i="12"/>
  <c r="D162" i="12"/>
  <c r="M186" i="12"/>
  <c r="K232" i="12"/>
  <c r="V165" i="12"/>
  <c r="H224" i="12"/>
  <c r="U226" i="12"/>
  <c r="J178" i="12"/>
  <c r="P132" i="12"/>
  <c r="R180" i="12"/>
  <c r="I209" i="12"/>
  <c r="V223" i="12"/>
  <c r="J91" i="12"/>
  <c r="N106" i="12"/>
  <c r="F97" i="12"/>
  <c r="H102" i="12"/>
  <c r="L207" i="12"/>
  <c r="N164" i="12"/>
  <c r="R214" i="12"/>
  <c r="N132" i="12"/>
  <c r="G157" i="12"/>
  <c r="I134" i="12"/>
  <c r="E88" i="12"/>
  <c r="V217" i="12"/>
  <c r="F102" i="12"/>
  <c r="S91" i="12"/>
  <c r="R189" i="12"/>
  <c r="F228" i="12"/>
  <c r="G199" i="12"/>
  <c r="R199" i="12"/>
  <c r="I175" i="12"/>
  <c r="E163" i="12"/>
  <c r="K133" i="12"/>
  <c r="J100" i="12"/>
  <c r="K176" i="12"/>
  <c r="F92" i="12"/>
  <c r="V133" i="12"/>
  <c r="G225" i="12"/>
  <c r="D219" i="12"/>
  <c r="H142" i="12"/>
  <c r="K187" i="12"/>
  <c r="N179" i="12"/>
  <c r="H146" i="12"/>
  <c r="N135" i="12"/>
  <c r="D186" i="12"/>
  <c r="Q143" i="12"/>
  <c r="N130" i="12"/>
  <c r="O214" i="12"/>
  <c r="L134" i="12"/>
  <c r="O188" i="12"/>
  <c r="O88" i="12"/>
  <c r="M140" i="12"/>
  <c r="D185" i="12"/>
  <c r="L173" i="12"/>
  <c r="S93" i="12"/>
  <c r="T194" i="12"/>
  <c r="U98" i="12"/>
  <c r="U163" i="12"/>
  <c r="P225" i="12"/>
  <c r="R205" i="12"/>
  <c r="I97" i="12"/>
  <c r="O222" i="12"/>
  <c r="S157" i="12"/>
  <c r="H167" i="12"/>
  <c r="U97" i="12"/>
  <c r="N202" i="12"/>
  <c r="H161" i="12"/>
  <c r="S132" i="12"/>
  <c r="S193" i="12"/>
  <c r="O145" i="12"/>
  <c r="O182" i="12"/>
  <c r="J152" i="12"/>
  <c r="H205" i="12"/>
  <c r="N153" i="12"/>
  <c r="N151" i="12"/>
  <c r="K136" i="12"/>
  <c r="H174" i="12"/>
  <c r="H198" i="12"/>
  <c r="T195" i="12"/>
  <c r="R134" i="12"/>
  <c r="S155" i="12"/>
  <c r="K137" i="12"/>
  <c r="E179" i="12"/>
  <c r="P151" i="12"/>
  <c r="O175" i="12"/>
  <c r="S131" i="12"/>
  <c r="N190" i="12"/>
  <c r="S98" i="12"/>
  <c r="T140" i="12"/>
  <c r="T136" i="12"/>
  <c r="G182" i="12"/>
  <c r="P223" i="12"/>
  <c r="T189" i="12"/>
  <c r="E93" i="12"/>
  <c r="S184" i="12"/>
  <c r="G168" i="12"/>
  <c r="U99" i="12"/>
  <c r="F163" i="12"/>
  <c r="S143" i="12"/>
  <c r="O228" i="12"/>
  <c r="O227" i="12"/>
  <c r="J102" i="12"/>
  <c r="I133" i="12"/>
  <c r="T199" i="12"/>
  <c r="P104" i="12"/>
  <c r="L196" i="12"/>
  <c r="R166" i="12"/>
  <c r="O94" i="12"/>
  <c r="U94" i="12"/>
  <c r="G144" i="12"/>
  <c r="J223" i="12"/>
  <c r="T197" i="12"/>
  <c r="K94" i="12"/>
  <c r="U156" i="12"/>
  <c r="S208" i="12"/>
  <c r="N205" i="12"/>
  <c r="R221" i="12"/>
  <c r="J142" i="12"/>
  <c r="S134" i="12"/>
  <c r="E166" i="12"/>
  <c r="S221" i="12"/>
  <c r="T196" i="12"/>
  <c r="D221" i="12"/>
  <c r="Q175" i="12"/>
  <c r="J165" i="12"/>
  <c r="D135" i="12"/>
  <c r="M225" i="12"/>
  <c r="K188" i="12"/>
  <c r="L176" i="12"/>
  <c r="N198" i="12"/>
  <c r="V198" i="12"/>
  <c r="F167" i="12"/>
  <c r="L175" i="12"/>
  <c r="P205" i="12"/>
  <c r="O164" i="12"/>
  <c r="G147" i="12"/>
  <c r="J94" i="12"/>
  <c r="L167" i="12"/>
  <c r="P160" i="12"/>
  <c r="J216" i="12"/>
  <c r="U186" i="12"/>
  <c r="K202" i="12"/>
  <c r="E175" i="12"/>
  <c r="R194" i="12"/>
  <c r="E141" i="12"/>
  <c r="F209" i="12"/>
  <c r="D231" i="12"/>
  <c r="I105" i="12"/>
  <c r="G177" i="12"/>
  <c r="O146" i="12"/>
  <c r="P186" i="12"/>
  <c r="R154" i="12"/>
  <c r="D230" i="12"/>
  <c r="K151" i="12"/>
  <c r="G137" i="12"/>
  <c r="I101" i="12"/>
  <c r="N100" i="12"/>
  <c r="T219" i="12"/>
  <c r="R91" i="12"/>
  <c r="O204" i="12"/>
  <c r="U169" i="12"/>
  <c r="P144" i="12"/>
  <c r="T225" i="12"/>
  <c r="N176" i="12"/>
  <c r="Q141" i="12"/>
  <c r="T173" i="12"/>
  <c r="T217" i="12"/>
  <c r="N195" i="12"/>
  <c r="H215" i="12"/>
  <c r="P203" i="12"/>
  <c r="Q155" i="12"/>
  <c r="F98" i="12"/>
  <c r="G180" i="12"/>
  <c r="L183" i="12"/>
  <c r="M162" i="12"/>
  <c r="J167" i="12"/>
  <c r="K193" i="12"/>
  <c r="V93" i="12"/>
  <c r="P102" i="12"/>
  <c r="U151" i="12"/>
  <c r="F194" i="12"/>
  <c r="K161" i="12"/>
  <c r="T130" i="12"/>
  <c r="K173" i="12"/>
  <c r="N206" i="12"/>
  <c r="D174" i="12"/>
  <c r="P133" i="12"/>
  <c r="F143" i="12"/>
  <c r="F215" i="12"/>
  <c r="I153" i="12"/>
  <c r="Q201" i="12"/>
  <c r="O157" i="12"/>
  <c r="M174" i="12"/>
  <c r="T183" i="12"/>
  <c r="O220" i="12"/>
  <c r="F214" i="12"/>
  <c r="M134" i="12"/>
  <c r="E103" i="12"/>
  <c r="I174" i="12"/>
  <c r="R101" i="12"/>
  <c r="E201" i="12"/>
  <c r="S141" i="12"/>
  <c r="Q157" i="12"/>
  <c r="K197" i="12"/>
  <c r="S104" i="12"/>
  <c r="J162" i="12"/>
  <c r="S179" i="12"/>
  <c r="N159" i="12"/>
  <c r="D182" i="12"/>
  <c r="K184" i="12"/>
  <c r="R193" i="12"/>
  <c r="D223" i="12"/>
  <c r="D159" i="12"/>
  <c r="S92" i="12"/>
  <c r="V211" i="12"/>
  <c r="H232" i="12"/>
  <c r="L99" i="12"/>
  <c r="R224" i="12"/>
  <c r="G218" i="12"/>
  <c r="T147" i="12"/>
  <c r="I88" i="12"/>
  <c r="N225" i="12"/>
  <c r="L204" i="12"/>
  <c r="M210" i="12"/>
  <c r="E210" i="12"/>
  <c r="D207" i="12"/>
  <c r="F225" i="12"/>
  <c r="U202" i="12"/>
  <c r="S230" i="12"/>
  <c r="U132" i="12"/>
  <c r="T222" i="12"/>
  <c r="E180" i="12"/>
  <c r="R181" i="12"/>
  <c r="Q165" i="12"/>
  <c r="V130" i="12"/>
  <c r="M208" i="12"/>
  <c r="M154" i="12"/>
  <c r="S225" i="12"/>
  <c r="O152" i="12"/>
  <c r="L195" i="12"/>
  <c r="H194" i="12"/>
  <c r="U180" i="12"/>
  <c r="K152" i="12"/>
  <c r="N148" i="12"/>
  <c r="P158" i="12"/>
  <c r="S144" i="12"/>
  <c r="E196" i="12"/>
  <c r="L95" i="12"/>
  <c r="O207" i="12"/>
  <c r="Q177" i="12"/>
  <c r="G174" i="12"/>
  <c r="T100" i="12"/>
  <c r="I225" i="12"/>
  <c r="I103" i="12"/>
  <c r="R230" i="12"/>
  <c r="V196" i="12"/>
  <c r="R95" i="12"/>
  <c r="I224" i="12"/>
  <c r="R156" i="12"/>
  <c r="N187" i="12"/>
  <c r="Q147" i="12"/>
  <c r="T161" i="12"/>
  <c r="F88" i="12"/>
  <c r="T92" i="12"/>
  <c r="M104" i="12"/>
  <c r="M145" i="12"/>
  <c r="T165" i="12"/>
  <c r="T131" i="12"/>
  <c r="L202" i="12"/>
  <c r="J138" i="12"/>
  <c r="J132" i="12"/>
  <c r="J174" i="12"/>
  <c r="Q232" i="12"/>
  <c r="I146" i="12"/>
  <c r="V136" i="12"/>
  <c r="K105" i="12"/>
  <c r="E203" i="12"/>
  <c r="M147" i="12"/>
  <c r="D226" i="12"/>
  <c r="I208" i="12"/>
  <c r="U181" i="12"/>
  <c r="G209" i="12"/>
  <c r="K130" i="12"/>
  <c r="E205" i="12"/>
  <c r="T94" i="12"/>
  <c r="I196" i="12"/>
  <c r="I193" i="12"/>
  <c r="I144" i="12"/>
  <c r="F147" i="12"/>
  <c r="V155" i="12"/>
  <c r="J161" i="12"/>
  <c r="L198" i="12"/>
  <c r="V91" i="12"/>
  <c r="O178" i="12"/>
  <c r="T232" i="12"/>
  <c r="D196" i="12"/>
  <c r="E146" i="12"/>
  <c r="K96" i="12"/>
  <c r="D153" i="12"/>
  <c r="D158" i="12"/>
  <c r="J202" i="12"/>
  <c r="P173" i="12"/>
  <c r="H219" i="12"/>
  <c r="T135" i="12"/>
  <c r="O147" i="12"/>
  <c r="Q200" i="12"/>
  <c r="H153" i="12"/>
  <c r="D101" i="12"/>
  <c r="P202" i="12"/>
  <c r="J151" i="12"/>
  <c r="R142" i="12"/>
  <c r="K182" i="12"/>
  <c r="G169" i="12"/>
  <c r="H88" i="12"/>
  <c r="E185" i="12"/>
  <c r="O190" i="12"/>
  <c r="T223" i="12"/>
  <c r="I197" i="12"/>
  <c r="U215" i="12"/>
  <c r="P187" i="12"/>
  <c r="D209" i="12"/>
  <c r="V184" i="12"/>
  <c r="N210" i="12"/>
  <c r="M138" i="12"/>
  <c r="P161" i="12"/>
  <c r="H222" i="12"/>
  <c r="O209" i="12"/>
  <c r="G131" i="12"/>
  <c r="O140" i="12"/>
  <c r="J136" i="12"/>
  <c r="G215" i="12"/>
  <c r="R144" i="12"/>
  <c r="N162" i="12"/>
  <c r="R173" i="12"/>
  <c r="D214" i="12"/>
  <c r="M201" i="12"/>
  <c r="U204" i="12"/>
  <c r="N194" i="12"/>
  <c r="F223" i="12"/>
  <c r="L141" i="12"/>
  <c r="O211" i="12"/>
  <c r="P204" i="12"/>
  <c r="I204" i="12"/>
  <c r="G153" i="12"/>
  <c r="H175" i="12"/>
  <c r="G231" i="12"/>
  <c r="Q169" i="12"/>
  <c r="V231" i="12"/>
  <c r="U144" i="12"/>
  <c r="N223" i="12"/>
  <c r="D206" i="12"/>
  <c r="O130" i="12"/>
  <c r="S161" i="12"/>
  <c r="U199" i="12"/>
  <c r="D130" i="12"/>
  <c r="V207" i="12"/>
  <c r="D147" i="12"/>
  <c r="G90" i="12"/>
  <c r="E161" i="12"/>
  <c r="J148" i="12"/>
  <c r="M219" i="12"/>
  <c r="K165" i="12"/>
  <c r="I186" i="12"/>
  <c r="J215" i="12"/>
  <c r="Q181" i="12"/>
  <c r="V162" i="12"/>
  <c r="V167" i="12"/>
  <c r="S176" i="12"/>
  <c r="F218" i="12"/>
  <c r="G202" i="12"/>
  <c r="K138" i="12"/>
  <c r="M94" i="12"/>
  <c r="S215" i="12"/>
  <c r="E101" i="12"/>
  <c r="J181" i="12"/>
  <c r="J101" i="12"/>
  <c r="D217" i="12"/>
  <c r="J104" i="12"/>
  <c r="L96" i="12"/>
  <c r="Q133" i="12"/>
  <c r="K219" i="12"/>
  <c r="N94" i="12"/>
  <c r="T160" i="12"/>
  <c r="R161" i="12"/>
  <c r="V219" i="12"/>
  <c r="S135" i="12"/>
  <c r="G98" i="12"/>
  <c r="P95" i="12"/>
  <c r="Q208" i="12"/>
  <c r="J200" i="12"/>
  <c r="T166" i="12"/>
  <c r="D215" i="12"/>
  <c r="S168" i="12"/>
  <c r="H105" i="12"/>
  <c r="R225" i="12"/>
  <c r="D103" i="12"/>
  <c r="P168" i="12"/>
  <c r="M168" i="12"/>
  <c r="T175" i="12"/>
  <c r="H195" i="12"/>
  <c r="K95" i="12"/>
  <c r="O205" i="12"/>
  <c r="K101" i="12"/>
  <c r="F190" i="12"/>
  <c r="H207" i="12"/>
  <c r="J160" i="12"/>
  <c r="F224" i="12"/>
  <c r="N161" i="12"/>
  <c r="H214" i="12"/>
  <c r="N165" i="12"/>
  <c r="Q163" i="12"/>
  <c r="F197" i="12"/>
  <c r="U93" i="12"/>
  <c r="F184" i="12"/>
  <c r="I135" i="12"/>
  <c r="I169" i="12"/>
  <c r="I154" i="12"/>
  <c r="U155" i="12"/>
  <c r="U198" i="12"/>
  <c r="V156" i="12"/>
  <c r="H203" i="12"/>
  <c r="N185" i="12"/>
  <c r="I145" i="12"/>
  <c r="K103" i="12"/>
  <c r="S105" i="12"/>
  <c r="L189" i="12"/>
  <c r="R102" i="12"/>
  <c r="T208" i="12"/>
  <c r="O199" i="12"/>
  <c r="K211" i="12"/>
  <c r="F198" i="12"/>
  <c r="H208" i="12"/>
  <c r="M229" i="12"/>
  <c r="E104" i="12"/>
  <c r="L136" i="12"/>
  <c r="P172" i="12"/>
  <c r="N146" i="12"/>
  <c r="T188" i="12"/>
  <c r="P96" i="12"/>
  <c r="U105" i="12"/>
  <c r="S166" i="12"/>
  <c r="G161" i="12"/>
  <c r="K93" i="12"/>
  <c r="G91" i="12"/>
  <c r="M164" i="12"/>
  <c r="P105" i="12"/>
  <c r="E173" i="12"/>
  <c r="O165" i="12"/>
  <c r="K167" i="12"/>
  <c r="L130" i="12"/>
  <c r="P169" i="12"/>
  <c r="G96" i="12"/>
  <c r="J193" i="12"/>
  <c r="D102" i="12"/>
  <c r="Q199" i="12"/>
  <c r="R222" i="12"/>
  <c r="I199" i="12"/>
  <c r="O184" i="12"/>
  <c r="M131" i="12"/>
  <c r="V147" i="12"/>
  <c r="I188" i="12"/>
  <c r="K88" i="12"/>
  <c r="I167" i="12"/>
  <c r="S197" i="12"/>
  <c r="K229" i="12"/>
  <c r="H163" i="12"/>
  <c r="M89" i="12"/>
  <c r="H154" i="12"/>
  <c r="I156" i="12"/>
  <c r="N147" i="12"/>
  <c r="F144" i="12"/>
  <c r="N143" i="12"/>
  <c r="F199" i="12"/>
  <c r="S158" i="12"/>
  <c r="H193" i="12"/>
  <c r="P155" i="12"/>
  <c r="G186" i="12"/>
  <c r="O101" i="12"/>
  <c r="I96" i="12"/>
  <c r="P208" i="12"/>
  <c r="K186" i="12"/>
  <c r="N204" i="12"/>
  <c r="I157" i="12"/>
  <c r="N133" i="12"/>
  <c r="G106" i="12"/>
  <c r="K135" i="12"/>
  <c r="P174" i="12"/>
  <c r="N188" i="12"/>
  <c r="T155" i="12"/>
  <c r="Q156" i="12"/>
  <c r="M105" i="12"/>
  <c r="M92" i="12"/>
  <c r="D88" i="12"/>
  <c r="T96" i="12"/>
</calcChain>
</file>

<file path=xl/sharedStrings.xml><?xml version="1.0" encoding="utf-8"?>
<sst xmlns="http://schemas.openxmlformats.org/spreadsheetml/2006/main" count="5039" uniqueCount="1323">
  <si>
    <t>A91T006835</t>
  </si>
  <si>
    <t>A91T012531</t>
  </si>
  <si>
    <t>A91T001203</t>
  </si>
  <si>
    <t>A91T001879</t>
  </si>
  <si>
    <t>A91T003280</t>
  </si>
  <si>
    <t>A91T013360</t>
  </si>
  <si>
    <t>A91T001941</t>
  </si>
  <si>
    <t>A91T002655</t>
  </si>
  <si>
    <t>A91T013091</t>
  </si>
  <si>
    <t>A91T011990</t>
  </si>
  <si>
    <t>Y10X055476</t>
  </si>
  <si>
    <t>Y10X323066</t>
  </si>
  <si>
    <t>Y10X321210</t>
  </si>
  <si>
    <t>Y10X359778</t>
  </si>
  <si>
    <t>Y10X355734</t>
  </si>
  <si>
    <t>Y10X057294</t>
  </si>
  <si>
    <t>Y10X047525</t>
  </si>
  <si>
    <t>Y10X357822</t>
  </si>
  <si>
    <t>Y10X321959</t>
  </si>
  <si>
    <t>A07F031620</t>
  </si>
  <si>
    <t>A07F703651</t>
  </si>
  <si>
    <t>A07F703653</t>
  </si>
  <si>
    <t>A07F282179</t>
  </si>
  <si>
    <t>A07F661079</t>
  </si>
  <si>
    <t>A07F703649</t>
  </si>
  <si>
    <t>A07F703648</t>
  </si>
  <si>
    <t>A07F703652</t>
  </si>
  <si>
    <t>A07F660308</t>
  </si>
  <si>
    <t>IDI</t>
  </si>
  <si>
    <t>IDM</t>
  </si>
  <si>
    <t>HIDRÔMETROS</t>
  </si>
  <si>
    <t>CAP. (m³)</t>
  </si>
  <si>
    <t>FAE</t>
  </si>
  <si>
    <t>SENSUS</t>
  </si>
  <si>
    <t>TIPO</t>
  </si>
  <si>
    <t>ANO</t>
  </si>
  <si>
    <t>E10S002436</t>
  </si>
  <si>
    <t>E10S002575</t>
  </si>
  <si>
    <t>E10S002422</t>
  </si>
  <si>
    <t>E10S002387</t>
  </si>
  <si>
    <t>E10S002498</t>
  </si>
  <si>
    <t>E10S002389</t>
  </si>
  <si>
    <t>E10S002412</t>
  </si>
  <si>
    <t>E10S002545</t>
  </si>
  <si>
    <t>ITRON</t>
  </si>
  <si>
    <t>A06A082562</t>
  </si>
  <si>
    <t>A06A079651</t>
  </si>
  <si>
    <t>A06A040381</t>
  </si>
  <si>
    <t>A06A038659</t>
  </si>
  <si>
    <t>A06A038399</t>
  </si>
  <si>
    <t>A06A040425</t>
  </si>
  <si>
    <t>A06A038123</t>
  </si>
  <si>
    <t>A06A090132</t>
  </si>
  <si>
    <t>A06A041636</t>
  </si>
  <si>
    <t>MULTIJATO</t>
  </si>
  <si>
    <t>D10X000340</t>
  </si>
  <si>
    <t>D10X000412</t>
  </si>
  <si>
    <t>D10X000126</t>
  </si>
  <si>
    <t>D10X001408</t>
  </si>
  <si>
    <t>D10X000311</t>
  </si>
  <si>
    <t>D10X000220</t>
  </si>
  <si>
    <t>D10X001426</t>
  </si>
  <si>
    <t>D10X000186</t>
  </si>
  <si>
    <t>D10X001461</t>
  </si>
  <si>
    <t>D10X003293</t>
  </si>
  <si>
    <t>ELSTER</t>
  </si>
  <si>
    <t>A00N722814</t>
  </si>
  <si>
    <t>A00N447056</t>
  </si>
  <si>
    <t>A00N448598</t>
  </si>
  <si>
    <t>A00N445204</t>
  </si>
  <si>
    <t>A00N334473</t>
  </si>
  <si>
    <t>A00N447942</t>
  </si>
  <si>
    <t>A00N448047</t>
  </si>
  <si>
    <t>A00N448388</t>
  </si>
  <si>
    <t>A00N336017</t>
  </si>
  <si>
    <t>A00N333815</t>
  </si>
  <si>
    <t>A99S398287</t>
  </si>
  <si>
    <t>A99S398354</t>
  </si>
  <si>
    <t>A99S400297</t>
  </si>
  <si>
    <t>A99S398282</t>
  </si>
  <si>
    <t>A99S398514</t>
  </si>
  <si>
    <t>A99S398356</t>
  </si>
  <si>
    <t>A99S398934</t>
  </si>
  <si>
    <t>A99S398283</t>
  </si>
  <si>
    <t>A99S397752</t>
  </si>
  <si>
    <t>A99S398686</t>
  </si>
  <si>
    <t>A05S127419</t>
  </si>
  <si>
    <t>A05S046529</t>
  </si>
  <si>
    <t>A05S117979</t>
  </si>
  <si>
    <t>A05S115464</t>
  </si>
  <si>
    <t>A05S042768</t>
  </si>
  <si>
    <t>A05S021780</t>
  </si>
  <si>
    <t>A05S117224</t>
  </si>
  <si>
    <t>A05S114996</t>
  </si>
  <si>
    <t>A05S051196</t>
  </si>
  <si>
    <t>A05S048649</t>
  </si>
  <si>
    <t>ACTARIS</t>
  </si>
  <si>
    <t>A02N560169</t>
  </si>
  <si>
    <t>A02N458236</t>
  </si>
  <si>
    <t>A02N558643</t>
  </si>
  <si>
    <t>A02N437122</t>
  </si>
  <si>
    <t>A02N438030</t>
  </si>
  <si>
    <t>A02N437848</t>
  </si>
  <si>
    <t>A02N459057</t>
  </si>
  <si>
    <t>A02N449582</t>
  </si>
  <si>
    <t>A02N434439</t>
  </si>
  <si>
    <t>A02N496788</t>
  </si>
  <si>
    <t>ABB</t>
  </si>
  <si>
    <t>A02N430465</t>
  </si>
  <si>
    <t>A02N514730</t>
  </si>
  <si>
    <t>A02N515689</t>
  </si>
  <si>
    <t>A02N450050</t>
  </si>
  <si>
    <t>A02N449609</t>
  </si>
  <si>
    <t>A02N431040</t>
  </si>
  <si>
    <t>A02N515354</t>
  </si>
  <si>
    <t>A02N431990</t>
  </si>
  <si>
    <t>A02N435288</t>
  </si>
  <si>
    <t>A02N430702</t>
  </si>
  <si>
    <t>A02N434284</t>
  </si>
  <si>
    <t>A02N498738</t>
  </si>
  <si>
    <t>A02N458237</t>
  </si>
  <si>
    <t>A02N512252</t>
  </si>
  <si>
    <t>A02N437028</t>
  </si>
  <si>
    <t>A02N449794</t>
  </si>
  <si>
    <t>A02N437983</t>
  </si>
  <si>
    <t>A02N450119</t>
  </si>
  <si>
    <t>A02N509945</t>
  </si>
  <si>
    <t>A02N435128</t>
  </si>
  <si>
    <t>E10S006488</t>
  </si>
  <si>
    <t>Y03N501670</t>
  </si>
  <si>
    <t>Y03N501497</t>
  </si>
  <si>
    <t>Y03N501913</t>
  </si>
  <si>
    <t>Y03N237792</t>
  </si>
  <si>
    <t>Y03N767359</t>
  </si>
  <si>
    <t>Y03N768675</t>
  </si>
  <si>
    <t>Y03N769094</t>
  </si>
  <si>
    <t>Y03N768900</t>
  </si>
  <si>
    <t>Y03N766888</t>
  </si>
  <si>
    <t>Y03N767581</t>
  </si>
  <si>
    <t>A00L281476</t>
  </si>
  <si>
    <t>A00L246941</t>
  </si>
  <si>
    <t>A00L080309</t>
  </si>
  <si>
    <t>A00L282132</t>
  </si>
  <si>
    <t>A00L281763</t>
  </si>
  <si>
    <t>A00L281757</t>
  </si>
  <si>
    <t>A00L246945</t>
  </si>
  <si>
    <t>A00L079829</t>
  </si>
  <si>
    <t>LAO</t>
  </si>
  <si>
    <t>A06A038524</t>
  </si>
  <si>
    <t>A06A038680</t>
  </si>
  <si>
    <t>A06A038986</t>
  </si>
  <si>
    <t>A06A038995</t>
  </si>
  <si>
    <t>A06A037570</t>
  </si>
  <si>
    <t>A06A037991</t>
  </si>
  <si>
    <t>A06A039664</t>
  </si>
  <si>
    <t>A06A041315</t>
  </si>
  <si>
    <t>A06A041320</t>
  </si>
  <si>
    <t>A06A041271</t>
  </si>
  <si>
    <t>ASSIM</t>
  </si>
  <si>
    <t>A04F037668</t>
  </si>
  <si>
    <t>A04F033442</t>
  </si>
  <si>
    <t>A04F037016</t>
  </si>
  <si>
    <t>A04F034610</t>
  </si>
  <si>
    <t>A04F032209</t>
  </si>
  <si>
    <t>A04F033486</t>
  </si>
  <si>
    <t>A04F041211</t>
  </si>
  <si>
    <t>A04F032814</t>
  </si>
  <si>
    <t>A04F032135</t>
  </si>
  <si>
    <t>A04F032050</t>
  </si>
  <si>
    <t>A06X085906</t>
  </si>
  <si>
    <t>A06X142895</t>
  </si>
  <si>
    <t>A06X054232</t>
  </si>
  <si>
    <t>A06X051678</t>
  </si>
  <si>
    <t>A06X069266</t>
  </si>
  <si>
    <t>A06X054544</t>
  </si>
  <si>
    <t>A06X047607</t>
  </si>
  <si>
    <t>A06X055078</t>
  </si>
  <si>
    <t>A06X085567</t>
  </si>
  <si>
    <t>A06X043436</t>
  </si>
  <si>
    <t>B10S011927</t>
  </si>
  <si>
    <t>B10S012314</t>
  </si>
  <si>
    <t>B10S032307</t>
  </si>
  <si>
    <t>B10S012088</t>
  </si>
  <si>
    <t>B10S011810</t>
  </si>
  <si>
    <t>B10S012381</t>
  </si>
  <si>
    <t>B10S011832</t>
  </si>
  <si>
    <t>B10S012094</t>
  </si>
  <si>
    <t>MULT</t>
  </si>
  <si>
    <t>A01N425500</t>
  </si>
  <si>
    <t>A01N425642</t>
  </si>
  <si>
    <t>A01N460196</t>
  </si>
  <si>
    <t>A01N460208</t>
  </si>
  <si>
    <t>A01N461554</t>
  </si>
  <si>
    <t>A01N464351</t>
  </si>
  <si>
    <t>A01N464357</t>
  </si>
  <si>
    <t>Y96S123548</t>
  </si>
  <si>
    <t>Y96S105354</t>
  </si>
  <si>
    <t>Y96S106493</t>
  </si>
  <si>
    <t>Y96S119430</t>
  </si>
  <si>
    <t>Y96S118065</t>
  </si>
  <si>
    <t>A96L001050</t>
  </si>
  <si>
    <t>A96L200206</t>
  </si>
  <si>
    <t>A96L002574</t>
  </si>
  <si>
    <t>A96L002341</t>
  </si>
  <si>
    <t>A96L002473</t>
  </si>
  <si>
    <t>A96L002639</t>
  </si>
  <si>
    <t>A96L002730</t>
  </si>
  <si>
    <t>A96L013114</t>
  </si>
  <si>
    <t>A96L013809</t>
  </si>
  <si>
    <t>A96L000530</t>
  </si>
  <si>
    <t>A01N519923</t>
  </si>
  <si>
    <t>A01N520727</t>
  </si>
  <si>
    <t>A01N520804</t>
  </si>
  <si>
    <t>A04F033600</t>
  </si>
  <si>
    <t>A04F041677</t>
  </si>
  <si>
    <t>A04F042748</t>
  </si>
  <si>
    <t>A04F035007</t>
  </si>
  <si>
    <t>A04F041629</t>
  </si>
  <si>
    <t>A04F041754</t>
  </si>
  <si>
    <t>A04F041874</t>
  </si>
  <si>
    <t>Y01N504933</t>
  </si>
  <si>
    <t>Y01N503380</t>
  </si>
  <si>
    <t>Y01N503368</t>
  </si>
  <si>
    <t>Y01N503396</t>
  </si>
  <si>
    <t>Y01N509878</t>
  </si>
  <si>
    <t>Y01N514186</t>
  </si>
  <si>
    <t>Y01N503362</t>
  </si>
  <si>
    <t>Y01N503376</t>
  </si>
  <si>
    <t>Y01N504923</t>
  </si>
  <si>
    <t>Y01N504937</t>
  </si>
  <si>
    <t>Y01N504253</t>
  </si>
  <si>
    <t>Y00N504600</t>
  </si>
  <si>
    <t>Y01N503372</t>
  </si>
  <si>
    <t>Y01N503367</t>
  </si>
  <si>
    <t>Y01N503361</t>
  </si>
  <si>
    <t>Y01N504558</t>
  </si>
  <si>
    <t>Y01N503374</t>
  </si>
  <si>
    <t>Y01N503395</t>
  </si>
  <si>
    <t>Y01N503373</t>
  </si>
  <si>
    <t>A01N425649</t>
  </si>
  <si>
    <t>A01N461556</t>
  </si>
  <si>
    <t>A01N425519</t>
  </si>
  <si>
    <t>A01N459897</t>
  </si>
  <si>
    <t>A01N463192</t>
  </si>
  <si>
    <t>A01N460193</t>
  </si>
  <si>
    <t>A01N459893</t>
  </si>
  <si>
    <t>A01N460204</t>
  </si>
  <si>
    <t>A01N460209</t>
  </si>
  <si>
    <t>A01N464359</t>
  </si>
  <si>
    <t>B10S012016</t>
  </si>
  <si>
    <t>B10S012058</t>
  </si>
  <si>
    <t>B10S011921</t>
  </si>
  <si>
    <t>B10S011575</t>
  </si>
  <si>
    <t>B10S011695</t>
  </si>
  <si>
    <t>B06X000930</t>
  </si>
  <si>
    <t>B06X000886</t>
  </si>
  <si>
    <t>B06X001781</t>
  </si>
  <si>
    <t>B06X003281</t>
  </si>
  <si>
    <t>B06X003279</t>
  </si>
  <si>
    <t>B06X003995</t>
  </si>
  <si>
    <t>A78T004534</t>
  </si>
  <si>
    <t>A78T007452</t>
  </si>
  <si>
    <t>A78S103450</t>
  </si>
  <si>
    <t>A78S016277</t>
  </si>
  <si>
    <t>A78S000019</t>
  </si>
  <si>
    <t>A78TA07794</t>
  </si>
  <si>
    <t>A78T005757</t>
  </si>
  <si>
    <t>A78T017235</t>
  </si>
  <si>
    <t>A78TA06686</t>
  </si>
  <si>
    <t>A78TA05897</t>
  </si>
  <si>
    <t>A78SA03202</t>
  </si>
  <si>
    <t>A78S001861</t>
  </si>
  <si>
    <t>A78S015772</t>
  </si>
  <si>
    <t>A78S004325</t>
  </si>
  <si>
    <t>A78S002487</t>
  </si>
  <si>
    <t>A78T023077</t>
  </si>
  <si>
    <t>A78T016793</t>
  </si>
  <si>
    <t>A01N520721</t>
  </si>
  <si>
    <t>A01N521943</t>
  </si>
  <si>
    <t>A01N425495</t>
  </si>
  <si>
    <t>A01N459895</t>
  </si>
  <si>
    <t>A01N599050</t>
  </si>
  <si>
    <t>A02N642817</t>
  </si>
  <si>
    <t>A02N642137</t>
  </si>
  <si>
    <t>A02N497487</t>
  </si>
  <si>
    <t>A02N521034</t>
  </si>
  <si>
    <t>A02N498560</t>
  </si>
  <si>
    <t>A02N520892</t>
  </si>
  <si>
    <t>A02N518971</t>
  </si>
  <si>
    <t>A03N229134</t>
  </si>
  <si>
    <t>A03N227848</t>
  </si>
  <si>
    <t>A03N222238</t>
  </si>
  <si>
    <t>A03N524174</t>
  </si>
  <si>
    <t>A03N222920</t>
  </si>
  <si>
    <t>A03N238067</t>
  </si>
  <si>
    <t>A03N558573</t>
  </si>
  <si>
    <t>A03N558675</t>
  </si>
  <si>
    <t>A03N221825</t>
  </si>
  <si>
    <t>A03N523925</t>
  </si>
  <si>
    <t>A03N223808</t>
  </si>
  <si>
    <t>A03N223837</t>
  </si>
  <si>
    <t>A03N543309</t>
  </si>
  <si>
    <t>A03N236292</t>
  </si>
  <si>
    <t>A03N224191</t>
  </si>
  <si>
    <t>A03N546315</t>
  </si>
  <si>
    <t>A03N232553</t>
  </si>
  <si>
    <t>A03N423307</t>
  </si>
  <si>
    <t>A03N429371</t>
  </si>
  <si>
    <t>A04F033163</t>
  </si>
  <si>
    <t>A04F037868</t>
  </si>
  <si>
    <t>A04F040636</t>
  </si>
  <si>
    <t>A04F033140</t>
  </si>
  <si>
    <t>A04F038996</t>
  </si>
  <si>
    <t>A04F037855</t>
  </si>
  <si>
    <t>A04F043542</t>
  </si>
  <si>
    <t>A04F042739</t>
  </si>
  <si>
    <t>A04F033359</t>
  </si>
  <si>
    <t>A04F041646</t>
  </si>
  <si>
    <t>A04F037733</t>
  </si>
  <si>
    <t>A04F042681</t>
  </si>
  <si>
    <t>A04F033364</t>
  </si>
  <si>
    <t>A04F041911</t>
  </si>
  <si>
    <t>A04F033349</t>
  </si>
  <si>
    <t>A04F03360</t>
  </si>
  <si>
    <t>A04F060427</t>
  </si>
  <si>
    <t>A05S043620</t>
  </si>
  <si>
    <t>A05S042972</t>
  </si>
  <si>
    <t>A05S024654</t>
  </si>
  <si>
    <t>A05S124684</t>
  </si>
  <si>
    <t>A05S112896</t>
  </si>
  <si>
    <t>A05S023865</t>
  </si>
  <si>
    <t>A05S046989</t>
  </si>
  <si>
    <t>A05S048336</t>
  </si>
  <si>
    <t>A05S115099</t>
  </si>
  <si>
    <t>A05S049603</t>
  </si>
  <si>
    <t>A05S047431</t>
  </si>
  <si>
    <t>A05S043236</t>
  </si>
  <si>
    <t>A05S114843</t>
  </si>
  <si>
    <t>A07S250486</t>
  </si>
  <si>
    <t>A07S249423</t>
  </si>
  <si>
    <t>A07S252353</t>
  </si>
  <si>
    <t>A07S257949</t>
  </si>
  <si>
    <t>A07S246941</t>
  </si>
  <si>
    <t>A96L006813</t>
  </si>
  <si>
    <t>Y01N511810</t>
  </si>
  <si>
    <t>Y01N503534</t>
  </si>
  <si>
    <t>Y01N504492</t>
  </si>
  <si>
    <t>Y01N504491</t>
  </si>
  <si>
    <t>Y10X054665</t>
  </si>
  <si>
    <t>Y10X052835</t>
  </si>
  <si>
    <t>Y10X052248</t>
  </si>
  <si>
    <t>Y10X050448</t>
  </si>
  <si>
    <t>Y10X413700</t>
  </si>
  <si>
    <t>Y10X050359</t>
  </si>
  <si>
    <t>Y10X050692</t>
  </si>
  <si>
    <t>Y10X048997</t>
  </si>
  <si>
    <t>Y10X050216</t>
  </si>
  <si>
    <t>Y10X052217</t>
  </si>
  <si>
    <t>Y10X047548</t>
  </si>
  <si>
    <t>Y10X055549</t>
  </si>
  <si>
    <t>Y10X054689</t>
  </si>
  <si>
    <t>Y10X054728</t>
  </si>
  <si>
    <t>Y10X047610</t>
  </si>
  <si>
    <t>A06A045850</t>
  </si>
  <si>
    <t>Y12K022030</t>
  </si>
  <si>
    <t>Y12K026397</t>
  </si>
  <si>
    <t>Y12K024284</t>
  </si>
  <si>
    <t>Y12K021579</t>
  </si>
  <si>
    <t>Y12K024147</t>
  </si>
  <si>
    <t>Y12K025549</t>
  </si>
  <si>
    <t>Y12K025529</t>
  </si>
  <si>
    <t>Y12K022525</t>
  </si>
  <si>
    <t>Y12K022254</t>
  </si>
  <si>
    <t>Y12K025587</t>
  </si>
  <si>
    <t>TECNOBRAS</t>
  </si>
  <si>
    <t>VECTOR</t>
  </si>
  <si>
    <t>RETIRADA</t>
  </si>
  <si>
    <t>INIC</t>
  </si>
  <si>
    <t>IDADE</t>
  </si>
  <si>
    <t>INSTAL.</t>
  </si>
  <si>
    <t>37/10/2012</t>
  </si>
  <si>
    <t>Y01N513673</t>
  </si>
  <si>
    <t>Y10N507519</t>
  </si>
  <si>
    <t>Y01N508577</t>
  </si>
  <si>
    <t>Y01N508371</t>
  </si>
  <si>
    <t>Y01N508570</t>
  </si>
  <si>
    <t>Y01N509510</t>
  </si>
  <si>
    <t>Y01N514513</t>
  </si>
  <si>
    <t>Y01N513695</t>
  </si>
  <si>
    <t>Y01N508578</t>
  </si>
  <si>
    <t>Y01N508551</t>
  </si>
  <si>
    <t>Y01N507520</t>
  </si>
  <si>
    <t>Y01N507524</t>
  </si>
  <si>
    <t>Y01N506201</t>
  </si>
  <si>
    <t>A01L264693</t>
  </si>
  <si>
    <t>A01L263660</t>
  </si>
  <si>
    <t>A01L260307</t>
  </si>
  <si>
    <t>A01L260587</t>
  </si>
  <si>
    <t>A01L260868</t>
  </si>
  <si>
    <t>A01L261590</t>
  </si>
  <si>
    <t>A01L267496</t>
  </si>
  <si>
    <t>A01L261438</t>
  </si>
  <si>
    <t>A01L263114</t>
  </si>
  <si>
    <t>A01L266845</t>
  </si>
  <si>
    <t>A01L270649</t>
  </si>
  <si>
    <t>A01L261674</t>
  </si>
  <si>
    <t>A01L265450</t>
  </si>
  <si>
    <t>A01L264898</t>
  </si>
  <si>
    <t>A01L260829</t>
  </si>
  <si>
    <t>A01L260416</t>
  </si>
  <si>
    <t>A01L264060</t>
  </si>
  <si>
    <t>A01L266841</t>
  </si>
  <si>
    <t>A01L265679</t>
  </si>
  <si>
    <t>E07X002448</t>
  </si>
  <si>
    <t>E07X002761</t>
  </si>
  <si>
    <t>E07X002710</t>
  </si>
  <si>
    <t>E07X002438</t>
  </si>
  <si>
    <t>E07X002499</t>
  </si>
  <si>
    <t>20m³/h</t>
  </si>
  <si>
    <t>A99S411396</t>
  </si>
  <si>
    <t>A99S246787</t>
  </si>
  <si>
    <t>A99S412799</t>
  </si>
  <si>
    <t>A99S246868</t>
  </si>
  <si>
    <t>A99S051749</t>
  </si>
  <si>
    <t>A99S246734</t>
  </si>
  <si>
    <t>A99S246668</t>
  </si>
  <si>
    <t>A99S246661</t>
  </si>
  <si>
    <t>A96S196450</t>
  </si>
  <si>
    <t>A96S196853</t>
  </si>
  <si>
    <t>A96S191617</t>
  </si>
  <si>
    <t>A96S197978</t>
  </si>
  <si>
    <t>A96S195250</t>
  </si>
  <si>
    <t>A96S191238</t>
  </si>
  <si>
    <t>A96S195074</t>
  </si>
  <si>
    <t>A96S190929</t>
  </si>
  <si>
    <t>A06X051338</t>
  </si>
  <si>
    <t>A06X051665</t>
  </si>
  <si>
    <t>A06X052669</t>
  </si>
  <si>
    <t>A06X051662</t>
  </si>
  <si>
    <t>A06X051340</t>
  </si>
  <si>
    <t>A06X051816</t>
  </si>
  <si>
    <t>A06X051778</t>
  </si>
  <si>
    <t>A06X051815</t>
  </si>
  <si>
    <t>A06X059685</t>
  </si>
  <si>
    <t>A06X059730</t>
  </si>
  <si>
    <t>Y97S022059</t>
  </si>
  <si>
    <t>Y97S061738</t>
  </si>
  <si>
    <t>Y97S014084</t>
  </si>
  <si>
    <t>Y97S013818</t>
  </si>
  <si>
    <t>Y97S014044</t>
  </si>
  <si>
    <t>Y97S061799</t>
  </si>
  <si>
    <t>Y97S014368</t>
  </si>
  <si>
    <t>Y97S014002</t>
  </si>
  <si>
    <t>Y97S021904</t>
  </si>
  <si>
    <t>Y97S021924</t>
  </si>
  <si>
    <t>Y98S039481</t>
  </si>
  <si>
    <t>Y98S039349</t>
  </si>
  <si>
    <t>Y98S029997</t>
  </si>
  <si>
    <t>Y98S029717</t>
  </si>
  <si>
    <t>Y98S033690</t>
  </si>
  <si>
    <t>Y98S039434</t>
  </si>
  <si>
    <t>Y98S036883</t>
  </si>
  <si>
    <t>Y98S037400</t>
  </si>
  <si>
    <t>Y98S039345</t>
  </si>
  <si>
    <t>Y98S038848</t>
  </si>
  <si>
    <t>A02NA00898</t>
  </si>
  <si>
    <t>A02NA01350</t>
  </si>
  <si>
    <t>A02NA00551</t>
  </si>
  <si>
    <t>A02NA01608</t>
  </si>
  <si>
    <t>A02NA70368</t>
  </si>
  <si>
    <t>A02NA00351</t>
  </si>
  <si>
    <t>A02NA00865</t>
  </si>
  <si>
    <t>A02NA02042</t>
  </si>
  <si>
    <t>A02NA00706</t>
  </si>
  <si>
    <t>A02NA71263</t>
  </si>
  <si>
    <t>Y00L065844</t>
  </si>
  <si>
    <t>Y00L037027</t>
  </si>
  <si>
    <t>Y00L056297</t>
  </si>
  <si>
    <t>Y00L056393</t>
  </si>
  <si>
    <t>Y00L054874</t>
  </si>
  <si>
    <t>Y00L139414</t>
  </si>
  <si>
    <t>Y00L037078</t>
  </si>
  <si>
    <t>Y00L037356</t>
  </si>
  <si>
    <t>Y00L036538</t>
  </si>
  <si>
    <t>Y00L087817</t>
  </si>
  <si>
    <t>A02N458673</t>
  </si>
  <si>
    <t>A02N460332</t>
  </si>
  <si>
    <t>A02N458996</t>
  </si>
  <si>
    <t>A02N460334</t>
  </si>
  <si>
    <t>A02N516537</t>
  </si>
  <si>
    <t>A02N517054</t>
  </si>
  <si>
    <t>A02N516200</t>
  </si>
  <si>
    <t>A02N458406</t>
  </si>
  <si>
    <t>A02N511233</t>
  </si>
  <si>
    <t>A02N511411</t>
  </si>
  <si>
    <t>A01N521759</t>
  </si>
  <si>
    <t>A01N426284</t>
  </si>
  <si>
    <t>A02N510833</t>
  </si>
  <si>
    <t>A01N460657</t>
  </si>
  <si>
    <t>A01N520573</t>
  </si>
  <si>
    <t>A02N510834</t>
  </si>
  <si>
    <t>A02N512290</t>
  </si>
  <si>
    <t>A00N445911</t>
  </si>
  <si>
    <t>A02N517035</t>
  </si>
  <si>
    <t>A00N445362</t>
  </si>
  <si>
    <t>A02NA00899</t>
  </si>
  <si>
    <t>A02NA01118</t>
  </si>
  <si>
    <t>A01NA12922</t>
  </si>
  <si>
    <t>A02NA70359</t>
  </si>
  <si>
    <t>A02NA01536</t>
  </si>
  <si>
    <t>A02NA00896</t>
  </si>
  <si>
    <t>A02NA00892</t>
  </si>
  <si>
    <t>A02NA00564</t>
  </si>
  <si>
    <t>A02NA01341</t>
  </si>
  <si>
    <t>A02NA01323</t>
  </si>
  <si>
    <t>A02N521007</t>
  </si>
  <si>
    <t>A02N449019</t>
  </si>
  <si>
    <t>A02N516080</t>
  </si>
  <si>
    <t>A02N458796</t>
  </si>
  <si>
    <t>A02N520698</t>
  </si>
  <si>
    <t>A02N517095</t>
  </si>
  <si>
    <t>A02N458598</t>
  </si>
  <si>
    <t>A02N510211</t>
  </si>
  <si>
    <t>A02N449351</t>
  </si>
  <si>
    <t>A02N516076</t>
  </si>
  <si>
    <t>A02N521077</t>
  </si>
  <si>
    <t>A02N438023</t>
  </si>
  <si>
    <t>A02N516982</t>
  </si>
  <si>
    <t>A02N517547</t>
  </si>
  <si>
    <t>A02N517556</t>
  </si>
  <si>
    <t>A02N516479</t>
  </si>
  <si>
    <t>A02N517544</t>
  </si>
  <si>
    <t>A02N453220</t>
  </si>
  <si>
    <t>A02N643271</t>
  </si>
  <si>
    <t>A02N558349</t>
  </si>
  <si>
    <t>A01NA84150</t>
  </si>
  <si>
    <t>A01NA11610</t>
  </si>
  <si>
    <t>A01NA14010</t>
  </si>
  <si>
    <t>A01NA12342</t>
  </si>
  <si>
    <t>A01NA14055</t>
  </si>
  <si>
    <t>A01NA13453</t>
  </si>
  <si>
    <t>A02NA70363</t>
  </si>
  <si>
    <t>A02NA00584</t>
  </si>
  <si>
    <t>A02NA00283</t>
  </si>
  <si>
    <t>A02NA00174</t>
  </si>
  <si>
    <t>A02N431978</t>
  </si>
  <si>
    <t>A02N498674</t>
  </si>
  <si>
    <t>A02N642736</t>
  </si>
  <si>
    <t>A02N516353</t>
  </si>
  <si>
    <t>A02N460141</t>
  </si>
  <si>
    <t>A02N437132</t>
  </si>
  <si>
    <t>A02N459916</t>
  </si>
  <si>
    <t>A02N459771</t>
  </si>
  <si>
    <t>A02N498578</t>
  </si>
  <si>
    <t>A02N510933</t>
  </si>
  <si>
    <t>A02N459767</t>
  </si>
  <si>
    <t>A02N515434</t>
  </si>
  <si>
    <t>A02N460002</t>
  </si>
  <si>
    <t>A02N460335</t>
  </si>
  <si>
    <t>A02N459119</t>
  </si>
  <si>
    <t>A02N459841</t>
  </si>
  <si>
    <t>A02N458650</t>
  </si>
  <si>
    <t>A02N459089</t>
  </si>
  <si>
    <t>A02N435263</t>
  </si>
  <si>
    <t>A02N496854</t>
  </si>
  <si>
    <t>A02NA01534</t>
  </si>
  <si>
    <t>A02NA00118</t>
  </si>
  <si>
    <t>A02NA00893</t>
  </si>
  <si>
    <t>A02NA00341</t>
  </si>
  <si>
    <t>A02NA70698</t>
  </si>
  <si>
    <t>A02NA00284</t>
  </si>
  <si>
    <t>A02NA71479</t>
  </si>
  <si>
    <t>A01NA12214</t>
  </si>
  <si>
    <t>A02NA00112</t>
  </si>
  <si>
    <t>A02NA00580</t>
  </si>
  <si>
    <t>A07S245714</t>
  </si>
  <si>
    <t>A06X072990</t>
  </si>
  <si>
    <t>A06X054735</t>
  </si>
  <si>
    <t>A06X053734</t>
  </si>
  <si>
    <t>A06X054881</t>
  </si>
  <si>
    <t>A06X053715</t>
  </si>
  <si>
    <t>A07S242582</t>
  </si>
  <si>
    <t>Y12K021843</t>
  </si>
  <si>
    <t>Y12K021950</t>
  </si>
  <si>
    <t>Y12K025326</t>
  </si>
  <si>
    <t>Y12K033027</t>
  </si>
  <si>
    <t>Y12K024433</t>
  </si>
  <si>
    <t>Y12K041788</t>
  </si>
  <si>
    <t>Y12K024656</t>
  </si>
  <si>
    <t>Y12K043282</t>
  </si>
  <si>
    <t>Y12K022480</t>
  </si>
  <si>
    <t>Y12K024108</t>
  </si>
  <si>
    <t>Y12K022822</t>
  </si>
  <si>
    <t>Y12K046776</t>
  </si>
  <si>
    <t>Y12K026699</t>
  </si>
  <si>
    <t>Y12K047589</t>
  </si>
  <si>
    <t>Y01N508744</t>
  </si>
  <si>
    <t>Y01N508510</t>
  </si>
  <si>
    <t>Y01N508865</t>
  </si>
  <si>
    <t>Y01N508748</t>
  </si>
  <si>
    <t>Y01N515729</t>
  </si>
  <si>
    <t>Y01N508545</t>
  </si>
  <si>
    <t>Y01N508851</t>
  </si>
  <si>
    <t>Y00N505777</t>
  </si>
  <si>
    <t>A01N637864</t>
  </si>
  <si>
    <t>A01N636714</t>
  </si>
  <si>
    <t>A01N637243</t>
  </si>
  <si>
    <t>A01N636717</t>
  </si>
  <si>
    <t>A01N637242</t>
  </si>
  <si>
    <t>A01N636716</t>
  </si>
  <si>
    <t>A01N636040</t>
  </si>
  <si>
    <t>A01N521352</t>
  </si>
  <si>
    <t>A01N636712</t>
  </si>
  <si>
    <t>A01N636905</t>
  </si>
  <si>
    <t>A02N460339</t>
  </si>
  <si>
    <t>A02N516475</t>
  </si>
  <si>
    <t>A02N517065</t>
  </si>
  <si>
    <t>A02N441308</t>
  </si>
  <si>
    <t>A02N517187</t>
  </si>
  <si>
    <t>A02N510391</t>
  </si>
  <si>
    <t>A02N453214</t>
  </si>
  <si>
    <t>A02N460338</t>
  </si>
  <si>
    <t>A02N516432</t>
  </si>
  <si>
    <t>A82SA02832</t>
  </si>
  <si>
    <t>A82SA04146</t>
  </si>
  <si>
    <t>A82SA04316</t>
  </si>
  <si>
    <t>A82SA00281</t>
  </si>
  <si>
    <t>A82SA12973</t>
  </si>
  <si>
    <t>A82SA17278</t>
  </si>
  <si>
    <t>A82SA10459</t>
  </si>
  <si>
    <t>A82SA06864</t>
  </si>
  <si>
    <t>A82SA12785</t>
  </si>
  <si>
    <t>A02N449360</t>
  </si>
  <si>
    <t>A02N517322</t>
  </si>
  <si>
    <t>A02N517330</t>
  </si>
  <si>
    <t>A02N516466</t>
  </si>
  <si>
    <t>A02N517329</t>
  </si>
  <si>
    <t>A02N516469</t>
  </si>
  <si>
    <t>A02N511238</t>
  </si>
  <si>
    <t>A02N557747</t>
  </si>
  <si>
    <t>A02N510831</t>
  </si>
  <si>
    <t>A02N517291</t>
  </si>
  <si>
    <t>LEITURA</t>
  </si>
  <si>
    <t>MEDIA</t>
  </si>
  <si>
    <t>INSCRIÇÃO</t>
  </si>
  <si>
    <t>A06X045451</t>
  </si>
  <si>
    <t>A06X045258</t>
  </si>
  <si>
    <t>A06X046236</t>
  </si>
  <si>
    <t>A06X045707</t>
  </si>
  <si>
    <t>A06X045415</t>
  </si>
  <si>
    <t>A06X045431</t>
  </si>
  <si>
    <t>A06X045432</t>
  </si>
  <si>
    <t>A06X045712</t>
  </si>
  <si>
    <t>A06X045449</t>
  </si>
  <si>
    <t>A06X045639</t>
  </si>
  <si>
    <t>janeiro</t>
  </si>
  <si>
    <t>fevereiro</t>
  </si>
  <si>
    <t>dezembro</t>
  </si>
  <si>
    <t>A06X045594</t>
  </si>
  <si>
    <t>A06X045614</t>
  </si>
  <si>
    <t>A06X046143</t>
  </si>
  <si>
    <t>A06X045361</t>
  </si>
  <si>
    <t>A06X046683</t>
  </si>
  <si>
    <t>A06X045447</t>
  </si>
  <si>
    <t>A06X045416</t>
  </si>
  <si>
    <t>A06X045464</t>
  </si>
  <si>
    <t>A06X054457</t>
  </si>
  <si>
    <t>A06X054316</t>
  </si>
  <si>
    <t>A06X089465</t>
  </si>
  <si>
    <t>A06X041857</t>
  </si>
  <si>
    <t>A06X069078</t>
  </si>
  <si>
    <t>A06X054331</t>
  </si>
  <si>
    <t>A06X086961</t>
  </si>
  <si>
    <t>A06X053983</t>
  </si>
  <si>
    <t>A07X003862</t>
  </si>
  <si>
    <t>A07X003859</t>
  </si>
  <si>
    <t>A06X060708</t>
  </si>
  <si>
    <t>A06X071124</t>
  </si>
  <si>
    <t>A06X060956</t>
  </si>
  <si>
    <t>A06X073282</t>
  </si>
  <si>
    <t>A06X071321</t>
  </si>
  <si>
    <t>A07X005418</t>
  </si>
  <si>
    <t>A06X069473</t>
  </si>
  <si>
    <t>A06X089202</t>
  </si>
  <si>
    <t>A06X071006</t>
  </si>
  <si>
    <t>A07X005764</t>
  </si>
  <si>
    <t>A07X003866</t>
  </si>
  <si>
    <t>A07X003851</t>
  </si>
  <si>
    <t>A06X089514</t>
  </si>
  <si>
    <t>A06X053004</t>
  </si>
  <si>
    <t>A06X068985</t>
  </si>
  <si>
    <t>A06X068954</t>
  </si>
  <si>
    <t>A06X086657</t>
  </si>
  <si>
    <t>A06X089279</t>
  </si>
  <si>
    <t>A06X053372</t>
  </si>
  <si>
    <t>A06X060178</t>
  </si>
  <si>
    <t>A06X039995</t>
  </si>
  <si>
    <t>A07X005762</t>
  </si>
  <si>
    <t>A06X044733</t>
  </si>
  <si>
    <t>A06X054098</t>
  </si>
  <si>
    <t>Y10X414778</t>
  </si>
  <si>
    <t>Y10X320361</t>
  </si>
  <si>
    <t>Y10X359053</t>
  </si>
  <si>
    <t>Y10X258178</t>
  </si>
  <si>
    <t>Y10X369592</t>
  </si>
  <si>
    <t>Y10X053607</t>
  </si>
  <si>
    <t>Y10X322070</t>
  </si>
  <si>
    <t>Y10X050566</t>
  </si>
  <si>
    <t>Y10X324129</t>
  </si>
  <si>
    <t>Y10X258336</t>
  </si>
  <si>
    <t>A07X009170</t>
  </si>
  <si>
    <t>A07X008409</t>
  </si>
  <si>
    <t>A07X029729</t>
  </si>
  <si>
    <t>A07X018395</t>
  </si>
  <si>
    <t>A07X005286</t>
  </si>
  <si>
    <t>A07X018167</t>
  </si>
  <si>
    <t>A07X055544</t>
  </si>
  <si>
    <t>A07X017710</t>
  </si>
  <si>
    <t>A07X004153</t>
  </si>
  <si>
    <t>A07X013682</t>
  </si>
  <si>
    <t>A97S489456</t>
  </si>
  <si>
    <t>A96T286676</t>
  </si>
  <si>
    <t>A97S263295</t>
  </si>
  <si>
    <t>A97S177441</t>
  </si>
  <si>
    <t>A97S487473</t>
  </si>
  <si>
    <t>A95S263227</t>
  </si>
  <si>
    <t>A97S487568</t>
  </si>
  <si>
    <t>anterior</t>
  </si>
  <si>
    <t>A01N463599</t>
  </si>
  <si>
    <t>A01N521379</t>
  </si>
  <si>
    <t>A01N599237</t>
  </si>
  <si>
    <t>A01N463243</t>
  </si>
  <si>
    <t>A01N463261</t>
  </si>
  <si>
    <t>A01N464809</t>
  </si>
  <si>
    <t>A01N463789</t>
  </si>
  <si>
    <t>A01N424910</t>
  </si>
  <si>
    <t>A01N599772</t>
  </si>
  <si>
    <t>A01N423592</t>
  </si>
  <si>
    <t>A01N434265</t>
  </si>
  <si>
    <t>A01N599325</t>
  </si>
  <si>
    <t>A01N598841</t>
  </si>
  <si>
    <t>A01N597329</t>
  </si>
  <si>
    <t>A01N460251</t>
  </si>
  <si>
    <t>A01N597580</t>
  </si>
  <si>
    <t>A01N597579</t>
  </si>
  <si>
    <t>A01N424112</t>
  </si>
  <si>
    <t>A01N425308</t>
  </si>
  <si>
    <t>A01N597117</t>
  </si>
  <si>
    <t>A02N642387</t>
  </si>
  <si>
    <t>A02N461015</t>
  </si>
  <si>
    <t>A02N459833</t>
  </si>
  <si>
    <t>A02N511880</t>
  </si>
  <si>
    <t>A02N499103</t>
  </si>
  <si>
    <t>A02N641998</t>
  </si>
  <si>
    <t>A02N433889</t>
  </si>
  <si>
    <t>A02N643454</t>
  </si>
  <si>
    <t>A02N642441</t>
  </si>
  <si>
    <t>A02N460020</t>
  </si>
  <si>
    <t>A02N518789</t>
  </si>
  <si>
    <t>A02N460854</t>
  </si>
  <si>
    <t>A02N436232</t>
  </si>
  <si>
    <t>A02N458240</t>
  </si>
  <si>
    <t>A02N499285</t>
  </si>
  <si>
    <t>A02N460012</t>
  </si>
  <si>
    <t>A00N330364</t>
  </si>
  <si>
    <t>A00N335497</t>
  </si>
  <si>
    <t>A00N335282</t>
  </si>
  <si>
    <t>A00N330929</t>
  </si>
  <si>
    <t>A00N335151</t>
  </si>
  <si>
    <t>A00N330363</t>
  </si>
  <si>
    <t>A00N335285</t>
  </si>
  <si>
    <t>A00N330365</t>
  </si>
  <si>
    <t>A00N335287</t>
  </si>
  <si>
    <t>A00N330367</t>
  </si>
  <si>
    <t>A01L269805</t>
  </si>
  <si>
    <t>A01L264631</t>
  </si>
  <si>
    <t>A01L267209</t>
  </si>
  <si>
    <t>A01L260149</t>
  </si>
  <si>
    <t>A01L268457</t>
  </si>
  <si>
    <t>A01L260985</t>
  </si>
  <si>
    <t>A01L267302</t>
  </si>
  <si>
    <t>A01L267055</t>
  </si>
  <si>
    <t>A01L261494</t>
  </si>
  <si>
    <t>A01L267214</t>
  </si>
  <si>
    <t>A02N437213</t>
  </si>
  <si>
    <t>A02N459696</t>
  </si>
  <si>
    <t>A02N458491</t>
  </si>
  <si>
    <t>A02N517189</t>
  </si>
  <si>
    <t>A02N449355</t>
  </si>
  <si>
    <t>A02N520205</t>
  </si>
  <si>
    <t>A02N517293</t>
  </si>
  <si>
    <t>A02N516324</t>
  </si>
  <si>
    <t>A02N517022</t>
  </si>
  <si>
    <t>A02N517014</t>
  </si>
  <si>
    <t>A01N599126</t>
  </si>
  <si>
    <t>A01N598710</t>
  </si>
  <si>
    <t>A01N464000</t>
  </si>
  <si>
    <t>A01N424906</t>
  </si>
  <si>
    <t>A01N636906</t>
  </si>
  <si>
    <t>A01N425065</t>
  </si>
  <si>
    <t>A01N464058</t>
  </si>
  <si>
    <t>A01N423354</t>
  </si>
  <si>
    <t>A01N637247</t>
  </si>
  <si>
    <t>A01N522181</t>
  </si>
  <si>
    <t>A91S006252</t>
  </si>
  <si>
    <t>A91S002299</t>
  </si>
  <si>
    <t>A91S005354</t>
  </si>
  <si>
    <t>A91S005902</t>
  </si>
  <si>
    <t>A78SA08359</t>
  </si>
  <si>
    <t>A78SA06770</t>
  </si>
  <si>
    <t>A78SA01738</t>
  </si>
  <si>
    <t>A78SA01652</t>
  </si>
  <si>
    <t>A01N423906</t>
  </si>
  <si>
    <t>A01N434825</t>
  </si>
  <si>
    <t>A01N423588</t>
  </si>
  <si>
    <t>A01N460689</t>
  </si>
  <si>
    <t>A01N435037</t>
  </si>
  <si>
    <t>A01N464765</t>
  </si>
  <si>
    <t>A01N424994</t>
  </si>
  <si>
    <t>A01N636570</t>
  </si>
  <si>
    <t>A01N598693</t>
  </si>
  <si>
    <t>A01N424940</t>
  </si>
  <si>
    <t>A01N435018</t>
  </si>
  <si>
    <t>A01N424526</t>
  </si>
  <si>
    <t>A01N521364</t>
  </si>
  <si>
    <t>A01N423054</t>
  </si>
  <si>
    <t>A01N463445</t>
  </si>
  <si>
    <t>A01N423013</t>
  </si>
  <si>
    <t>A01N636808</t>
  </si>
  <si>
    <t>A01N598090</t>
  </si>
  <si>
    <t>A01N424537</t>
  </si>
  <si>
    <t>A01N434796</t>
  </si>
  <si>
    <t>A01N425082</t>
  </si>
  <si>
    <t>A01N636125</t>
  </si>
  <si>
    <t>A01N637144</t>
  </si>
  <si>
    <t>A01N637142</t>
  </si>
  <si>
    <t>A01N521357</t>
  </si>
  <si>
    <t>A01N425292</t>
  </si>
  <si>
    <t>A01N637700</t>
  </si>
  <si>
    <t>A01N597110</t>
  </si>
  <si>
    <t>A01N598701</t>
  </si>
  <si>
    <t>A01N423053</t>
  </si>
  <si>
    <t>IDM (PRODITIVIDADE)</t>
  </si>
  <si>
    <t>META MENSAL</t>
  </si>
  <si>
    <t>MÊS</t>
  </si>
  <si>
    <t xml:space="preserve">QUANT. </t>
  </si>
  <si>
    <t>VERMELHO</t>
  </si>
  <si>
    <t>AZUL</t>
  </si>
  <si>
    <t>Obs.: o mês fecha no dia 15</t>
  </si>
  <si>
    <t>RUIM</t>
  </si>
  <si>
    <t>BOM</t>
  </si>
  <si>
    <t>TOTAL</t>
  </si>
  <si>
    <t>28/05/15/</t>
  </si>
  <si>
    <t>A96TA89081</t>
  </si>
  <si>
    <t>A96TA19342</t>
  </si>
  <si>
    <t>A96TA10856</t>
  </si>
  <si>
    <t>A96TA89264</t>
  </si>
  <si>
    <t>A96TA10656</t>
  </si>
  <si>
    <t>A96TA89057</t>
  </si>
  <si>
    <t>A96TA10652</t>
  </si>
  <si>
    <t>A96TA89277</t>
  </si>
  <si>
    <t>A96TA10878</t>
  </si>
  <si>
    <t>A03N558549</t>
  </si>
  <si>
    <t>A03N545018</t>
  </si>
  <si>
    <t>A03N237447</t>
  </si>
  <si>
    <t>A03N224818</t>
  </si>
  <si>
    <t>A03N548926</t>
  </si>
  <si>
    <t>A03N549438</t>
  </si>
  <si>
    <t>A03N552474</t>
  </si>
  <si>
    <t>A03N549747</t>
  </si>
  <si>
    <t>A00N445892</t>
  </si>
  <si>
    <t>A00N330660</t>
  </si>
  <si>
    <t>A00N330465</t>
  </si>
  <si>
    <t>A00N330467</t>
  </si>
  <si>
    <t>A00N330466</t>
  </si>
  <si>
    <t>A00N445913</t>
  </si>
  <si>
    <t>A00N444834</t>
  </si>
  <si>
    <t>A00N447184</t>
  </si>
  <si>
    <t>A00N450697</t>
  </si>
  <si>
    <t>A00N332474</t>
  </si>
  <si>
    <t>A04F036312</t>
  </si>
  <si>
    <t>A04F043681</t>
  </si>
  <si>
    <t>A04F036768</t>
  </si>
  <si>
    <t>A04F038675</t>
  </si>
  <si>
    <t>A04F039398</t>
  </si>
  <si>
    <t>A04F037165</t>
  </si>
  <si>
    <t>A04F042513</t>
  </si>
  <si>
    <t>A04F036501</t>
  </si>
  <si>
    <t>A98N139463</t>
  </si>
  <si>
    <t>A98N142674</t>
  </si>
  <si>
    <t>A98N142551</t>
  </si>
  <si>
    <t>A98N143298</t>
  </si>
  <si>
    <t>A98N137414</t>
  </si>
  <si>
    <t>A98N330064</t>
  </si>
  <si>
    <t>A98N193044</t>
  </si>
  <si>
    <t>A98N104148</t>
  </si>
  <si>
    <t>A98N143253</t>
  </si>
  <si>
    <t>A98N138029</t>
  </si>
  <si>
    <t>NANSEN</t>
  </si>
  <si>
    <t>A00N446218</t>
  </si>
  <si>
    <t>A00N336267</t>
  </si>
  <si>
    <t>A00N448317</t>
  </si>
  <si>
    <t>A00N334357</t>
  </si>
  <si>
    <t>A00N445570</t>
  </si>
  <si>
    <t>A00N446430</t>
  </si>
  <si>
    <t>A00N450394</t>
  </si>
  <si>
    <t>A00N446663</t>
  </si>
  <si>
    <t>Y11X148608</t>
  </si>
  <si>
    <t>Y11X155665</t>
  </si>
  <si>
    <t>Y11X026306</t>
  </si>
  <si>
    <t>Y11X026354</t>
  </si>
  <si>
    <t>Y11X154780</t>
  </si>
  <si>
    <t>Y11X069876</t>
  </si>
  <si>
    <t>Y11X151386</t>
  </si>
  <si>
    <t>Y11X040087</t>
  </si>
  <si>
    <t>E07X002361</t>
  </si>
  <si>
    <t>E07X002028</t>
  </si>
  <si>
    <t>E07X002533</t>
  </si>
  <si>
    <t>E07X002036</t>
  </si>
  <si>
    <t>E07X002550</t>
  </si>
  <si>
    <t>E07X002566</t>
  </si>
  <si>
    <t>E07X002657</t>
  </si>
  <si>
    <t>E07X002806</t>
  </si>
  <si>
    <t>E07X002094</t>
  </si>
  <si>
    <t>E07X002787</t>
  </si>
  <si>
    <t>E07X002087</t>
  </si>
  <si>
    <t>E07X002698</t>
  </si>
  <si>
    <t>E07X002027</t>
  </si>
  <si>
    <t>E07X002097</t>
  </si>
  <si>
    <t>E07X002025</t>
  </si>
  <si>
    <t>E07X002724</t>
  </si>
  <si>
    <t>E07X002658</t>
  </si>
  <si>
    <t>março</t>
  </si>
  <si>
    <t>A91T</t>
  </si>
  <si>
    <t>Y10X</t>
  </si>
  <si>
    <t>A07F</t>
  </si>
  <si>
    <t>A06A</t>
  </si>
  <si>
    <t>E10S</t>
  </si>
  <si>
    <t>D10X</t>
  </si>
  <si>
    <t>A00N</t>
  </si>
  <si>
    <t>A99S</t>
  </si>
  <si>
    <t>A05S</t>
  </si>
  <si>
    <t>A02N</t>
  </si>
  <si>
    <t>Y03N</t>
  </si>
  <si>
    <t>A00L</t>
  </si>
  <si>
    <t>A04F</t>
  </si>
  <si>
    <t>A06X</t>
  </si>
  <si>
    <t>Y96S</t>
  </si>
  <si>
    <t>A96L</t>
  </si>
  <si>
    <t>Y01N</t>
  </si>
  <si>
    <t>A01N</t>
  </si>
  <si>
    <t>B10S</t>
  </si>
  <si>
    <t>B06X</t>
  </si>
  <si>
    <t>A03N</t>
  </si>
  <si>
    <t>A07S</t>
  </si>
  <si>
    <t>A78S</t>
  </si>
  <si>
    <t>A78T</t>
  </si>
  <si>
    <t>Y12K</t>
  </si>
  <si>
    <t>Y10N</t>
  </si>
  <si>
    <t>A01L</t>
  </si>
  <si>
    <t>E07X</t>
  </si>
  <si>
    <t>A96S</t>
  </si>
  <si>
    <t>Y97S</t>
  </si>
  <si>
    <t>Y98S</t>
  </si>
  <si>
    <t>Y00L</t>
  </si>
  <si>
    <t>Y00N</t>
  </si>
  <si>
    <t>A82S</t>
  </si>
  <si>
    <t>A07X</t>
  </si>
  <si>
    <t>A97S</t>
  </si>
  <si>
    <t>A96T</t>
  </si>
  <si>
    <t>A95S</t>
  </si>
  <si>
    <t>A91S</t>
  </si>
  <si>
    <t>A98N</t>
  </si>
  <si>
    <t>Y11X</t>
  </si>
  <si>
    <t>Fabricante</t>
  </si>
  <si>
    <t>QT amostras</t>
  </si>
  <si>
    <t>Cap.</t>
  </si>
  <si>
    <t>A</t>
  </si>
  <si>
    <t>Y</t>
  </si>
  <si>
    <t>B</t>
  </si>
  <si>
    <t>E</t>
  </si>
  <si>
    <t>D</t>
  </si>
  <si>
    <t>Total</t>
  </si>
  <si>
    <t>Capacidade</t>
  </si>
  <si>
    <t>IDM Médio [Fabricante x Ano]</t>
  </si>
  <si>
    <t>Y11X 022059</t>
  </si>
  <si>
    <t>Y11X 146644</t>
  </si>
  <si>
    <t>Y11X 148847</t>
  </si>
  <si>
    <t>Y11X 022912</t>
  </si>
  <si>
    <t>Y11X 024160</t>
  </si>
  <si>
    <t>Y11X 148285</t>
  </si>
  <si>
    <t>Y11X 036127</t>
  </si>
  <si>
    <t>Y11X 038743</t>
  </si>
  <si>
    <t>Y11X 067698</t>
  </si>
  <si>
    <t>Y11X 038705</t>
  </si>
  <si>
    <t>A05S052164</t>
  </si>
  <si>
    <t>A05S121166</t>
  </si>
  <si>
    <t>A05S475138</t>
  </si>
  <si>
    <t>A05S045630</t>
  </si>
  <si>
    <t>A05S052230</t>
  </si>
  <si>
    <t>A05S114883</t>
  </si>
  <si>
    <t>A05S042610</t>
  </si>
  <si>
    <t>A05S045273</t>
  </si>
  <si>
    <t>A05S122569</t>
  </si>
  <si>
    <t>A06A076787</t>
  </si>
  <si>
    <t>A06A045511</t>
  </si>
  <si>
    <t>A06A039811</t>
  </si>
  <si>
    <t>A06A080530</t>
  </si>
  <si>
    <t>A06A039901</t>
  </si>
  <si>
    <t>A06A075519</t>
  </si>
  <si>
    <t>A06A080362</t>
  </si>
  <si>
    <t>A06A043751</t>
  </si>
  <si>
    <t>A06A079821</t>
  </si>
  <si>
    <t>A06A081156</t>
  </si>
  <si>
    <t>Y01N504949</t>
  </si>
  <si>
    <t>Y01N502128</t>
  </si>
  <si>
    <t>Y01N508910</t>
  </si>
  <si>
    <t>Y01N501991</t>
  </si>
  <si>
    <t>Y01N509549</t>
  </si>
  <si>
    <t>Y01N502078</t>
  </si>
  <si>
    <t>Y01N503389</t>
  </si>
  <si>
    <t>Y01N503045</t>
  </si>
  <si>
    <t>Y01N514813</t>
  </si>
  <si>
    <t>Y01N508917</t>
  </si>
  <si>
    <t>Y01N502169</t>
  </si>
  <si>
    <t>Y01N502212</t>
  </si>
  <si>
    <t>Y01N513369</t>
  </si>
  <si>
    <t>Y01N507372</t>
  </si>
  <si>
    <t>A03N641793</t>
  </si>
  <si>
    <t>A03N638395</t>
  </si>
  <si>
    <t>A03N478932</t>
  </si>
  <si>
    <t>A03N239548</t>
  </si>
  <si>
    <t>A03N421096</t>
  </si>
  <si>
    <t>A03N234622</t>
  </si>
  <si>
    <t>A03N239982</t>
  </si>
  <si>
    <t>A03N646159</t>
  </si>
  <si>
    <t>A03N527050</t>
  </si>
  <si>
    <t>A03N235689</t>
  </si>
  <si>
    <t>A00L282494</t>
  </si>
  <si>
    <t>A00L227488</t>
  </si>
  <si>
    <t>A00L281557</t>
  </si>
  <si>
    <t>A00L120461</t>
  </si>
  <si>
    <t>A00L080310</t>
  </si>
  <si>
    <t>A00L120462</t>
  </si>
  <si>
    <t>A00L130875</t>
  </si>
  <si>
    <t>A00L121896</t>
  </si>
  <si>
    <t>A00L281612</t>
  </si>
  <si>
    <t>A97S492085</t>
  </si>
  <si>
    <t>A97S528363</t>
  </si>
  <si>
    <t>A97S488572</t>
  </si>
  <si>
    <t>A97S492057</t>
  </si>
  <si>
    <t>A97S489634</t>
  </si>
  <si>
    <t>A97S532242</t>
  </si>
  <si>
    <t>A97S492509</t>
  </si>
  <si>
    <t>A97S176741</t>
  </si>
  <si>
    <t>A97S175825</t>
  </si>
  <si>
    <t>A97S174830</t>
  </si>
  <si>
    <t>D11X000462</t>
  </si>
  <si>
    <t>D11X000472</t>
  </si>
  <si>
    <t>D11X000397</t>
  </si>
  <si>
    <t>D11X000459</t>
  </si>
  <si>
    <t>D11X000339</t>
  </si>
  <si>
    <t>D11X000445</t>
  </si>
  <si>
    <t>A07S242983</t>
  </si>
  <si>
    <t>A07S219201</t>
  </si>
  <si>
    <t>A07S254047</t>
  </si>
  <si>
    <t>A07S252241</t>
  </si>
  <si>
    <t>A07S246926</t>
  </si>
  <si>
    <t>A07S251817</t>
  </si>
  <si>
    <t>A07S300052</t>
  </si>
  <si>
    <t>A07S247114</t>
  </si>
  <si>
    <t>A075246880</t>
  </si>
  <si>
    <t>A075242979</t>
  </si>
  <si>
    <t>A075248360</t>
  </si>
  <si>
    <t>A075245708</t>
  </si>
  <si>
    <t>A075254230</t>
  </si>
  <si>
    <t>A075254802</t>
  </si>
  <si>
    <t>Y08B994587</t>
  </si>
  <si>
    <t>Y08B994938</t>
  </si>
  <si>
    <t>Y08B993990</t>
  </si>
  <si>
    <t>Y08B996107</t>
  </si>
  <si>
    <t>Y08B992488</t>
  </si>
  <si>
    <t>AQUARIUS</t>
  </si>
  <si>
    <t>A07X016831</t>
  </si>
  <si>
    <t>A07X012661</t>
  </si>
  <si>
    <t>A07X016380</t>
  </si>
  <si>
    <t>A07X017020</t>
  </si>
  <si>
    <t>A07X008449</t>
  </si>
  <si>
    <t>A07X018792</t>
  </si>
  <si>
    <t>A05S050177</t>
  </si>
  <si>
    <t>A05S048587</t>
  </si>
  <si>
    <t>A05S113569</t>
  </si>
  <si>
    <t>A05S227330</t>
  </si>
  <si>
    <t>A05S051451</t>
  </si>
  <si>
    <t>A05S048217</t>
  </si>
  <si>
    <t>A05S046197</t>
  </si>
  <si>
    <t>A05S116891</t>
  </si>
  <si>
    <t>A05S051009</t>
  </si>
  <si>
    <t>A05S023697</t>
  </si>
  <si>
    <t>A06S326107</t>
  </si>
  <si>
    <t>A06S325647</t>
  </si>
  <si>
    <t>A06S058635</t>
  </si>
  <si>
    <t>A06S140662</t>
  </si>
  <si>
    <t>A06S327241</t>
  </si>
  <si>
    <t>A06S242644</t>
  </si>
  <si>
    <t>A06A037372</t>
  </si>
  <si>
    <t>A06A078170</t>
  </si>
  <si>
    <t>A06A039259</t>
  </si>
  <si>
    <t>A06A084201</t>
  </si>
  <si>
    <t>A06A077862</t>
  </si>
  <si>
    <t>A06A039577</t>
  </si>
  <si>
    <t>A06A039587</t>
  </si>
  <si>
    <t>A06A074418</t>
  </si>
  <si>
    <t>A06A078939</t>
  </si>
  <si>
    <t>A06A078899</t>
  </si>
  <si>
    <t>17/81</t>
  </si>
  <si>
    <t>S/L</t>
  </si>
  <si>
    <t>A07S256139</t>
  </si>
  <si>
    <t>A07S252055</t>
  </si>
  <si>
    <t>A07S256868</t>
  </si>
  <si>
    <t>A07S255934</t>
  </si>
  <si>
    <t>A07S050951</t>
  </si>
  <si>
    <t>A07S245793</t>
  </si>
  <si>
    <t>A07S256869</t>
  </si>
  <si>
    <t>A07S256870</t>
  </si>
  <si>
    <t>A07S256992</t>
  </si>
  <si>
    <t>A07S256887</t>
  </si>
  <si>
    <t>A07S256704</t>
  </si>
  <si>
    <t>A07S254443</t>
  </si>
  <si>
    <t>A07S084882</t>
  </si>
  <si>
    <t>A07S332435</t>
  </si>
  <si>
    <t>A07S416083</t>
  </si>
  <si>
    <t>A07S241593</t>
  </si>
  <si>
    <t>A07S248189</t>
  </si>
  <si>
    <t>A07S250972</t>
  </si>
  <si>
    <t>A07S247305</t>
  </si>
  <si>
    <t>A07S246847</t>
  </si>
  <si>
    <t>A07S250862</t>
  </si>
  <si>
    <t>A07S257002</t>
  </si>
  <si>
    <t>A07S242869</t>
  </si>
  <si>
    <t>A07S254961</t>
  </si>
  <si>
    <t>A07S332445</t>
  </si>
  <si>
    <t>A07S254962</t>
  </si>
  <si>
    <t>A07S250898</t>
  </si>
  <si>
    <t>A07S257691</t>
  </si>
  <si>
    <t>A07S257008</t>
  </si>
  <si>
    <t>A07S252866</t>
  </si>
  <si>
    <t>A07S253077</t>
  </si>
  <si>
    <t>A07S257692</t>
  </si>
  <si>
    <t>A07S256696</t>
  </si>
  <si>
    <t>A07S256863</t>
  </si>
  <si>
    <t>A07S255930</t>
  </si>
  <si>
    <t>A07S249069</t>
  </si>
  <si>
    <t>A07S256886</t>
  </si>
  <si>
    <t>A07S256991</t>
  </si>
  <si>
    <t>A07S257696</t>
  </si>
  <si>
    <t>A07S252057</t>
  </si>
  <si>
    <t>A07S254603</t>
  </si>
  <si>
    <t>A07S252079</t>
  </si>
  <si>
    <t>A07S257638</t>
  </si>
  <si>
    <t>A07S251935</t>
  </si>
  <si>
    <t>A07S244987</t>
  </si>
  <si>
    <t>A07S244285</t>
  </si>
  <si>
    <t>A07S609804</t>
  </si>
  <si>
    <t>A07S246547</t>
  </si>
  <si>
    <t>A07S249104</t>
  </si>
  <si>
    <t>A07S254646</t>
  </si>
  <si>
    <t>A07S250280</t>
  </si>
  <si>
    <t>A07S255939</t>
  </si>
  <si>
    <t>A07S252265</t>
  </si>
  <si>
    <t>A07S241600</t>
  </si>
  <si>
    <t>A07S331998</t>
  </si>
  <si>
    <t>A07S244586</t>
  </si>
  <si>
    <t>A07S332374</t>
  </si>
  <si>
    <t>A07S184281</t>
  </si>
  <si>
    <t>A07S241038</t>
  </si>
  <si>
    <t>A07S256911</t>
  </si>
  <si>
    <t>A06N496067</t>
  </si>
  <si>
    <t>A06N633842</t>
  </si>
  <si>
    <t>A06N496066</t>
  </si>
  <si>
    <t>A06N632029</t>
  </si>
  <si>
    <t>A06N633627</t>
  </si>
  <si>
    <t>A06N635097</t>
  </si>
  <si>
    <t>A06N632104</t>
  </si>
  <si>
    <t>A06N633629</t>
  </si>
  <si>
    <t>A06N633491</t>
  </si>
  <si>
    <t>A06N631908</t>
  </si>
  <si>
    <t>A01L268834</t>
  </si>
  <si>
    <t>A01L264546</t>
  </si>
  <si>
    <t>A01L26363</t>
  </si>
  <si>
    <t>A01L270594</t>
  </si>
  <si>
    <t>A01L263958</t>
  </si>
  <si>
    <t>A01L264528</t>
  </si>
  <si>
    <t>A01L262321</t>
  </si>
  <si>
    <t>A01L261154</t>
  </si>
  <si>
    <t>A01L267442</t>
  </si>
  <si>
    <t>A00L133211</t>
  </si>
  <si>
    <t>A03N421644</t>
  </si>
  <si>
    <t>A03N422769</t>
  </si>
  <si>
    <t>A03N543026</t>
  </si>
  <si>
    <t>A03N423206</t>
  </si>
  <si>
    <t>A03N524714</t>
  </si>
  <si>
    <t>A03N647220</t>
  </si>
  <si>
    <t>A03N529398</t>
  </si>
  <si>
    <t>A03N226319</t>
  </si>
  <si>
    <t>A03N232710</t>
  </si>
  <si>
    <t>A03N637675</t>
  </si>
  <si>
    <t>A02N557306</t>
  </si>
  <si>
    <t>A02N459098</t>
  </si>
  <si>
    <t>A02N641760</t>
  </si>
  <si>
    <t>A02N520593</t>
  </si>
  <si>
    <t>A02N558966</t>
  </si>
  <si>
    <t>A02N517256</t>
  </si>
  <si>
    <t>A02N643501</t>
  </si>
  <si>
    <t>A02N557098</t>
  </si>
  <si>
    <t>A02N557307</t>
  </si>
  <si>
    <t>A02N448044</t>
  </si>
  <si>
    <t>A02N460414</t>
  </si>
  <si>
    <t>A02N447620</t>
  </si>
  <si>
    <t>A02N447867</t>
  </si>
  <si>
    <t>A02N441747</t>
  </si>
  <si>
    <t>A02N511244</t>
  </si>
  <si>
    <t>A02N447240</t>
  </si>
  <si>
    <t>A02N447029</t>
  </si>
  <si>
    <t>A03N549015</t>
  </si>
  <si>
    <t>A03N550543</t>
  </si>
  <si>
    <t>A03N546571</t>
  </si>
  <si>
    <t>A03N647256</t>
  </si>
  <si>
    <t>A03N545601</t>
  </si>
  <si>
    <t>A03N232936</t>
  </si>
  <si>
    <t>A03N232709</t>
  </si>
  <si>
    <t>A03N526916</t>
  </si>
  <si>
    <t>A03N524328</t>
  </si>
  <si>
    <t>A02N446992</t>
  </si>
  <si>
    <t>A02N441952</t>
  </si>
  <si>
    <t>A02N498942</t>
  </si>
  <si>
    <t>A02N447773</t>
  </si>
  <si>
    <t>A02N518902</t>
  </si>
  <si>
    <t>A02N511276</t>
  </si>
  <si>
    <t>A02N458483</t>
  </si>
  <si>
    <t>A02N447023</t>
  </si>
  <si>
    <t>A02N448317</t>
  </si>
  <si>
    <t>A02N447094</t>
  </si>
  <si>
    <t>A03N640536</t>
  </si>
  <si>
    <t>A03N233981</t>
  </si>
  <si>
    <t>A03N641551</t>
  </si>
  <si>
    <t>A03N646635</t>
  </si>
  <si>
    <t>A03N228025</t>
  </si>
  <si>
    <t>A03N549209</t>
  </si>
  <si>
    <t>A03N545639</t>
  </si>
  <si>
    <t>A03N233353</t>
  </si>
  <si>
    <t>A03N549003</t>
  </si>
  <si>
    <t>A03N646576</t>
  </si>
  <si>
    <t>A02N499635</t>
  </si>
  <si>
    <t>A02N435829</t>
  </si>
  <si>
    <t>A02N437347</t>
  </si>
  <si>
    <t>A02N437228</t>
  </si>
  <si>
    <t>A02N449828</t>
  </si>
  <si>
    <t>A02N431462</t>
  </si>
  <si>
    <t>A02N519977</t>
  </si>
  <si>
    <t>A02N449680</t>
  </si>
  <si>
    <t>A02N447857</t>
  </si>
  <si>
    <t>A02N441135</t>
  </si>
  <si>
    <t>A02N643552</t>
  </si>
  <si>
    <t>A02N643579</t>
  </si>
  <si>
    <t>A02N643577</t>
  </si>
  <si>
    <t>A02N643556</t>
  </si>
  <si>
    <t>A02N643572</t>
  </si>
  <si>
    <t>A02N447437</t>
  </si>
  <si>
    <t>A02N441727</t>
  </si>
  <si>
    <t>A02N643578</t>
  </si>
  <si>
    <t>A02N643571</t>
  </si>
  <si>
    <t>A02N643499</t>
  </si>
  <si>
    <t>maio</t>
  </si>
  <si>
    <t>agosto</t>
  </si>
  <si>
    <t>greve</t>
  </si>
  <si>
    <t>C</t>
  </si>
  <si>
    <t>F</t>
  </si>
  <si>
    <t>G</t>
  </si>
  <si>
    <t>J</t>
  </si>
  <si>
    <t>K</t>
  </si>
  <si>
    <t>L</t>
  </si>
  <si>
    <t>M</t>
  </si>
  <si>
    <t>MONOJATO</t>
  </si>
  <si>
    <t>VOLUMÉTRICO</t>
  </si>
  <si>
    <t>WOLTMANN</t>
  </si>
  <si>
    <t>Classe</t>
  </si>
  <si>
    <t>Tipo</t>
  </si>
  <si>
    <t>Total:</t>
  </si>
  <si>
    <t>Anos Cadastrados</t>
  </si>
  <si>
    <t>Fabricantes</t>
  </si>
  <si>
    <t>Código</t>
  </si>
  <si>
    <t>1234-1234</t>
  </si>
  <si>
    <t>NOME</t>
  </si>
  <si>
    <t>Sensus</t>
  </si>
  <si>
    <t>Código Fabricante</t>
  </si>
  <si>
    <t>SCHLUMBERGER</t>
  </si>
  <si>
    <t>ARAD/ASSIM</t>
  </si>
  <si>
    <t>DIEHL</t>
  </si>
  <si>
    <t>STARLUX</t>
  </si>
  <si>
    <t>ZENNER</t>
  </si>
  <si>
    <t>SAGA</t>
  </si>
  <si>
    <t>SAPPEL</t>
  </si>
  <si>
    <t>AVS</t>
  </si>
  <si>
    <t>DELTA</t>
  </si>
  <si>
    <t>Monojato</t>
  </si>
  <si>
    <t>ELETRÔNICO</t>
  </si>
  <si>
    <t>A05S117934</t>
  </si>
  <si>
    <t>A02N458416</t>
  </si>
  <si>
    <t>A02N458693</t>
  </si>
  <si>
    <t>A00L120525</t>
  </si>
  <si>
    <t>A075</t>
  </si>
  <si>
    <t>D11X</t>
  </si>
  <si>
    <t>Y08B</t>
  </si>
  <si>
    <t>A06S</t>
  </si>
  <si>
    <t>A06N</t>
  </si>
  <si>
    <t>Iniciais</t>
  </si>
  <si>
    <t>QT Amostras</t>
  </si>
  <si>
    <t>Ano</t>
  </si>
  <si>
    <t>Quant:</t>
  </si>
  <si>
    <t>Pode apagar essas colunas (I..N)</t>
  </si>
  <si>
    <r>
      <t xml:space="preserve">A macro </t>
    </r>
    <r>
      <rPr>
        <b/>
        <u/>
        <sz val="12"/>
        <color rgb="FFFF0000"/>
        <rFont val="Calibri"/>
        <family val="2"/>
        <scheme val="minor"/>
      </rPr>
      <t>não</t>
    </r>
    <r>
      <rPr>
        <sz val="12"/>
        <color theme="1"/>
        <rFont val="Calibri"/>
        <family val="2"/>
        <scheme val="minor"/>
      </rPr>
      <t xml:space="preserve"> precisa delas</t>
    </r>
  </si>
  <si>
    <t>s2 gato do forróbodó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</si>
</sst>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0.00\ &quot;m³/h&quot;"/>
  </numFmts>
  <fonts count="2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rgb="FFFF0000"/>
      <name val="Calibri"/>
      <family val="2"/>
      <scheme val="minor"/>
    </font>
    <font>
      <sz val="7"/>
      <color theme="1"/>
      <name val="Calibri"/>
      <family val="2"/>
      <scheme val="minor"/>
    </font>
    <font>
      <sz val="10"/>
      <color rgb="FF444444"/>
      <name val="Arial"/>
      <family val="2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 tint="4.9989318521683403E-2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8"/>
      <color rgb="FF00CCFF"/>
      <name val="Calibri"/>
      <family val="2"/>
      <scheme val="minor"/>
    </font>
    <font>
      <sz val="10"/>
      <name val="Calibri"/>
      <family val="2"/>
      <scheme val="minor"/>
    </font>
    <font>
      <sz val="10"/>
      <color theme="1"/>
      <name val="Arial"/>
      <family val="2"/>
    </font>
    <font>
      <sz val="11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8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u/>
      <sz val="12"/>
      <color rgb="FFFF0000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3366FF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/>
        <bgColor theme="6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0" tint="-0.14999847407452621"/>
        <bgColor theme="6" tint="0.79998168889431442"/>
      </patternFill>
    </fill>
    <fill>
      <patternFill patternType="solid">
        <fgColor theme="0" tint="-0.14999847407452621"/>
        <bgColor theme="0" tint="-0.14999847407452621"/>
      </patternFill>
    </fill>
  </fills>
  <borders count="23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1"/>
      </left>
      <right style="thin">
        <color theme="1"/>
      </right>
      <top style="thin">
        <color indexed="64"/>
      </top>
      <bottom/>
      <diagonal/>
    </border>
    <border>
      <left style="thin">
        <color theme="1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hair">
        <color theme="0"/>
      </bottom>
      <diagonal/>
    </border>
    <border>
      <left/>
      <right style="hair">
        <color theme="0"/>
      </right>
      <top/>
      <bottom/>
      <diagonal/>
    </border>
    <border>
      <left style="hair">
        <color theme="0"/>
      </left>
      <right style="hair">
        <color theme="0"/>
      </right>
      <top style="hair">
        <color theme="0"/>
      </top>
      <bottom style="hair">
        <color theme="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theme="6" tint="0.39997558519241921"/>
      </left>
      <right/>
      <top style="thin">
        <color theme="6" tint="0.39997558519241921"/>
      </top>
      <bottom style="thin">
        <color theme="6" tint="0.39997558519241921"/>
      </bottom>
      <diagonal/>
    </border>
    <border>
      <left/>
      <right/>
      <top style="thin">
        <color theme="6" tint="0.39997558519241921"/>
      </top>
      <bottom style="thin">
        <color theme="6" tint="0.39997558519241921"/>
      </bottom>
      <diagonal/>
    </border>
    <border>
      <left style="thin">
        <color theme="6" tint="0.39997558519241921"/>
      </left>
      <right/>
      <top style="thin">
        <color theme="6" tint="0.39997558519241921"/>
      </top>
      <bottom/>
      <diagonal/>
    </border>
    <border>
      <left/>
      <right/>
      <top style="thin">
        <color theme="6" tint="0.39997558519241921"/>
      </top>
      <bottom/>
      <diagonal/>
    </border>
    <border>
      <left/>
      <right style="thin">
        <color theme="6" tint="0.39997558519241921"/>
      </right>
      <top style="thin">
        <color theme="6" tint="0.39997558519241921"/>
      </top>
      <bottom/>
      <diagonal/>
    </border>
    <border>
      <left/>
      <right/>
      <top/>
      <bottom style="thin">
        <color theme="6" tint="0.39997558519241921"/>
      </bottom>
      <diagonal/>
    </border>
    <border>
      <left/>
      <right/>
      <top style="double">
        <color theme="1"/>
      </top>
      <bottom style="medium">
        <color theme="1"/>
      </bottom>
      <diagonal/>
    </border>
    <border>
      <left/>
      <right/>
      <top style="medium">
        <color theme="1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10">
    <xf numFmtId="0" fontId="0" fillId="0" borderId="0" xfId="0"/>
    <xf numFmtId="0" fontId="3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1" fontId="4" fillId="3" borderId="1" xfId="0" applyNumberFormat="1" applyFont="1" applyFill="1" applyBorder="1" applyAlignment="1">
      <alignment horizontal="center"/>
    </xf>
    <xf numFmtId="0" fontId="2" fillId="2" borderId="4" xfId="0" applyFont="1" applyFill="1" applyBorder="1" applyAlignment="1">
      <alignment horizontal="left" vertical="center"/>
    </xf>
    <xf numFmtId="0" fontId="2" fillId="2" borderId="5" xfId="0" applyFont="1" applyFill="1" applyBorder="1" applyAlignment="1">
      <alignment horizontal="left" vertical="center"/>
    </xf>
    <xf numFmtId="0" fontId="2" fillId="2" borderId="3" xfId="0" applyFont="1" applyFill="1" applyBorder="1" applyAlignment="1">
      <alignment horizontal="left" vertical="center"/>
    </xf>
    <xf numFmtId="10" fontId="3" fillId="0" borderId="0" xfId="1" applyNumberFormat="1" applyFont="1"/>
    <xf numFmtId="0" fontId="2" fillId="2" borderId="5" xfId="0" applyFont="1" applyFill="1" applyBorder="1" applyAlignment="1">
      <alignment horizontal="center" vertical="center"/>
    </xf>
    <xf numFmtId="10" fontId="3" fillId="3" borderId="0" xfId="1" applyNumberFormat="1" applyFont="1" applyFill="1"/>
    <xf numFmtId="10" fontId="3" fillId="0" borderId="0" xfId="1" applyNumberFormat="1" applyFont="1" applyAlignment="1">
      <alignment horizontal="center"/>
    </xf>
    <xf numFmtId="10" fontId="6" fillId="3" borderId="0" xfId="1" applyNumberFormat="1" applyFont="1" applyFill="1"/>
    <xf numFmtId="10" fontId="2" fillId="4" borderId="5" xfId="1" applyNumberFormat="1" applyFont="1" applyFill="1" applyBorder="1" applyAlignment="1">
      <alignment horizontal="center" vertical="center"/>
    </xf>
    <xf numFmtId="0" fontId="3" fillId="5" borderId="0" xfId="0" applyFont="1" applyFill="1" applyAlignment="1">
      <alignment horizont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center"/>
    </xf>
    <xf numFmtId="0" fontId="3" fillId="0" borderId="0" xfId="0" applyFont="1" applyBorder="1" applyAlignment="1">
      <alignment horizontal="center" vertical="center"/>
    </xf>
    <xf numFmtId="17" fontId="0" fillId="0" borderId="6" xfId="0" applyNumberForma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10" fillId="6" borderId="6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1" fontId="0" fillId="0" borderId="6" xfId="0" applyNumberFormat="1" applyBorder="1" applyAlignment="1">
      <alignment horizontal="center" vertical="center"/>
    </xf>
    <xf numFmtId="0" fontId="9" fillId="0" borderId="6" xfId="0" applyFont="1" applyBorder="1" applyAlignment="1">
      <alignment horizontal="center" vertical="center"/>
    </xf>
    <xf numFmtId="0" fontId="9" fillId="5" borderId="6" xfId="0" applyFont="1" applyFill="1" applyBorder="1" applyAlignment="1">
      <alignment horizontal="center" vertical="center"/>
    </xf>
    <xf numFmtId="0" fontId="9" fillId="7" borderId="6" xfId="0" applyFont="1" applyFill="1" applyBorder="1" applyAlignment="1">
      <alignment horizontal="center" vertical="center"/>
    </xf>
    <xf numFmtId="0" fontId="0" fillId="8" borderId="6" xfId="0" applyFill="1" applyBorder="1"/>
    <xf numFmtId="0" fontId="8" fillId="8" borderId="6" xfId="0" applyFont="1" applyFill="1" applyBorder="1" applyAlignment="1">
      <alignment horizontal="center"/>
    </xf>
    <xf numFmtId="0" fontId="3" fillId="8" borderId="6" xfId="0" applyFont="1" applyFill="1" applyBorder="1" applyAlignment="1">
      <alignment horizontal="center" vertical="center"/>
    </xf>
    <xf numFmtId="0" fontId="3" fillId="0" borderId="0" xfId="0" applyFont="1" applyFill="1" applyAlignment="1">
      <alignment horizontal="center"/>
    </xf>
    <xf numFmtId="0" fontId="2" fillId="2" borderId="4" xfId="0" applyFont="1" applyFill="1" applyBorder="1" applyAlignment="1">
      <alignment horizontal="center" vertical="center"/>
    </xf>
    <xf numFmtId="0" fontId="11" fillId="0" borderId="0" xfId="0" applyFont="1" applyAlignment="1">
      <alignment wrapText="1"/>
    </xf>
    <xf numFmtId="0" fontId="11" fillId="0" borderId="0" xfId="0" applyFont="1"/>
    <xf numFmtId="0" fontId="13" fillId="9" borderId="0" xfId="0" applyFont="1" applyFill="1" applyAlignment="1">
      <alignment horizontal="left" vertical="center"/>
    </xf>
    <xf numFmtId="0" fontId="13" fillId="9" borderId="0" xfId="0" applyFont="1" applyFill="1" applyAlignment="1">
      <alignment vertical="center"/>
    </xf>
    <xf numFmtId="0" fontId="14" fillId="0" borderId="0" xfId="0" applyFont="1" applyAlignment="1">
      <alignment horizontal="center"/>
    </xf>
    <xf numFmtId="0" fontId="3" fillId="0" borderId="0" xfId="0" applyNumberFormat="1" applyFont="1" applyAlignment="1">
      <alignment horizontal="center"/>
    </xf>
    <xf numFmtId="0" fontId="3" fillId="0" borderId="7" xfId="0" applyFont="1" applyBorder="1" applyAlignment="1">
      <alignment horizontal="center"/>
    </xf>
    <xf numFmtId="0" fontId="3" fillId="0" borderId="8" xfId="0" applyFont="1" applyBorder="1" applyAlignment="1">
      <alignment horizontal="center"/>
    </xf>
    <xf numFmtId="0" fontId="15" fillId="10" borderId="9" xfId="0" applyFont="1" applyFill="1" applyBorder="1" applyAlignment="1">
      <alignment horizontal="center"/>
    </xf>
    <xf numFmtId="0" fontId="16" fillId="0" borderId="6" xfId="0" applyFont="1" applyBorder="1" applyAlignment="1">
      <alignment horizontal="center" vertical="center"/>
    </xf>
    <xf numFmtId="0" fontId="18" fillId="0" borderId="10" xfId="0" applyFont="1" applyBorder="1" applyAlignment="1">
      <alignment horizontal="center" vertical="center" wrapText="1"/>
    </xf>
    <xf numFmtId="0" fontId="18" fillId="0" borderId="11" xfId="0" applyFont="1" applyBorder="1" applyAlignment="1">
      <alignment horizontal="center" vertical="center" wrapText="1"/>
    </xf>
    <xf numFmtId="0" fontId="17" fillId="0" borderId="12" xfId="0" applyFont="1" applyBorder="1" applyAlignment="1">
      <alignment horizontal="center" vertical="center" wrapText="1"/>
    </xf>
    <xf numFmtId="0" fontId="17" fillId="0" borderId="13" xfId="0" applyFont="1" applyBorder="1" applyAlignment="1">
      <alignment horizontal="center" vertical="center" wrapText="1"/>
    </xf>
    <xf numFmtId="0" fontId="0" fillId="0" borderId="0" xfId="0" applyAlignment="1">
      <alignment horizontal="left"/>
    </xf>
    <xf numFmtId="0" fontId="0" fillId="0" borderId="0" xfId="0"/>
    <xf numFmtId="9" fontId="0" fillId="0" borderId="0" xfId="1" applyFont="1"/>
    <xf numFmtId="0" fontId="19" fillId="11" borderId="16" xfId="0" applyFont="1" applyFill="1" applyBorder="1" applyAlignment="1">
      <alignment wrapText="1"/>
    </xf>
    <xf numFmtId="0" fontId="19" fillId="11" borderId="17" xfId="0" applyFont="1" applyFill="1" applyBorder="1" applyAlignment="1">
      <alignment wrapText="1"/>
    </xf>
    <xf numFmtId="0" fontId="11" fillId="12" borderId="0" xfId="0" applyFont="1" applyFill="1" applyBorder="1"/>
    <xf numFmtId="164" fontId="11" fillId="12" borderId="0" xfId="1" applyNumberFormat="1" applyFont="1" applyFill="1" applyBorder="1" applyAlignment="1">
      <alignment horizontal="center" vertical="center"/>
    </xf>
    <xf numFmtId="0" fontId="11" fillId="13" borderId="14" xfId="0" applyFont="1" applyFill="1" applyBorder="1"/>
    <xf numFmtId="164" fontId="11" fillId="13" borderId="15" xfId="1" applyNumberFormat="1" applyFont="1" applyFill="1" applyBorder="1" applyAlignment="1">
      <alignment horizontal="center" vertical="center"/>
    </xf>
    <xf numFmtId="0" fontId="19" fillId="11" borderId="16" xfId="0" applyFont="1" applyFill="1" applyBorder="1" applyAlignment="1">
      <alignment horizontal="center" wrapText="1"/>
    </xf>
    <xf numFmtId="0" fontId="19" fillId="11" borderId="17" xfId="0" applyFont="1" applyFill="1" applyBorder="1" applyAlignment="1">
      <alignment horizontal="center" wrapText="1"/>
    </xf>
    <xf numFmtId="0" fontId="11" fillId="13" borderId="15" xfId="0" applyFont="1" applyFill="1" applyBorder="1" applyAlignment="1">
      <alignment horizontal="center"/>
    </xf>
    <xf numFmtId="0" fontId="11" fillId="12" borderId="0" xfId="0" applyFont="1" applyFill="1" applyBorder="1" applyAlignment="1">
      <alignment horizontal="center"/>
    </xf>
    <xf numFmtId="0" fontId="13" fillId="9" borderId="0" xfId="0" applyFont="1" applyFill="1" applyAlignment="1">
      <alignment horizontal="center" vertical="center"/>
    </xf>
    <xf numFmtId="165" fontId="13" fillId="9" borderId="0" xfId="0" applyNumberFormat="1" applyFont="1" applyFill="1" applyAlignment="1">
      <alignment horizontal="center" vertical="center"/>
    </xf>
    <xf numFmtId="0" fontId="11" fillId="0" borderId="0" xfId="0" applyFont="1" applyAlignment="1">
      <alignment horizontal="center"/>
    </xf>
    <xf numFmtId="0" fontId="19" fillId="11" borderId="17" xfId="0" applyNumberFormat="1" applyFont="1" applyFill="1" applyBorder="1" applyAlignment="1">
      <alignment horizontal="center"/>
    </xf>
    <xf numFmtId="0" fontId="19" fillId="11" borderId="18" xfId="0" applyNumberFormat="1" applyFont="1" applyFill="1" applyBorder="1" applyAlignment="1">
      <alignment horizontal="center"/>
    </xf>
    <xf numFmtId="0" fontId="13" fillId="9" borderId="0" xfId="0" applyFont="1" applyFill="1" applyAlignment="1">
      <alignment horizontal="left" vertical="center"/>
    </xf>
    <xf numFmtId="0" fontId="0" fillId="0" borderId="0" xfId="0" applyAlignment="1">
      <alignment horizontal="left"/>
    </xf>
    <xf numFmtId="0" fontId="11" fillId="12" borderId="0" xfId="0" applyFont="1" applyFill="1" applyBorder="1"/>
    <xf numFmtId="164" fontId="11" fillId="12" borderId="0" xfId="1" applyNumberFormat="1" applyFont="1" applyFill="1" applyBorder="1" applyAlignment="1">
      <alignment horizontal="center" vertical="center"/>
    </xf>
    <xf numFmtId="0" fontId="11" fillId="13" borderId="14" xfId="0" applyFont="1" applyFill="1" applyBorder="1"/>
    <xf numFmtId="164" fontId="11" fillId="13" borderId="15" xfId="1" applyNumberFormat="1" applyFont="1" applyFill="1" applyBorder="1" applyAlignment="1">
      <alignment horizontal="center" vertical="center"/>
    </xf>
    <xf numFmtId="0" fontId="19" fillId="11" borderId="16" xfId="0" applyFont="1" applyFill="1" applyBorder="1" applyAlignment="1">
      <alignment horizontal="center" wrapText="1"/>
    </xf>
    <xf numFmtId="0" fontId="19" fillId="11" borderId="17" xfId="0" applyFont="1" applyFill="1" applyBorder="1" applyAlignment="1">
      <alignment horizontal="center" wrapText="1"/>
    </xf>
    <xf numFmtId="0" fontId="11" fillId="13" borderId="15" xfId="0" applyFont="1" applyFill="1" applyBorder="1" applyAlignment="1">
      <alignment horizontal="center"/>
    </xf>
    <xf numFmtId="0" fontId="11" fillId="12" borderId="0" xfId="0" applyFont="1" applyFill="1" applyBorder="1" applyAlignment="1">
      <alignment horizontal="center"/>
    </xf>
    <xf numFmtId="165" fontId="13" fillId="9" borderId="0" xfId="0" applyNumberFormat="1" applyFont="1" applyFill="1" applyAlignment="1">
      <alignment horizontal="center" vertical="center"/>
    </xf>
    <xf numFmtId="0" fontId="8" fillId="0" borderId="0" xfId="0" applyFont="1" applyAlignment="1">
      <alignment horizontal="left"/>
    </xf>
    <xf numFmtId="0" fontId="8" fillId="0" borderId="0" xfId="0" applyFont="1"/>
    <xf numFmtId="0" fontId="2" fillId="0" borderId="1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10" fontId="3" fillId="0" borderId="1" xfId="1" applyNumberFormat="1" applyFont="1" applyFill="1" applyBorder="1" applyAlignment="1">
      <alignment horizontal="center" vertical="center"/>
    </xf>
    <xf numFmtId="14" fontId="3" fillId="0" borderId="1" xfId="0" applyNumberFormat="1" applyFont="1" applyFill="1" applyBorder="1" applyAlignment="1">
      <alignment horizontal="center" vertical="center"/>
    </xf>
    <xf numFmtId="14" fontId="5" fillId="0" borderId="1" xfId="0" applyNumberFormat="1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3" fillId="0" borderId="2" xfId="0" applyFont="1" applyFill="1" applyBorder="1" applyAlignment="1">
      <alignment horizontal="center" vertical="center"/>
    </xf>
    <xf numFmtId="10" fontId="3" fillId="0" borderId="2" xfId="1" applyNumberFormat="1" applyFont="1" applyFill="1" applyBorder="1" applyAlignment="1">
      <alignment horizontal="center" vertical="center"/>
    </xf>
    <xf numFmtId="14" fontId="3" fillId="0" borderId="0" xfId="0" applyNumberFormat="1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 wrapText="1"/>
    </xf>
    <xf numFmtId="0" fontId="3" fillId="0" borderId="2" xfId="0" applyFont="1" applyFill="1" applyBorder="1" applyAlignment="1">
      <alignment horizontal="center"/>
    </xf>
    <xf numFmtId="10" fontId="3" fillId="0" borderId="2" xfId="1" applyNumberFormat="1" applyFont="1" applyFill="1" applyBorder="1" applyAlignment="1">
      <alignment horizontal="center"/>
    </xf>
    <xf numFmtId="14" fontId="3" fillId="0" borderId="0" xfId="0" applyNumberFormat="1" applyFont="1" applyFill="1" applyAlignment="1">
      <alignment horizontal="center"/>
    </xf>
    <xf numFmtId="0" fontId="3" fillId="0" borderId="1" xfId="0" applyFont="1" applyFill="1" applyBorder="1" applyAlignment="1">
      <alignment horizontal="center"/>
    </xf>
    <xf numFmtId="10" fontId="3" fillId="0" borderId="1" xfId="1" applyNumberFormat="1" applyFont="1" applyFill="1" applyBorder="1" applyAlignment="1">
      <alignment horizontal="center"/>
    </xf>
    <xf numFmtId="0" fontId="2" fillId="0" borderId="1" xfId="0" applyFont="1" applyFill="1" applyBorder="1" applyAlignment="1">
      <alignment horizontal="center" vertical="center" wrapText="1"/>
    </xf>
    <xf numFmtId="0" fontId="12" fillId="14" borderId="0" xfId="0" applyFont="1" applyFill="1" applyBorder="1" applyAlignment="1">
      <alignment horizontal="center" vertical="center"/>
    </xf>
    <xf numFmtId="10" fontId="12" fillId="14" borderId="0" xfId="1" applyNumberFormat="1" applyFont="1" applyFill="1" applyBorder="1" applyAlignment="1">
      <alignment horizontal="center" vertical="center"/>
    </xf>
    <xf numFmtId="0" fontId="12" fillId="0" borderId="0" xfId="0" applyFont="1" applyBorder="1" applyAlignment="1">
      <alignment horizontal="center" vertical="center"/>
    </xf>
    <xf numFmtId="10" fontId="12" fillId="0" borderId="0" xfId="1" applyNumberFormat="1" applyFont="1" applyBorder="1" applyAlignment="1">
      <alignment horizontal="center" vertical="center"/>
    </xf>
    <xf numFmtId="0" fontId="12" fillId="14" borderId="0" xfId="0" applyFont="1" applyFill="1" applyBorder="1" applyAlignment="1">
      <alignment horizontal="center" vertical="center" wrapText="1"/>
    </xf>
    <xf numFmtId="0" fontId="12" fillId="0" borderId="0" xfId="0" applyFont="1" applyBorder="1" applyAlignment="1">
      <alignment horizontal="center" vertical="center" wrapText="1"/>
    </xf>
    <xf numFmtId="0" fontId="11" fillId="0" borderId="20" xfId="0" applyFont="1" applyBorder="1"/>
    <xf numFmtId="0" fontId="12" fillId="0" borderId="20" xfId="0" applyFont="1" applyBorder="1" applyAlignment="1">
      <alignment horizontal="center" vertical="center"/>
    </xf>
    <xf numFmtId="10" fontId="12" fillId="0" borderId="20" xfId="0" applyNumberFormat="1" applyFont="1" applyBorder="1" applyAlignment="1">
      <alignment horizontal="center" vertical="center"/>
    </xf>
    <xf numFmtId="0" fontId="19" fillId="11" borderId="21" xfId="0" applyFont="1" applyFill="1" applyBorder="1" applyAlignment="1">
      <alignment horizontal="center" vertical="center" wrapText="1"/>
    </xf>
    <xf numFmtId="0" fontId="12" fillId="14" borderId="21" xfId="0" applyFont="1" applyFill="1" applyBorder="1" applyAlignment="1">
      <alignment horizontal="center" vertical="center"/>
    </xf>
    <xf numFmtId="10" fontId="12" fillId="14" borderId="21" xfId="1" applyNumberFormat="1" applyFont="1" applyFill="1" applyBorder="1" applyAlignment="1">
      <alignment horizontal="center" vertical="center"/>
    </xf>
    <xf numFmtId="0" fontId="20" fillId="11" borderId="22" xfId="0" applyFont="1" applyFill="1" applyBorder="1" applyAlignment="1">
      <alignment horizontal="center"/>
    </xf>
    <xf numFmtId="0" fontId="21" fillId="0" borderId="0" xfId="0" applyFont="1"/>
    <xf numFmtId="0" fontId="0" fillId="0" borderId="0" xfId="0" applyAlignment="1">
      <alignment horizontal="center"/>
    </xf>
    <xf numFmtId="0" fontId="13" fillId="9" borderId="19" xfId="0" applyFont="1" applyFill="1" applyBorder="1" applyAlignment="1">
      <alignment horizontal="center"/>
    </xf>
    <xf numFmtId="0" fontId="3" fillId="8" borderId="6" xfId="0" applyFont="1" applyFill="1" applyBorder="1" applyAlignment="1">
      <alignment horizontal="center" vertical="center"/>
    </xf>
    <xf numFmtId="0" fontId="10" fillId="6" borderId="6" xfId="0" applyFont="1" applyFill="1" applyBorder="1" applyAlignment="1">
      <alignment horizontal="center" vertical="center"/>
    </xf>
  </cellXfs>
  <cellStyles count="2">
    <cellStyle name="Normal" xfId="0" builtinId="0"/>
    <cellStyle name="Porcentagem" xfId="1" builtinId="5"/>
  </cellStyles>
  <dxfs count="24">
    <dxf>
      <font>
        <color theme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00CCFF"/>
      <color rgb="FFFF66FF"/>
      <color rgb="FFFFCCFF"/>
      <color rgb="FF0066FF"/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10</xdr:col>
      <xdr:colOff>0</xdr:colOff>
      <xdr:row>21</xdr:row>
      <xdr:rowOff>47625</xdr:rowOff>
    </xdr:to>
    <xdr:pic>
      <xdr:nvPicPr>
        <xdr:cNvPr id="5" name="Imagem 4" descr="http://raioxdf.com.br/wp-content/uploads/2015/09/1111111111111111111111caesb.jpg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6096000" cy="40481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485775</xdr:colOff>
          <xdr:row>7</xdr:row>
          <xdr:rowOff>123825</xdr:rowOff>
        </xdr:from>
        <xdr:to>
          <xdr:col>4</xdr:col>
          <xdr:colOff>209550</xdr:colOff>
          <xdr:row>11</xdr:row>
          <xdr:rowOff>38100</xdr:rowOff>
        </xdr:to>
        <xdr:sp macro="" textlink="">
          <xdr:nvSpPr>
            <xdr:cNvPr id="2050" name="CommandButton1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409575</xdr:colOff>
          <xdr:row>7</xdr:row>
          <xdr:rowOff>123825</xdr:rowOff>
        </xdr:from>
        <xdr:to>
          <xdr:col>8</xdr:col>
          <xdr:colOff>104775</xdr:colOff>
          <xdr:row>11</xdr:row>
          <xdr:rowOff>38100</xdr:rowOff>
        </xdr:to>
        <xdr:sp macro="" textlink="">
          <xdr:nvSpPr>
            <xdr:cNvPr id="2051" name="CommandButton2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409575</xdr:colOff>
          <xdr:row>11</xdr:row>
          <xdr:rowOff>104775</xdr:rowOff>
        </xdr:from>
        <xdr:to>
          <xdr:col>8</xdr:col>
          <xdr:colOff>114300</xdr:colOff>
          <xdr:row>15</xdr:row>
          <xdr:rowOff>0</xdr:rowOff>
        </xdr:to>
        <xdr:sp macro="" textlink="">
          <xdr:nvSpPr>
            <xdr:cNvPr id="2052" name="CommandButton3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2</xdr:row>
          <xdr:rowOff>28575</xdr:rowOff>
        </xdr:from>
        <xdr:to>
          <xdr:col>19</xdr:col>
          <xdr:colOff>152400</xdr:colOff>
          <xdr:row>4</xdr:row>
          <xdr:rowOff>152400</xdr:rowOff>
        </xdr:to>
        <xdr:sp macro="" textlink="">
          <xdr:nvSpPr>
            <xdr:cNvPr id="14338" name="CommandButton1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4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0</xdr:row>
          <xdr:rowOff>38100</xdr:rowOff>
        </xdr:from>
        <xdr:to>
          <xdr:col>8</xdr:col>
          <xdr:colOff>19050</xdr:colOff>
          <xdr:row>1</xdr:row>
          <xdr:rowOff>180975</xdr:rowOff>
        </xdr:to>
        <xdr:sp macro="" textlink="">
          <xdr:nvSpPr>
            <xdr:cNvPr id="9217" name="AtualizarResumo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5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image" Target="../media/image6.emf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5"/>
  <dimension ref="A1"/>
  <sheetViews>
    <sheetView showGridLines="0" workbookViewId="0">
      <selection activeCell="M5" sqref="M5"/>
    </sheetView>
  </sheetViews>
  <sheetFormatPr defaultRowHeight="15" x14ac:dyDescent="0.25"/>
  <sheetData/>
  <sortState xmlns:xlrd2="http://schemas.microsoft.com/office/spreadsheetml/2017/richdata2" ref="A2:A28">
    <sortCondition ref="A2"/>
  </sortState>
  <pageMargins left="0.511811024" right="0.511811024" top="0.78740157499999996" bottom="0.78740157499999996" header="0.31496062000000002" footer="0.31496062000000002"/>
  <pageSetup paperSize="9" orientation="portrait" horizontalDpi="4294967294" verticalDpi="4294967294" r:id="rId1"/>
  <drawing r:id="rId2"/>
  <legacyDrawing r:id="rId3"/>
  <controls>
    <mc:AlternateContent xmlns:mc="http://schemas.openxmlformats.org/markup-compatibility/2006">
      <mc:Choice Requires="x14">
        <control shapeId="2052" r:id="rId4" name="CommandButton3">
          <controlPr defaultSize="0" autoLine="0" autoPict="0" r:id="rId5">
            <anchor moveWithCells="1">
              <from>
                <xdr:col>5</xdr:col>
                <xdr:colOff>409575</xdr:colOff>
                <xdr:row>11</xdr:row>
                <xdr:rowOff>104775</xdr:rowOff>
              </from>
              <to>
                <xdr:col>8</xdr:col>
                <xdr:colOff>114300</xdr:colOff>
                <xdr:row>15</xdr:row>
                <xdr:rowOff>0</xdr:rowOff>
              </to>
            </anchor>
          </controlPr>
        </control>
      </mc:Choice>
      <mc:Fallback>
        <control shapeId="2052" r:id="rId4" name="CommandButton3"/>
      </mc:Fallback>
    </mc:AlternateContent>
    <mc:AlternateContent xmlns:mc="http://schemas.openxmlformats.org/markup-compatibility/2006">
      <mc:Choice Requires="x14">
        <control shapeId="2050" r:id="rId6" name="CommandButton1">
          <controlPr defaultSize="0" autoLine="0" r:id="rId7">
            <anchor moveWithCells="1">
              <from>
                <xdr:col>1</xdr:col>
                <xdr:colOff>485775</xdr:colOff>
                <xdr:row>7</xdr:row>
                <xdr:rowOff>123825</xdr:rowOff>
              </from>
              <to>
                <xdr:col>4</xdr:col>
                <xdr:colOff>438150</xdr:colOff>
                <xdr:row>11</xdr:row>
                <xdr:rowOff>38100</xdr:rowOff>
              </to>
            </anchor>
          </controlPr>
        </control>
      </mc:Choice>
      <mc:Fallback>
        <control shapeId="2050" r:id="rId6" name="CommandButton1"/>
      </mc:Fallback>
    </mc:AlternateContent>
    <mc:AlternateContent xmlns:mc="http://schemas.openxmlformats.org/markup-compatibility/2006">
      <mc:Choice Requires="x14">
        <control shapeId="2051" r:id="rId8" name="CommandButton2">
          <controlPr defaultSize="0" autoLine="0" r:id="rId9">
            <anchor moveWithCells="1">
              <from>
                <xdr:col>5</xdr:col>
                <xdr:colOff>409575</xdr:colOff>
                <xdr:row>7</xdr:row>
                <xdr:rowOff>123825</xdr:rowOff>
              </from>
              <to>
                <xdr:col>8</xdr:col>
                <xdr:colOff>333375</xdr:colOff>
                <xdr:row>11</xdr:row>
                <xdr:rowOff>38100</xdr:rowOff>
              </to>
            </anchor>
          </controlPr>
        </control>
      </mc:Choice>
      <mc:Fallback>
        <control shapeId="2051" r:id="rId8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Cadastro"/>
  <dimension ref="A1:O191"/>
  <sheetViews>
    <sheetView workbookViewId="0">
      <selection sqref="A1:E1048576"/>
    </sheetView>
  </sheetViews>
  <sheetFormatPr defaultRowHeight="15" x14ac:dyDescent="0.25"/>
  <cols>
    <col min="1" max="1" width="14.85546875" bestFit="1" customWidth="1"/>
    <col min="2" max="2" width="11.140625" bestFit="1" customWidth="1"/>
    <col min="3" max="3" width="6.5703125" bestFit="1" customWidth="1"/>
    <col min="4" max="4" width="11.42578125" bestFit="1" customWidth="1"/>
    <col min="5" max="5" width="17" style="46" bestFit="1" customWidth="1"/>
    <col min="10" max="10" width="13.28515625" bestFit="1" customWidth="1"/>
  </cols>
  <sheetData>
    <row r="1" spans="1:15" x14ac:dyDescent="0.25">
      <c r="A1" s="64" t="s">
        <v>974</v>
      </c>
      <c r="B1" s="45" t="s">
        <v>983</v>
      </c>
      <c r="C1" s="45" t="s">
        <v>1286</v>
      </c>
      <c r="D1" s="45" t="s">
        <v>1287</v>
      </c>
      <c r="E1" s="64" t="s">
        <v>1295</v>
      </c>
      <c r="G1" s="74" t="s">
        <v>1288</v>
      </c>
      <c r="H1" s="75">
        <f>COUNTA(A:A)</f>
        <v>191</v>
      </c>
    </row>
    <row r="2" spans="1:15" x14ac:dyDescent="0.25">
      <c r="A2" s="64" t="s">
        <v>107</v>
      </c>
      <c r="B2" s="45" t="s">
        <v>977</v>
      </c>
      <c r="C2" s="45" t="s">
        <v>979</v>
      </c>
      <c r="D2" s="45" t="s">
        <v>1305</v>
      </c>
      <c r="E2" s="64">
        <v>1</v>
      </c>
      <c r="L2" s="64"/>
      <c r="M2" s="64"/>
      <c r="N2" s="46"/>
      <c r="O2" s="64"/>
    </row>
    <row r="3" spans="1:15" x14ac:dyDescent="0.25">
      <c r="A3" s="64" t="s">
        <v>96</v>
      </c>
      <c r="B3" s="45" t="s">
        <v>977</v>
      </c>
      <c r="C3" s="64" t="s">
        <v>979</v>
      </c>
      <c r="D3" s="64" t="s">
        <v>1305</v>
      </c>
      <c r="E3" s="64">
        <v>2</v>
      </c>
      <c r="L3" s="64"/>
      <c r="M3" s="64"/>
      <c r="N3" s="46"/>
      <c r="O3" s="64"/>
    </row>
    <row r="4" spans="1:15" x14ac:dyDescent="0.25">
      <c r="A4" s="64" t="s">
        <v>1297</v>
      </c>
      <c r="B4" s="45" t="s">
        <v>977</v>
      </c>
      <c r="C4" s="64" t="s">
        <v>979</v>
      </c>
      <c r="D4" s="64" t="s">
        <v>1305</v>
      </c>
      <c r="E4" s="64">
        <v>3</v>
      </c>
      <c r="L4" s="64"/>
      <c r="M4" s="64"/>
      <c r="N4" s="46"/>
      <c r="O4" s="64"/>
    </row>
    <row r="5" spans="1:15" x14ac:dyDescent="0.25">
      <c r="A5" s="64" t="s">
        <v>1303</v>
      </c>
      <c r="B5" s="45" t="s">
        <v>977</v>
      </c>
      <c r="C5" s="64" t="s">
        <v>979</v>
      </c>
      <c r="D5" s="64" t="s">
        <v>1305</v>
      </c>
      <c r="E5" s="64">
        <v>4</v>
      </c>
      <c r="L5" s="46"/>
      <c r="M5" s="64"/>
      <c r="N5" s="46"/>
      <c r="O5" s="64"/>
    </row>
    <row r="6" spans="1:15" x14ac:dyDescent="0.25">
      <c r="A6" s="64" t="s">
        <v>1304</v>
      </c>
      <c r="B6" s="45" t="s">
        <v>977</v>
      </c>
      <c r="C6" s="64" t="s">
        <v>979</v>
      </c>
      <c r="D6" s="64" t="s">
        <v>1305</v>
      </c>
      <c r="E6" s="64">
        <v>5</v>
      </c>
      <c r="L6" s="46"/>
      <c r="M6" s="64"/>
      <c r="N6" s="46"/>
      <c r="O6" s="64"/>
    </row>
    <row r="7" spans="1:15" x14ac:dyDescent="0.25">
      <c r="A7" s="64" t="s">
        <v>1298</v>
      </c>
      <c r="B7" s="45" t="s">
        <v>977</v>
      </c>
      <c r="C7" s="64" t="s">
        <v>979</v>
      </c>
      <c r="D7" s="64" t="s">
        <v>1305</v>
      </c>
      <c r="E7" s="64">
        <v>6</v>
      </c>
      <c r="L7" s="46"/>
      <c r="M7" s="64"/>
      <c r="N7" s="46"/>
      <c r="O7" s="64"/>
    </row>
    <row r="8" spans="1:15" x14ac:dyDescent="0.25">
      <c r="A8" s="64" t="s">
        <v>65</v>
      </c>
      <c r="B8" s="45" t="s">
        <v>977</v>
      </c>
      <c r="C8" s="64" t="s">
        <v>979</v>
      </c>
      <c r="D8" s="64" t="s">
        <v>1305</v>
      </c>
      <c r="E8" s="64">
        <v>7</v>
      </c>
      <c r="L8" s="64"/>
      <c r="M8" s="64"/>
      <c r="N8" s="46"/>
      <c r="O8" s="64"/>
    </row>
    <row r="9" spans="1:15" x14ac:dyDescent="0.25">
      <c r="A9" s="64" t="s">
        <v>32</v>
      </c>
      <c r="B9" s="45" t="s">
        <v>977</v>
      </c>
      <c r="C9" s="64" t="s">
        <v>979</v>
      </c>
      <c r="D9" s="64" t="s">
        <v>1305</v>
      </c>
      <c r="E9" s="64">
        <v>8</v>
      </c>
      <c r="L9" s="64"/>
      <c r="M9" s="64"/>
      <c r="N9" s="46"/>
      <c r="O9" s="64"/>
    </row>
    <row r="10" spans="1:15" x14ac:dyDescent="0.25">
      <c r="A10" s="64" t="s">
        <v>44</v>
      </c>
      <c r="B10" s="45" t="s">
        <v>977</v>
      </c>
      <c r="C10" s="64" t="s">
        <v>979</v>
      </c>
      <c r="D10" s="64" t="s">
        <v>1305</v>
      </c>
      <c r="E10" s="64">
        <v>9</v>
      </c>
      <c r="L10" s="46"/>
      <c r="M10" s="64"/>
      <c r="N10" s="46"/>
      <c r="O10" s="64"/>
    </row>
    <row r="11" spans="1:15" x14ac:dyDescent="0.25">
      <c r="A11" s="64" t="s">
        <v>147</v>
      </c>
      <c r="B11" s="45" t="s">
        <v>977</v>
      </c>
      <c r="C11" s="64" t="s">
        <v>979</v>
      </c>
      <c r="D11" s="64" t="s">
        <v>1305</v>
      </c>
      <c r="E11" s="64">
        <v>10</v>
      </c>
      <c r="L11" s="64"/>
      <c r="M11" s="64"/>
      <c r="N11" s="46"/>
      <c r="O11" s="64"/>
    </row>
    <row r="12" spans="1:15" x14ac:dyDescent="0.25">
      <c r="A12" s="64" t="s">
        <v>898</v>
      </c>
      <c r="B12" s="45" t="s">
        <v>977</v>
      </c>
      <c r="C12" s="64" t="s">
        <v>979</v>
      </c>
      <c r="D12" s="64" t="s">
        <v>1305</v>
      </c>
      <c r="E12" s="64">
        <v>11</v>
      </c>
      <c r="L12" s="64"/>
      <c r="M12" s="64"/>
      <c r="N12" s="46"/>
      <c r="O12" s="64"/>
    </row>
    <row r="13" spans="1:15" x14ac:dyDescent="0.25">
      <c r="A13" s="64" t="s">
        <v>1301</v>
      </c>
      <c r="B13" s="45" t="s">
        <v>977</v>
      </c>
      <c r="C13" s="64" t="s">
        <v>979</v>
      </c>
      <c r="D13" s="64" t="s">
        <v>1305</v>
      </c>
      <c r="E13" s="64">
        <v>12</v>
      </c>
      <c r="L13" s="46"/>
      <c r="M13" s="64"/>
      <c r="N13" s="46"/>
      <c r="O13" s="64"/>
    </row>
    <row r="14" spans="1:15" x14ac:dyDescent="0.25">
      <c r="A14" s="64" t="s">
        <v>1302</v>
      </c>
      <c r="B14" s="45" t="s">
        <v>977</v>
      </c>
      <c r="C14" s="64" t="s">
        <v>979</v>
      </c>
      <c r="D14" s="64" t="s">
        <v>1305</v>
      </c>
      <c r="E14" s="64">
        <v>13</v>
      </c>
      <c r="L14" s="46"/>
      <c r="M14" s="64"/>
      <c r="N14" s="46"/>
      <c r="O14" s="64"/>
    </row>
    <row r="15" spans="1:15" x14ac:dyDescent="0.25">
      <c r="A15" s="64" t="s">
        <v>1296</v>
      </c>
      <c r="B15" s="45" t="s">
        <v>977</v>
      </c>
      <c r="C15" s="64" t="s">
        <v>979</v>
      </c>
      <c r="D15" s="64" t="s">
        <v>1305</v>
      </c>
      <c r="E15" s="64">
        <v>14</v>
      </c>
      <c r="L15" s="64"/>
      <c r="M15" s="64"/>
      <c r="N15" s="46"/>
      <c r="O15" s="64"/>
    </row>
    <row r="16" spans="1:15" x14ac:dyDescent="0.25">
      <c r="A16" s="64" t="s">
        <v>33</v>
      </c>
      <c r="B16" s="45" t="s">
        <v>977</v>
      </c>
      <c r="C16" s="64" t="s">
        <v>979</v>
      </c>
      <c r="D16" s="64" t="s">
        <v>1305</v>
      </c>
      <c r="E16" s="64">
        <v>15</v>
      </c>
      <c r="L16" s="64"/>
      <c r="M16" s="64"/>
      <c r="N16" s="46"/>
      <c r="O16" s="64"/>
    </row>
    <row r="17" spans="1:15" x14ac:dyDescent="0.25">
      <c r="A17" s="64" t="s">
        <v>1299</v>
      </c>
      <c r="B17" s="45" t="s">
        <v>977</v>
      </c>
      <c r="C17" s="64" t="s">
        <v>979</v>
      </c>
      <c r="D17" s="64" t="s">
        <v>1305</v>
      </c>
      <c r="E17" s="64">
        <v>16</v>
      </c>
      <c r="L17" s="46"/>
      <c r="M17" s="64"/>
      <c r="N17" s="46"/>
      <c r="O17" s="64"/>
    </row>
    <row r="18" spans="1:15" x14ac:dyDescent="0.25">
      <c r="A18" s="64" t="s">
        <v>374</v>
      </c>
      <c r="B18" s="45" t="s">
        <v>977</v>
      </c>
      <c r="C18" s="64" t="s">
        <v>979</v>
      </c>
      <c r="D18" s="64" t="s">
        <v>1305</v>
      </c>
      <c r="E18" s="64">
        <v>17</v>
      </c>
      <c r="L18" s="64"/>
      <c r="M18" s="64"/>
      <c r="N18" s="46"/>
      <c r="O18" s="64"/>
    </row>
    <row r="19" spans="1:15" x14ac:dyDescent="0.25">
      <c r="A19" s="64" t="s">
        <v>375</v>
      </c>
      <c r="B19" s="45" t="s">
        <v>977</v>
      </c>
      <c r="C19" s="64" t="s">
        <v>979</v>
      </c>
      <c r="D19" s="64" t="s">
        <v>1305</v>
      </c>
      <c r="E19" s="64">
        <v>18</v>
      </c>
      <c r="L19" s="46"/>
      <c r="M19" s="64"/>
      <c r="N19" s="46"/>
      <c r="O19" s="64"/>
    </row>
    <row r="20" spans="1:15" x14ac:dyDescent="0.25">
      <c r="A20" s="64" t="s">
        <v>1300</v>
      </c>
      <c r="B20" s="45" t="s">
        <v>977</v>
      </c>
      <c r="C20" s="64" t="s">
        <v>979</v>
      </c>
      <c r="D20" s="64" t="s">
        <v>1305</v>
      </c>
      <c r="E20" s="64">
        <v>19</v>
      </c>
      <c r="N20" s="46"/>
      <c r="O20" s="64"/>
    </row>
    <row r="21" spans="1:15" x14ac:dyDescent="0.25">
      <c r="A21" s="64" t="s">
        <v>107</v>
      </c>
      <c r="B21" s="45" t="s">
        <v>979</v>
      </c>
      <c r="C21" s="64" t="s">
        <v>979</v>
      </c>
      <c r="D21" s="64" t="s">
        <v>1305</v>
      </c>
      <c r="E21" s="64">
        <v>1</v>
      </c>
      <c r="N21" s="46"/>
      <c r="O21" s="64"/>
    </row>
    <row r="22" spans="1:15" x14ac:dyDescent="0.25">
      <c r="A22" s="64" t="s">
        <v>96</v>
      </c>
      <c r="B22" s="64" t="s">
        <v>979</v>
      </c>
      <c r="C22" s="64" t="s">
        <v>979</v>
      </c>
      <c r="D22" s="64" t="s">
        <v>1305</v>
      </c>
      <c r="E22" s="64">
        <v>2</v>
      </c>
    </row>
    <row r="23" spans="1:15" x14ac:dyDescent="0.25">
      <c r="A23" s="64" t="s">
        <v>1297</v>
      </c>
      <c r="B23" s="64" t="s">
        <v>979</v>
      </c>
      <c r="C23" s="64" t="s">
        <v>979</v>
      </c>
      <c r="D23" s="64" t="s">
        <v>1305</v>
      </c>
      <c r="E23" s="64">
        <v>3</v>
      </c>
    </row>
    <row r="24" spans="1:15" x14ac:dyDescent="0.25">
      <c r="A24" s="46" t="s">
        <v>1303</v>
      </c>
      <c r="B24" s="64" t="s">
        <v>979</v>
      </c>
      <c r="C24" s="64" t="s">
        <v>979</v>
      </c>
      <c r="D24" s="64" t="s">
        <v>1305</v>
      </c>
      <c r="E24" s="64">
        <v>4</v>
      </c>
    </row>
    <row r="25" spans="1:15" x14ac:dyDescent="0.25">
      <c r="A25" s="46" t="s">
        <v>1304</v>
      </c>
      <c r="B25" s="64" t="s">
        <v>979</v>
      </c>
      <c r="C25" s="64" t="s">
        <v>979</v>
      </c>
      <c r="D25" s="64" t="s">
        <v>1305</v>
      </c>
      <c r="E25" s="64">
        <v>5</v>
      </c>
    </row>
    <row r="26" spans="1:15" x14ac:dyDescent="0.25">
      <c r="A26" s="46" t="s">
        <v>1298</v>
      </c>
      <c r="B26" s="64" t="s">
        <v>979</v>
      </c>
      <c r="C26" s="64" t="s">
        <v>979</v>
      </c>
      <c r="D26" s="64" t="s">
        <v>1305</v>
      </c>
      <c r="E26" s="64">
        <v>6</v>
      </c>
    </row>
    <row r="27" spans="1:15" x14ac:dyDescent="0.25">
      <c r="A27" s="64" t="s">
        <v>65</v>
      </c>
      <c r="B27" s="64" t="s">
        <v>979</v>
      </c>
      <c r="C27" s="64" t="s">
        <v>979</v>
      </c>
      <c r="D27" s="64" t="s">
        <v>1305</v>
      </c>
      <c r="E27" s="64">
        <v>7</v>
      </c>
    </row>
    <row r="28" spans="1:15" x14ac:dyDescent="0.25">
      <c r="A28" s="64" t="s">
        <v>32</v>
      </c>
      <c r="B28" s="64" t="s">
        <v>979</v>
      </c>
      <c r="C28" s="64" t="s">
        <v>979</v>
      </c>
      <c r="D28" s="64" t="s">
        <v>1305</v>
      </c>
      <c r="E28" s="64">
        <v>8</v>
      </c>
    </row>
    <row r="29" spans="1:15" x14ac:dyDescent="0.25">
      <c r="A29" s="46" t="s">
        <v>44</v>
      </c>
      <c r="B29" s="64" t="s">
        <v>979</v>
      </c>
      <c r="C29" s="64" t="s">
        <v>979</v>
      </c>
      <c r="D29" s="64" t="s">
        <v>1305</v>
      </c>
      <c r="E29" s="64">
        <v>9</v>
      </c>
    </row>
    <row r="30" spans="1:15" x14ac:dyDescent="0.25">
      <c r="A30" s="64" t="s">
        <v>147</v>
      </c>
      <c r="B30" s="64" t="s">
        <v>979</v>
      </c>
      <c r="C30" s="64" t="s">
        <v>979</v>
      </c>
      <c r="D30" s="64" t="s">
        <v>1305</v>
      </c>
      <c r="E30" s="64">
        <v>10</v>
      </c>
    </row>
    <row r="31" spans="1:15" x14ac:dyDescent="0.25">
      <c r="A31" s="64" t="s">
        <v>898</v>
      </c>
      <c r="B31" s="64" t="s">
        <v>979</v>
      </c>
      <c r="C31" s="64" t="s">
        <v>979</v>
      </c>
      <c r="D31" s="64" t="s">
        <v>1305</v>
      </c>
      <c r="E31" s="64">
        <v>11</v>
      </c>
    </row>
    <row r="32" spans="1:15" x14ac:dyDescent="0.25">
      <c r="A32" s="46" t="s">
        <v>1301</v>
      </c>
      <c r="B32" s="64" t="s">
        <v>979</v>
      </c>
      <c r="C32" s="64" t="s">
        <v>979</v>
      </c>
      <c r="D32" s="64" t="s">
        <v>1305</v>
      </c>
      <c r="E32" s="64">
        <v>12</v>
      </c>
    </row>
    <row r="33" spans="1:5" x14ac:dyDescent="0.25">
      <c r="A33" s="46" t="s">
        <v>1302</v>
      </c>
      <c r="B33" s="64" t="s">
        <v>979</v>
      </c>
      <c r="C33" s="64" t="s">
        <v>979</v>
      </c>
      <c r="D33" s="64" t="s">
        <v>1305</v>
      </c>
      <c r="E33" s="64">
        <v>13</v>
      </c>
    </row>
    <row r="34" spans="1:5" x14ac:dyDescent="0.25">
      <c r="A34" s="64" t="s">
        <v>1296</v>
      </c>
      <c r="B34" s="64" t="s">
        <v>979</v>
      </c>
      <c r="C34" s="64" t="s">
        <v>979</v>
      </c>
      <c r="D34" s="64" t="s">
        <v>1305</v>
      </c>
      <c r="E34" s="64">
        <v>14</v>
      </c>
    </row>
    <row r="35" spans="1:5" x14ac:dyDescent="0.25">
      <c r="A35" s="64" t="s">
        <v>33</v>
      </c>
      <c r="B35" s="64" t="s">
        <v>979</v>
      </c>
      <c r="C35" s="64" t="s">
        <v>979</v>
      </c>
      <c r="D35" s="64" t="s">
        <v>1305</v>
      </c>
      <c r="E35" s="64">
        <v>15</v>
      </c>
    </row>
    <row r="36" spans="1:5" x14ac:dyDescent="0.25">
      <c r="A36" s="46" t="s">
        <v>1299</v>
      </c>
      <c r="B36" s="64" t="s">
        <v>979</v>
      </c>
      <c r="C36" s="64" t="s">
        <v>979</v>
      </c>
      <c r="D36" s="64" t="s">
        <v>1305</v>
      </c>
      <c r="E36" s="64">
        <v>16</v>
      </c>
    </row>
    <row r="37" spans="1:5" x14ac:dyDescent="0.25">
      <c r="A37" s="64" t="s">
        <v>374</v>
      </c>
      <c r="B37" s="64" t="s">
        <v>979</v>
      </c>
      <c r="C37" s="64" t="s">
        <v>979</v>
      </c>
      <c r="D37" s="64" t="s">
        <v>1305</v>
      </c>
      <c r="E37" s="64">
        <v>17</v>
      </c>
    </row>
    <row r="38" spans="1:5" x14ac:dyDescent="0.25">
      <c r="A38" s="46" t="s">
        <v>375</v>
      </c>
      <c r="B38" s="64" t="s">
        <v>979</v>
      </c>
      <c r="C38" s="64" t="s">
        <v>979</v>
      </c>
      <c r="D38" s="64" t="s">
        <v>1305</v>
      </c>
      <c r="E38" s="64">
        <v>18</v>
      </c>
    </row>
    <row r="39" spans="1:5" x14ac:dyDescent="0.25">
      <c r="A39" s="46" t="s">
        <v>107</v>
      </c>
      <c r="B39" s="64" t="s">
        <v>1276</v>
      </c>
      <c r="C39" s="64" t="s">
        <v>979</v>
      </c>
      <c r="D39" s="64" t="s">
        <v>1305</v>
      </c>
      <c r="E39" s="64">
        <v>1</v>
      </c>
    </row>
    <row r="40" spans="1:5" x14ac:dyDescent="0.25">
      <c r="A40" s="46" t="s">
        <v>96</v>
      </c>
      <c r="B40" s="45" t="s">
        <v>1276</v>
      </c>
      <c r="C40" s="64" t="s">
        <v>979</v>
      </c>
      <c r="D40" s="64" t="s">
        <v>1305</v>
      </c>
      <c r="E40" s="64">
        <v>2</v>
      </c>
    </row>
    <row r="41" spans="1:5" x14ac:dyDescent="0.25">
      <c r="A41" s="46" t="s">
        <v>1297</v>
      </c>
      <c r="B41" s="45" t="s">
        <v>1276</v>
      </c>
      <c r="C41" s="64" t="s">
        <v>979</v>
      </c>
      <c r="D41" s="64" t="s">
        <v>1305</v>
      </c>
      <c r="E41" s="64">
        <v>3</v>
      </c>
    </row>
    <row r="42" spans="1:5" x14ac:dyDescent="0.25">
      <c r="A42" s="46" t="s">
        <v>1303</v>
      </c>
      <c r="B42" s="64" t="s">
        <v>1276</v>
      </c>
      <c r="C42" s="64" t="s">
        <v>979</v>
      </c>
      <c r="D42" s="64" t="s">
        <v>1305</v>
      </c>
      <c r="E42" s="64">
        <v>4</v>
      </c>
    </row>
    <row r="43" spans="1:5" x14ac:dyDescent="0.25">
      <c r="A43" s="46" t="s">
        <v>1304</v>
      </c>
      <c r="B43" s="64" t="s">
        <v>1276</v>
      </c>
      <c r="C43" s="64" t="s">
        <v>979</v>
      </c>
      <c r="D43" s="64" t="s">
        <v>1305</v>
      </c>
      <c r="E43" s="64">
        <v>5</v>
      </c>
    </row>
    <row r="44" spans="1:5" x14ac:dyDescent="0.25">
      <c r="A44" s="46" t="s">
        <v>1298</v>
      </c>
      <c r="B44" s="64" t="s">
        <v>1276</v>
      </c>
      <c r="C44" s="64" t="s">
        <v>979</v>
      </c>
      <c r="D44" s="64" t="s">
        <v>1305</v>
      </c>
      <c r="E44" s="64">
        <v>6</v>
      </c>
    </row>
    <row r="45" spans="1:5" x14ac:dyDescent="0.25">
      <c r="A45" s="46" t="s">
        <v>65</v>
      </c>
      <c r="B45" s="64" t="s">
        <v>1276</v>
      </c>
      <c r="C45" s="64" t="s">
        <v>979</v>
      </c>
      <c r="D45" s="64" t="s">
        <v>1305</v>
      </c>
      <c r="E45" s="64">
        <v>7</v>
      </c>
    </row>
    <row r="46" spans="1:5" x14ac:dyDescent="0.25">
      <c r="A46" s="46" t="s">
        <v>32</v>
      </c>
      <c r="B46" s="64" t="s">
        <v>1276</v>
      </c>
      <c r="C46" s="64" t="s">
        <v>979</v>
      </c>
      <c r="D46" s="64" t="s">
        <v>1305</v>
      </c>
      <c r="E46" s="64">
        <v>8</v>
      </c>
    </row>
    <row r="47" spans="1:5" x14ac:dyDescent="0.25">
      <c r="A47" s="46" t="s">
        <v>44</v>
      </c>
      <c r="B47" s="64" t="s">
        <v>1276</v>
      </c>
      <c r="C47" s="64" t="s">
        <v>979</v>
      </c>
      <c r="D47" s="64" t="s">
        <v>1305</v>
      </c>
      <c r="E47" s="64">
        <v>9</v>
      </c>
    </row>
    <row r="48" spans="1:5" x14ac:dyDescent="0.25">
      <c r="A48" s="46" t="s">
        <v>147</v>
      </c>
      <c r="B48" s="64" t="s">
        <v>1276</v>
      </c>
      <c r="C48" s="64" t="s">
        <v>979</v>
      </c>
      <c r="D48" s="64" t="s">
        <v>1305</v>
      </c>
      <c r="E48" s="64">
        <v>10</v>
      </c>
    </row>
    <row r="49" spans="1:5" x14ac:dyDescent="0.25">
      <c r="A49" s="46" t="s">
        <v>898</v>
      </c>
      <c r="B49" s="64" t="s">
        <v>1276</v>
      </c>
      <c r="C49" s="64" t="s">
        <v>979</v>
      </c>
      <c r="D49" s="64" t="s">
        <v>1305</v>
      </c>
      <c r="E49" s="64">
        <v>11</v>
      </c>
    </row>
    <row r="50" spans="1:5" x14ac:dyDescent="0.25">
      <c r="A50" t="s">
        <v>1301</v>
      </c>
      <c r="B50" s="64" t="s">
        <v>1276</v>
      </c>
      <c r="C50" s="64" t="s">
        <v>979</v>
      </c>
      <c r="D50" s="64" t="s">
        <v>1305</v>
      </c>
      <c r="E50" s="64">
        <v>12</v>
      </c>
    </row>
    <row r="51" spans="1:5" x14ac:dyDescent="0.25">
      <c r="A51" t="s">
        <v>1302</v>
      </c>
      <c r="B51" s="64" t="s">
        <v>1276</v>
      </c>
      <c r="C51" s="64" t="s">
        <v>979</v>
      </c>
      <c r="D51" s="64" t="s">
        <v>1305</v>
      </c>
      <c r="E51" s="64">
        <v>13</v>
      </c>
    </row>
    <row r="52" spans="1:5" x14ac:dyDescent="0.25">
      <c r="A52" t="s">
        <v>1296</v>
      </c>
      <c r="B52" s="64" t="s">
        <v>1276</v>
      </c>
      <c r="C52" s="64" t="s">
        <v>979</v>
      </c>
      <c r="D52" s="64" t="s">
        <v>1305</v>
      </c>
      <c r="E52" s="64">
        <v>14</v>
      </c>
    </row>
    <row r="53" spans="1:5" x14ac:dyDescent="0.25">
      <c r="A53" t="s">
        <v>33</v>
      </c>
      <c r="B53" s="64" t="s">
        <v>1276</v>
      </c>
      <c r="C53" s="64" t="s">
        <v>979</v>
      </c>
      <c r="D53" s="64" t="s">
        <v>1305</v>
      </c>
      <c r="E53" s="64">
        <v>15</v>
      </c>
    </row>
    <row r="54" spans="1:5" hidden="1" x14ac:dyDescent="0.25">
      <c r="A54" t="s">
        <v>1300</v>
      </c>
      <c r="B54" s="64" t="s">
        <v>979</v>
      </c>
      <c r="C54" s="64" t="s">
        <v>979</v>
      </c>
      <c r="D54" s="64" t="s">
        <v>1305</v>
      </c>
      <c r="E54" s="64">
        <v>19</v>
      </c>
    </row>
    <row r="55" spans="1:5" x14ac:dyDescent="0.25">
      <c r="A55" t="s">
        <v>1299</v>
      </c>
      <c r="B55" s="64" t="s">
        <v>1276</v>
      </c>
      <c r="C55" s="64" t="s">
        <v>979</v>
      </c>
      <c r="D55" s="64" t="s">
        <v>1305</v>
      </c>
      <c r="E55" s="64">
        <v>16</v>
      </c>
    </row>
    <row r="56" spans="1:5" x14ac:dyDescent="0.25">
      <c r="A56" t="s">
        <v>374</v>
      </c>
      <c r="B56" s="64" t="s">
        <v>1276</v>
      </c>
      <c r="C56" s="64" t="s">
        <v>979</v>
      </c>
      <c r="D56" s="64" t="s">
        <v>1305</v>
      </c>
      <c r="E56" s="64">
        <v>17</v>
      </c>
    </row>
    <row r="57" spans="1:5" x14ac:dyDescent="0.25">
      <c r="A57" t="s">
        <v>375</v>
      </c>
      <c r="B57" s="64" t="s">
        <v>1276</v>
      </c>
      <c r="C57" s="64" t="s">
        <v>979</v>
      </c>
      <c r="D57" s="64" t="s">
        <v>1305</v>
      </c>
      <c r="E57" s="64">
        <v>18</v>
      </c>
    </row>
    <row r="58" spans="1:5" x14ac:dyDescent="0.25">
      <c r="A58" t="s">
        <v>1300</v>
      </c>
      <c r="B58" s="64" t="s">
        <v>1276</v>
      </c>
      <c r="C58" s="64" t="s">
        <v>979</v>
      </c>
      <c r="D58" s="64" t="s">
        <v>1305</v>
      </c>
      <c r="E58" s="64">
        <v>19</v>
      </c>
    </row>
    <row r="59" spans="1:5" x14ac:dyDescent="0.25">
      <c r="A59" t="s">
        <v>107</v>
      </c>
      <c r="B59" s="64" t="s">
        <v>981</v>
      </c>
      <c r="C59" s="64" t="s">
        <v>979</v>
      </c>
      <c r="D59" s="64" t="s">
        <v>1305</v>
      </c>
      <c r="E59" s="64">
        <v>1</v>
      </c>
    </row>
    <row r="60" spans="1:5" x14ac:dyDescent="0.25">
      <c r="A60" t="s">
        <v>96</v>
      </c>
      <c r="B60" s="64" t="s">
        <v>981</v>
      </c>
      <c r="C60" s="64" t="s">
        <v>979</v>
      </c>
      <c r="D60" s="64" t="s">
        <v>1305</v>
      </c>
      <c r="E60" s="64">
        <v>2</v>
      </c>
    </row>
    <row r="61" spans="1:5" x14ac:dyDescent="0.25">
      <c r="A61" t="s">
        <v>1297</v>
      </c>
      <c r="B61" s="64" t="s">
        <v>981</v>
      </c>
      <c r="C61" s="64" t="s">
        <v>979</v>
      </c>
      <c r="D61" s="64" t="s">
        <v>1305</v>
      </c>
      <c r="E61" s="64">
        <v>3</v>
      </c>
    </row>
    <row r="62" spans="1:5" x14ac:dyDescent="0.25">
      <c r="A62" t="s">
        <v>1303</v>
      </c>
      <c r="B62" s="64" t="s">
        <v>981</v>
      </c>
      <c r="C62" s="64" t="s">
        <v>979</v>
      </c>
      <c r="D62" s="64" t="s">
        <v>1305</v>
      </c>
      <c r="E62" s="64">
        <v>4</v>
      </c>
    </row>
    <row r="63" spans="1:5" x14ac:dyDescent="0.25">
      <c r="A63" t="s">
        <v>1304</v>
      </c>
      <c r="B63" s="64" t="s">
        <v>981</v>
      </c>
      <c r="C63" s="64" t="s">
        <v>979</v>
      </c>
      <c r="D63" s="64" t="s">
        <v>1305</v>
      </c>
      <c r="E63" s="64">
        <v>5</v>
      </c>
    </row>
    <row r="64" spans="1:5" x14ac:dyDescent="0.25">
      <c r="A64" t="s">
        <v>1298</v>
      </c>
      <c r="B64" s="64" t="s">
        <v>981</v>
      </c>
      <c r="C64" s="64" t="s">
        <v>979</v>
      </c>
      <c r="D64" s="64" t="s">
        <v>1305</v>
      </c>
      <c r="E64" s="64">
        <v>6</v>
      </c>
    </row>
    <row r="65" spans="1:5" x14ac:dyDescent="0.25">
      <c r="A65" t="s">
        <v>65</v>
      </c>
      <c r="B65" s="64" t="s">
        <v>981</v>
      </c>
      <c r="C65" s="64" t="s">
        <v>979</v>
      </c>
      <c r="D65" s="64" t="s">
        <v>1305</v>
      </c>
      <c r="E65" s="64">
        <v>7</v>
      </c>
    </row>
    <row r="66" spans="1:5" x14ac:dyDescent="0.25">
      <c r="A66" t="s">
        <v>32</v>
      </c>
      <c r="B66" s="64" t="s">
        <v>981</v>
      </c>
      <c r="C66" s="64" t="s">
        <v>979</v>
      </c>
      <c r="D66" s="64" t="s">
        <v>1305</v>
      </c>
      <c r="E66" s="64">
        <v>8</v>
      </c>
    </row>
    <row r="67" spans="1:5" x14ac:dyDescent="0.25">
      <c r="A67" t="s">
        <v>44</v>
      </c>
      <c r="B67" s="64" t="s">
        <v>981</v>
      </c>
      <c r="C67" s="64" t="s">
        <v>979</v>
      </c>
      <c r="D67" s="64" t="s">
        <v>1305</v>
      </c>
      <c r="E67" s="64">
        <v>9</v>
      </c>
    </row>
    <row r="68" spans="1:5" x14ac:dyDescent="0.25">
      <c r="A68" t="s">
        <v>147</v>
      </c>
      <c r="B68" s="64" t="s">
        <v>981</v>
      </c>
      <c r="C68" s="64" t="s">
        <v>979</v>
      </c>
      <c r="D68" s="64" t="s">
        <v>1305</v>
      </c>
      <c r="E68" s="64">
        <v>10</v>
      </c>
    </row>
    <row r="69" spans="1:5" x14ac:dyDescent="0.25">
      <c r="A69" t="s">
        <v>898</v>
      </c>
      <c r="B69" s="64" t="s">
        <v>981</v>
      </c>
      <c r="C69" s="64" t="s">
        <v>979</v>
      </c>
      <c r="D69" s="64" t="s">
        <v>1305</v>
      </c>
      <c r="E69" s="64">
        <v>11</v>
      </c>
    </row>
    <row r="70" spans="1:5" x14ac:dyDescent="0.25">
      <c r="A70" t="s">
        <v>1301</v>
      </c>
      <c r="B70" s="64" t="s">
        <v>981</v>
      </c>
      <c r="C70" s="64" t="s">
        <v>979</v>
      </c>
      <c r="D70" s="64" t="s">
        <v>1305</v>
      </c>
      <c r="E70" s="64">
        <v>12</v>
      </c>
    </row>
    <row r="71" spans="1:5" x14ac:dyDescent="0.25">
      <c r="A71" t="s">
        <v>1302</v>
      </c>
      <c r="B71" s="64" t="s">
        <v>981</v>
      </c>
      <c r="C71" s="64" t="s">
        <v>979</v>
      </c>
      <c r="D71" s="64" t="s">
        <v>1305</v>
      </c>
      <c r="E71" s="64">
        <v>13</v>
      </c>
    </row>
    <row r="72" spans="1:5" x14ac:dyDescent="0.25">
      <c r="A72" t="s">
        <v>1296</v>
      </c>
      <c r="B72" s="64" t="s">
        <v>981</v>
      </c>
      <c r="C72" s="64" t="s">
        <v>979</v>
      </c>
      <c r="D72" s="64" t="s">
        <v>1305</v>
      </c>
      <c r="E72" s="64">
        <v>14</v>
      </c>
    </row>
    <row r="73" spans="1:5" x14ac:dyDescent="0.25">
      <c r="A73" t="s">
        <v>33</v>
      </c>
      <c r="B73" s="64" t="s">
        <v>981</v>
      </c>
      <c r="C73" s="64" t="s">
        <v>979</v>
      </c>
      <c r="D73" s="64" t="s">
        <v>1305</v>
      </c>
      <c r="E73" s="64">
        <v>15</v>
      </c>
    </row>
    <row r="74" spans="1:5" x14ac:dyDescent="0.25">
      <c r="A74" t="s">
        <v>1299</v>
      </c>
      <c r="B74" s="64" t="s">
        <v>981</v>
      </c>
      <c r="C74" s="64" t="s">
        <v>979</v>
      </c>
      <c r="D74" s="64" t="s">
        <v>1305</v>
      </c>
      <c r="E74" s="64">
        <v>16</v>
      </c>
    </row>
    <row r="75" spans="1:5" x14ac:dyDescent="0.25">
      <c r="A75" t="s">
        <v>374</v>
      </c>
      <c r="B75" s="64" t="s">
        <v>981</v>
      </c>
      <c r="C75" s="64" t="s">
        <v>979</v>
      </c>
      <c r="D75" s="64" t="s">
        <v>1305</v>
      </c>
      <c r="E75" s="64">
        <v>17</v>
      </c>
    </row>
    <row r="76" spans="1:5" x14ac:dyDescent="0.25">
      <c r="A76" t="s">
        <v>375</v>
      </c>
      <c r="B76" s="64" t="s">
        <v>981</v>
      </c>
      <c r="C76" s="64" t="s">
        <v>979</v>
      </c>
      <c r="D76" s="64" t="s">
        <v>1305</v>
      </c>
      <c r="E76" s="64">
        <v>18</v>
      </c>
    </row>
    <row r="77" spans="1:5" x14ac:dyDescent="0.25">
      <c r="A77" t="s">
        <v>1300</v>
      </c>
      <c r="B77" s="64" t="s">
        <v>981</v>
      </c>
      <c r="C77" s="64" t="s">
        <v>979</v>
      </c>
      <c r="D77" s="64" t="s">
        <v>1305</v>
      </c>
      <c r="E77" s="64">
        <v>19</v>
      </c>
    </row>
    <row r="78" spans="1:5" s="46" customFormat="1" x14ac:dyDescent="0.25">
      <c r="A78" s="46" t="s">
        <v>107</v>
      </c>
      <c r="B78" s="64" t="s">
        <v>980</v>
      </c>
      <c r="C78" s="64" t="s">
        <v>979</v>
      </c>
      <c r="D78" s="64" t="s">
        <v>1305</v>
      </c>
      <c r="E78" s="64">
        <v>1</v>
      </c>
    </row>
    <row r="79" spans="1:5" s="46" customFormat="1" x14ac:dyDescent="0.25">
      <c r="A79" s="46" t="s">
        <v>96</v>
      </c>
      <c r="B79" s="64" t="s">
        <v>980</v>
      </c>
      <c r="C79" s="64" t="s">
        <v>979</v>
      </c>
      <c r="D79" s="64" t="s">
        <v>1305</v>
      </c>
      <c r="E79" s="64">
        <v>2</v>
      </c>
    </row>
    <row r="80" spans="1:5" s="46" customFormat="1" x14ac:dyDescent="0.25">
      <c r="A80" s="46" t="s">
        <v>1297</v>
      </c>
      <c r="B80" s="64" t="s">
        <v>980</v>
      </c>
      <c r="C80" s="64" t="s">
        <v>979</v>
      </c>
      <c r="D80" s="64" t="s">
        <v>1305</v>
      </c>
      <c r="E80" s="64">
        <v>3</v>
      </c>
    </row>
    <row r="81" spans="1:5" s="46" customFormat="1" x14ac:dyDescent="0.25">
      <c r="A81" s="46" t="s">
        <v>1303</v>
      </c>
      <c r="B81" s="64" t="s">
        <v>980</v>
      </c>
      <c r="C81" s="64" t="s">
        <v>979</v>
      </c>
      <c r="D81" s="64" t="s">
        <v>1305</v>
      </c>
      <c r="E81" s="64">
        <v>4</v>
      </c>
    </row>
    <row r="82" spans="1:5" s="46" customFormat="1" x14ac:dyDescent="0.25">
      <c r="A82" s="46" t="s">
        <v>1304</v>
      </c>
      <c r="B82" s="64" t="s">
        <v>980</v>
      </c>
      <c r="C82" s="64" t="s">
        <v>979</v>
      </c>
      <c r="D82" s="64" t="s">
        <v>1305</v>
      </c>
      <c r="E82" s="64">
        <v>5</v>
      </c>
    </row>
    <row r="83" spans="1:5" s="46" customFormat="1" x14ac:dyDescent="0.25">
      <c r="A83" s="46" t="s">
        <v>1298</v>
      </c>
      <c r="B83" s="64" t="s">
        <v>980</v>
      </c>
      <c r="C83" s="64" t="s">
        <v>979</v>
      </c>
      <c r="D83" s="64" t="s">
        <v>1305</v>
      </c>
      <c r="E83" s="64">
        <v>6</v>
      </c>
    </row>
    <row r="84" spans="1:5" s="46" customFormat="1" x14ac:dyDescent="0.25">
      <c r="A84" s="46" t="s">
        <v>65</v>
      </c>
      <c r="B84" s="64" t="s">
        <v>980</v>
      </c>
      <c r="C84" s="64" t="s">
        <v>979</v>
      </c>
      <c r="D84" s="64" t="s">
        <v>1305</v>
      </c>
      <c r="E84" s="64">
        <v>7</v>
      </c>
    </row>
    <row r="85" spans="1:5" s="46" customFormat="1" x14ac:dyDescent="0.25">
      <c r="A85" s="46" t="s">
        <v>32</v>
      </c>
      <c r="B85" s="64" t="s">
        <v>980</v>
      </c>
      <c r="C85" s="64" t="s">
        <v>979</v>
      </c>
      <c r="D85" s="64" t="s">
        <v>1305</v>
      </c>
      <c r="E85" s="64">
        <v>8</v>
      </c>
    </row>
    <row r="86" spans="1:5" s="46" customFormat="1" x14ac:dyDescent="0.25">
      <c r="A86" s="46" t="s">
        <v>44</v>
      </c>
      <c r="B86" s="64" t="s">
        <v>980</v>
      </c>
      <c r="C86" s="64" t="s">
        <v>979</v>
      </c>
      <c r="D86" s="64" t="s">
        <v>1305</v>
      </c>
      <c r="E86" s="64">
        <v>9</v>
      </c>
    </row>
    <row r="87" spans="1:5" s="46" customFormat="1" x14ac:dyDescent="0.25">
      <c r="A87" s="46" t="s">
        <v>147</v>
      </c>
      <c r="B87" s="64" t="s">
        <v>980</v>
      </c>
      <c r="C87" s="64" t="s">
        <v>979</v>
      </c>
      <c r="D87" s="64" t="s">
        <v>1305</v>
      </c>
      <c r="E87" s="64">
        <v>10</v>
      </c>
    </row>
    <row r="88" spans="1:5" s="46" customFormat="1" x14ac:dyDescent="0.25">
      <c r="A88" s="46" t="s">
        <v>898</v>
      </c>
      <c r="B88" s="64" t="s">
        <v>980</v>
      </c>
      <c r="C88" s="64" t="s">
        <v>979</v>
      </c>
      <c r="D88" s="64" t="s">
        <v>1305</v>
      </c>
      <c r="E88" s="64">
        <v>11</v>
      </c>
    </row>
    <row r="89" spans="1:5" s="46" customFormat="1" x14ac:dyDescent="0.25">
      <c r="A89" s="46" t="s">
        <v>1301</v>
      </c>
      <c r="B89" s="64" t="s">
        <v>980</v>
      </c>
      <c r="C89" s="64" t="s">
        <v>979</v>
      </c>
      <c r="D89" s="64" t="s">
        <v>1305</v>
      </c>
      <c r="E89" s="64">
        <v>12</v>
      </c>
    </row>
    <row r="90" spans="1:5" s="46" customFormat="1" x14ac:dyDescent="0.25">
      <c r="A90" s="46" t="s">
        <v>1302</v>
      </c>
      <c r="B90" s="64" t="s">
        <v>980</v>
      </c>
      <c r="C90" s="64" t="s">
        <v>979</v>
      </c>
      <c r="D90" s="64" t="s">
        <v>1305</v>
      </c>
      <c r="E90" s="64">
        <v>13</v>
      </c>
    </row>
    <row r="91" spans="1:5" s="46" customFormat="1" x14ac:dyDescent="0.25">
      <c r="A91" s="46" t="s">
        <v>1296</v>
      </c>
      <c r="B91" s="64" t="s">
        <v>980</v>
      </c>
      <c r="C91" s="64" t="s">
        <v>979</v>
      </c>
      <c r="D91" s="64" t="s">
        <v>1305</v>
      </c>
      <c r="E91" s="64">
        <v>14</v>
      </c>
    </row>
    <row r="92" spans="1:5" s="46" customFormat="1" x14ac:dyDescent="0.25">
      <c r="A92" s="46" t="s">
        <v>33</v>
      </c>
      <c r="B92" s="64" t="s">
        <v>980</v>
      </c>
      <c r="C92" s="64" t="s">
        <v>979</v>
      </c>
      <c r="D92" s="64" t="s">
        <v>1305</v>
      </c>
      <c r="E92" s="64">
        <v>15</v>
      </c>
    </row>
    <row r="93" spans="1:5" s="46" customFormat="1" x14ac:dyDescent="0.25">
      <c r="A93" s="46" t="s">
        <v>1299</v>
      </c>
      <c r="B93" s="64" t="s">
        <v>980</v>
      </c>
      <c r="C93" s="64" t="s">
        <v>979</v>
      </c>
      <c r="D93" s="64" t="s">
        <v>1305</v>
      </c>
      <c r="E93" s="64">
        <v>16</v>
      </c>
    </row>
    <row r="94" spans="1:5" s="46" customFormat="1" x14ac:dyDescent="0.25">
      <c r="A94" s="46" t="s">
        <v>374</v>
      </c>
      <c r="B94" s="64" t="s">
        <v>980</v>
      </c>
      <c r="C94" s="64" t="s">
        <v>979</v>
      </c>
      <c r="D94" s="64" t="s">
        <v>1305</v>
      </c>
      <c r="E94" s="64">
        <v>17</v>
      </c>
    </row>
    <row r="95" spans="1:5" s="46" customFormat="1" x14ac:dyDescent="0.25">
      <c r="A95" s="46" t="s">
        <v>375</v>
      </c>
      <c r="B95" s="64" t="s">
        <v>980</v>
      </c>
      <c r="C95" s="64" t="s">
        <v>979</v>
      </c>
      <c r="D95" s="64" t="s">
        <v>1305</v>
      </c>
      <c r="E95" s="64">
        <v>18</v>
      </c>
    </row>
    <row r="96" spans="1:5" s="46" customFormat="1" x14ac:dyDescent="0.25">
      <c r="A96" s="46" t="s">
        <v>1300</v>
      </c>
      <c r="B96" s="64" t="s">
        <v>980</v>
      </c>
      <c r="C96" s="64" t="s">
        <v>979</v>
      </c>
      <c r="D96" s="64" t="s">
        <v>1305</v>
      </c>
      <c r="E96" s="64">
        <v>19</v>
      </c>
    </row>
    <row r="97" spans="1:5" x14ac:dyDescent="0.25">
      <c r="A97" t="s">
        <v>107</v>
      </c>
      <c r="B97" s="64" t="s">
        <v>1278</v>
      </c>
      <c r="C97" s="64" t="s">
        <v>979</v>
      </c>
      <c r="D97" s="64" t="s">
        <v>1305</v>
      </c>
      <c r="E97" s="64">
        <v>1</v>
      </c>
    </row>
    <row r="98" spans="1:5" x14ac:dyDescent="0.25">
      <c r="A98" t="s">
        <v>96</v>
      </c>
      <c r="B98" s="64" t="s">
        <v>1278</v>
      </c>
      <c r="C98" s="64" t="s">
        <v>979</v>
      </c>
      <c r="D98" s="64" t="s">
        <v>1305</v>
      </c>
      <c r="E98" s="64">
        <v>2</v>
      </c>
    </row>
    <row r="99" spans="1:5" x14ac:dyDescent="0.25">
      <c r="A99" t="s">
        <v>1297</v>
      </c>
      <c r="B99" s="64" t="s">
        <v>1278</v>
      </c>
      <c r="C99" s="64" t="s">
        <v>979</v>
      </c>
      <c r="D99" s="64" t="s">
        <v>1305</v>
      </c>
      <c r="E99" s="64">
        <v>3</v>
      </c>
    </row>
    <row r="100" spans="1:5" x14ac:dyDescent="0.25">
      <c r="A100" t="s">
        <v>1303</v>
      </c>
      <c r="B100" s="64" t="s">
        <v>1278</v>
      </c>
      <c r="C100" s="64" t="s">
        <v>979</v>
      </c>
      <c r="D100" s="64" t="s">
        <v>1305</v>
      </c>
      <c r="E100" s="64">
        <v>4</v>
      </c>
    </row>
    <row r="101" spans="1:5" x14ac:dyDescent="0.25">
      <c r="A101" t="s">
        <v>1304</v>
      </c>
      <c r="B101" s="64" t="s">
        <v>1278</v>
      </c>
      <c r="C101" s="64" t="s">
        <v>979</v>
      </c>
      <c r="D101" s="64" t="s">
        <v>1305</v>
      </c>
      <c r="E101" s="64">
        <v>5</v>
      </c>
    </row>
    <row r="102" spans="1:5" x14ac:dyDescent="0.25">
      <c r="A102" t="s">
        <v>1298</v>
      </c>
      <c r="B102" s="64" t="s">
        <v>1278</v>
      </c>
      <c r="C102" s="64" t="s">
        <v>979</v>
      </c>
      <c r="D102" s="64" t="s">
        <v>1305</v>
      </c>
      <c r="E102" s="64">
        <v>6</v>
      </c>
    </row>
    <row r="103" spans="1:5" x14ac:dyDescent="0.25">
      <c r="A103" t="s">
        <v>65</v>
      </c>
      <c r="B103" s="64" t="s">
        <v>1278</v>
      </c>
      <c r="C103" s="64" t="s">
        <v>979</v>
      </c>
      <c r="D103" s="64" t="s">
        <v>1305</v>
      </c>
      <c r="E103" s="64">
        <v>7</v>
      </c>
    </row>
    <row r="104" spans="1:5" x14ac:dyDescent="0.25">
      <c r="A104" t="s">
        <v>32</v>
      </c>
      <c r="B104" s="64" t="s">
        <v>1278</v>
      </c>
      <c r="C104" s="64" t="s">
        <v>979</v>
      </c>
      <c r="D104" s="64" t="s">
        <v>1305</v>
      </c>
      <c r="E104" s="64">
        <v>8</v>
      </c>
    </row>
    <row r="105" spans="1:5" x14ac:dyDescent="0.25">
      <c r="A105" t="s">
        <v>44</v>
      </c>
      <c r="B105" s="64" t="s">
        <v>1278</v>
      </c>
      <c r="C105" s="64" t="s">
        <v>979</v>
      </c>
      <c r="D105" s="64" t="s">
        <v>1305</v>
      </c>
      <c r="E105" s="64">
        <v>9</v>
      </c>
    </row>
    <row r="106" spans="1:5" x14ac:dyDescent="0.25">
      <c r="A106" t="s">
        <v>147</v>
      </c>
      <c r="B106" s="64" t="s">
        <v>1278</v>
      </c>
      <c r="C106" s="64" t="s">
        <v>979</v>
      </c>
      <c r="D106" s="64" t="s">
        <v>1305</v>
      </c>
      <c r="E106" s="64">
        <v>10</v>
      </c>
    </row>
    <row r="107" spans="1:5" x14ac:dyDescent="0.25">
      <c r="A107" t="s">
        <v>898</v>
      </c>
      <c r="B107" s="64" t="s">
        <v>1278</v>
      </c>
      <c r="C107" s="64" t="s">
        <v>979</v>
      </c>
      <c r="D107" s="64" t="s">
        <v>1305</v>
      </c>
      <c r="E107" s="64">
        <v>11</v>
      </c>
    </row>
    <row r="108" spans="1:5" x14ac:dyDescent="0.25">
      <c r="A108" t="s">
        <v>1301</v>
      </c>
      <c r="B108" s="64" t="s">
        <v>1278</v>
      </c>
      <c r="C108" s="64" t="s">
        <v>979</v>
      </c>
      <c r="D108" s="64" t="s">
        <v>1305</v>
      </c>
      <c r="E108" s="64">
        <v>12</v>
      </c>
    </row>
    <row r="109" spans="1:5" x14ac:dyDescent="0.25">
      <c r="A109" t="s">
        <v>1302</v>
      </c>
      <c r="B109" s="64" t="s">
        <v>1278</v>
      </c>
      <c r="C109" s="64" t="s">
        <v>979</v>
      </c>
      <c r="D109" s="64" t="s">
        <v>1305</v>
      </c>
      <c r="E109" s="64">
        <v>13</v>
      </c>
    </row>
    <row r="110" spans="1:5" x14ac:dyDescent="0.25">
      <c r="A110" t="s">
        <v>1296</v>
      </c>
      <c r="B110" s="64" t="s">
        <v>1278</v>
      </c>
      <c r="C110" s="64" t="s">
        <v>979</v>
      </c>
      <c r="D110" s="64" t="s">
        <v>1305</v>
      </c>
      <c r="E110" s="64">
        <v>14</v>
      </c>
    </row>
    <row r="111" spans="1:5" x14ac:dyDescent="0.25">
      <c r="A111" t="s">
        <v>33</v>
      </c>
      <c r="B111" s="64" t="s">
        <v>1278</v>
      </c>
      <c r="C111" s="64" t="s">
        <v>979</v>
      </c>
      <c r="D111" s="64" t="s">
        <v>1305</v>
      </c>
      <c r="E111" s="64">
        <v>15</v>
      </c>
    </row>
    <row r="112" spans="1:5" x14ac:dyDescent="0.25">
      <c r="A112" t="s">
        <v>1299</v>
      </c>
      <c r="B112" s="64" t="s">
        <v>1278</v>
      </c>
      <c r="C112" s="64" t="s">
        <v>979</v>
      </c>
      <c r="D112" s="64" t="s">
        <v>1305</v>
      </c>
      <c r="E112" s="64">
        <v>16</v>
      </c>
    </row>
    <row r="113" spans="1:5" x14ac:dyDescent="0.25">
      <c r="A113" t="s">
        <v>374</v>
      </c>
      <c r="B113" s="64" t="s">
        <v>1278</v>
      </c>
      <c r="C113" s="64" t="s">
        <v>979</v>
      </c>
      <c r="D113" s="64" t="s">
        <v>1305</v>
      </c>
      <c r="E113" s="64">
        <v>17</v>
      </c>
    </row>
    <row r="114" spans="1:5" x14ac:dyDescent="0.25">
      <c r="A114" t="s">
        <v>375</v>
      </c>
      <c r="B114" s="64" t="s">
        <v>1278</v>
      </c>
      <c r="C114" s="64" t="s">
        <v>979</v>
      </c>
      <c r="D114" s="64" t="s">
        <v>1305</v>
      </c>
      <c r="E114" s="64">
        <v>18</v>
      </c>
    </row>
    <row r="115" spans="1:5" x14ac:dyDescent="0.25">
      <c r="A115" t="s">
        <v>1300</v>
      </c>
      <c r="B115" s="64" t="s">
        <v>1278</v>
      </c>
      <c r="C115" s="64" t="s">
        <v>979</v>
      </c>
      <c r="D115" s="64" t="s">
        <v>1305</v>
      </c>
      <c r="E115" s="64">
        <v>19</v>
      </c>
    </row>
    <row r="116" spans="1:5" x14ac:dyDescent="0.25">
      <c r="A116" t="s">
        <v>107</v>
      </c>
      <c r="B116" s="64" t="s">
        <v>1279</v>
      </c>
      <c r="C116" s="64" t="s">
        <v>979</v>
      </c>
      <c r="D116" s="64" t="s">
        <v>1305</v>
      </c>
      <c r="E116" s="64">
        <v>1</v>
      </c>
    </row>
    <row r="117" spans="1:5" x14ac:dyDescent="0.25">
      <c r="A117" t="s">
        <v>96</v>
      </c>
      <c r="B117" s="64" t="s">
        <v>1279</v>
      </c>
      <c r="C117" s="64" t="s">
        <v>979</v>
      </c>
      <c r="D117" s="64" t="s">
        <v>1305</v>
      </c>
      <c r="E117" s="64">
        <v>2</v>
      </c>
    </row>
    <row r="118" spans="1:5" x14ac:dyDescent="0.25">
      <c r="A118" t="s">
        <v>1297</v>
      </c>
      <c r="B118" s="64" t="s">
        <v>1279</v>
      </c>
      <c r="C118" s="64" t="s">
        <v>979</v>
      </c>
      <c r="D118" s="64" t="s">
        <v>1305</v>
      </c>
      <c r="E118" s="64">
        <v>3</v>
      </c>
    </row>
    <row r="119" spans="1:5" x14ac:dyDescent="0.25">
      <c r="A119" t="s">
        <v>1303</v>
      </c>
      <c r="B119" s="64" t="s">
        <v>1279</v>
      </c>
      <c r="C119" s="64" t="s">
        <v>979</v>
      </c>
      <c r="D119" s="64" t="s">
        <v>1305</v>
      </c>
      <c r="E119" s="64">
        <v>4</v>
      </c>
    </row>
    <row r="120" spans="1:5" x14ac:dyDescent="0.25">
      <c r="A120" t="s">
        <v>1304</v>
      </c>
      <c r="B120" s="64" t="s">
        <v>1279</v>
      </c>
      <c r="C120" s="64" t="s">
        <v>979</v>
      </c>
      <c r="D120" s="64" t="s">
        <v>1305</v>
      </c>
      <c r="E120" s="64">
        <v>5</v>
      </c>
    </row>
    <row r="121" spans="1:5" x14ac:dyDescent="0.25">
      <c r="A121" t="s">
        <v>1298</v>
      </c>
      <c r="B121" s="64" t="s">
        <v>1279</v>
      </c>
      <c r="C121" s="64" t="s">
        <v>979</v>
      </c>
      <c r="D121" s="64" t="s">
        <v>1305</v>
      </c>
      <c r="E121" s="64">
        <v>6</v>
      </c>
    </row>
    <row r="122" spans="1:5" x14ac:dyDescent="0.25">
      <c r="A122" t="s">
        <v>65</v>
      </c>
      <c r="B122" s="64" t="s">
        <v>1279</v>
      </c>
      <c r="C122" s="64" t="s">
        <v>979</v>
      </c>
      <c r="D122" s="64" t="s">
        <v>1305</v>
      </c>
      <c r="E122" s="64">
        <v>7</v>
      </c>
    </row>
    <row r="123" spans="1:5" x14ac:dyDescent="0.25">
      <c r="A123" t="s">
        <v>32</v>
      </c>
      <c r="B123" s="64" t="s">
        <v>1279</v>
      </c>
      <c r="C123" s="64" t="s">
        <v>979</v>
      </c>
      <c r="D123" s="64" t="s">
        <v>1305</v>
      </c>
      <c r="E123" s="64">
        <v>8</v>
      </c>
    </row>
    <row r="124" spans="1:5" x14ac:dyDescent="0.25">
      <c r="A124" t="s">
        <v>44</v>
      </c>
      <c r="B124" s="64" t="s">
        <v>1279</v>
      </c>
      <c r="C124" s="64" t="s">
        <v>979</v>
      </c>
      <c r="D124" s="64" t="s">
        <v>1305</v>
      </c>
      <c r="E124" s="64">
        <v>9</v>
      </c>
    </row>
    <row r="125" spans="1:5" x14ac:dyDescent="0.25">
      <c r="A125" t="s">
        <v>147</v>
      </c>
      <c r="B125" s="64" t="s">
        <v>1279</v>
      </c>
      <c r="C125" s="64" t="s">
        <v>979</v>
      </c>
      <c r="D125" s="64" t="s">
        <v>1305</v>
      </c>
      <c r="E125" s="64">
        <v>10</v>
      </c>
    </row>
    <row r="126" spans="1:5" x14ac:dyDescent="0.25">
      <c r="A126" t="s">
        <v>898</v>
      </c>
      <c r="B126" s="64" t="s">
        <v>1279</v>
      </c>
      <c r="C126" s="64" t="s">
        <v>979</v>
      </c>
      <c r="D126" s="64" t="s">
        <v>1305</v>
      </c>
      <c r="E126" s="64">
        <v>11</v>
      </c>
    </row>
    <row r="127" spans="1:5" x14ac:dyDescent="0.25">
      <c r="A127" t="s">
        <v>1301</v>
      </c>
      <c r="B127" s="64" t="s">
        <v>1279</v>
      </c>
      <c r="C127" s="64" t="s">
        <v>979</v>
      </c>
      <c r="D127" s="64" t="s">
        <v>1305</v>
      </c>
      <c r="E127" s="64">
        <v>12</v>
      </c>
    </row>
    <row r="128" spans="1:5" x14ac:dyDescent="0.25">
      <c r="A128" t="s">
        <v>1302</v>
      </c>
      <c r="B128" s="64" t="s">
        <v>1279</v>
      </c>
      <c r="C128" s="64" t="s">
        <v>979</v>
      </c>
      <c r="D128" s="64" t="s">
        <v>1305</v>
      </c>
      <c r="E128" s="64">
        <v>13</v>
      </c>
    </row>
    <row r="129" spans="1:5" x14ac:dyDescent="0.25">
      <c r="A129" t="s">
        <v>1296</v>
      </c>
      <c r="B129" s="64" t="s">
        <v>1279</v>
      </c>
      <c r="C129" s="64" t="s">
        <v>979</v>
      </c>
      <c r="D129" s="64" t="s">
        <v>1305</v>
      </c>
      <c r="E129" s="64">
        <v>14</v>
      </c>
    </row>
    <row r="130" spans="1:5" x14ac:dyDescent="0.25">
      <c r="A130" t="s">
        <v>33</v>
      </c>
      <c r="B130" s="64" t="s">
        <v>1279</v>
      </c>
      <c r="C130" s="64" t="s">
        <v>979</v>
      </c>
      <c r="D130" s="64" t="s">
        <v>1305</v>
      </c>
      <c r="E130" s="64">
        <v>15</v>
      </c>
    </row>
    <row r="131" spans="1:5" x14ac:dyDescent="0.25">
      <c r="A131" t="s">
        <v>1299</v>
      </c>
      <c r="B131" s="64" t="s">
        <v>1279</v>
      </c>
      <c r="C131" s="64" t="s">
        <v>979</v>
      </c>
      <c r="D131" s="64" t="s">
        <v>1305</v>
      </c>
      <c r="E131" s="64">
        <v>16</v>
      </c>
    </row>
    <row r="132" spans="1:5" x14ac:dyDescent="0.25">
      <c r="A132" t="s">
        <v>374</v>
      </c>
      <c r="B132" s="64" t="s">
        <v>1279</v>
      </c>
      <c r="C132" s="64" t="s">
        <v>979</v>
      </c>
      <c r="D132" s="64" t="s">
        <v>1305</v>
      </c>
      <c r="E132" s="64">
        <v>17</v>
      </c>
    </row>
    <row r="133" spans="1:5" x14ac:dyDescent="0.25">
      <c r="A133" t="s">
        <v>375</v>
      </c>
      <c r="B133" s="64" t="s">
        <v>1279</v>
      </c>
      <c r="C133" s="64" t="s">
        <v>979</v>
      </c>
      <c r="D133" s="64" t="s">
        <v>1305</v>
      </c>
      <c r="E133" s="64">
        <v>18</v>
      </c>
    </row>
    <row r="134" spans="1:5" x14ac:dyDescent="0.25">
      <c r="A134" t="s">
        <v>1300</v>
      </c>
      <c r="B134" s="64" t="s">
        <v>1279</v>
      </c>
      <c r="C134" s="64" t="s">
        <v>979</v>
      </c>
      <c r="D134" s="64" t="s">
        <v>1305</v>
      </c>
      <c r="E134" s="64">
        <v>19</v>
      </c>
    </row>
    <row r="135" spans="1:5" x14ac:dyDescent="0.25">
      <c r="A135" t="s">
        <v>107</v>
      </c>
      <c r="B135" s="64" t="s">
        <v>1280</v>
      </c>
      <c r="C135" s="64" t="s">
        <v>979</v>
      </c>
      <c r="D135" s="64" t="s">
        <v>1305</v>
      </c>
      <c r="E135" s="64">
        <v>1</v>
      </c>
    </row>
    <row r="136" spans="1:5" x14ac:dyDescent="0.25">
      <c r="A136" t="s">
        <v>96</v>
      </c>
      <c r="B136" s="64" t="s">
        <v>1280</v>
      </c>
      <c r="C136" s="64" t="s">
        <v>979</v>
      </c>
      <c r="D136" s="64" t="s">
        <v>1305</v>
      </c>
      <c r="E136" s="64">
        <v>2</v>
      </c>
    </row>
    <row r="137" spans="1:5" x14ac:dyDescent="0.25">
      <c r="A137" t="s">
        <v>1297</v>
      </c>
      <c r="B137" s="64" t="s">
        <v>1280</v>
      </c>
      <c r="C137" s="64" t="s">
        <v>979</v>
      </c>
      <c r="D137" s="64" t="s">
        <v>1305</v>
      </c>
      <c r="E137" s="64">
        <v>3</v>
      </c>
    </row>
    <row r="138" spans="1:5" x14ac:dyDescent="0.25">
      <c r="A138" t="s">
        <v>1303</v>
      </c>
      <c r="B138" s="64" t="s">
        <v>1280</v>
      </c>
      <c r="C138" s="64" t="s">
        <v>979</v>
      </c>
      <c r="D138" s="64" t="s">
        <v>1305</v>
      </c>
      <c r="E138" s="64">
        <v>4</v>
      </c>
    </row>
    <row r="139" spans="1:5" x14ac:dyDescent="0.25">
      <c r="A139" t="s">
        <v>1304</v>
      </c>
      <c r="B139" s="64" t="s">
        <v>1280</v>
      </c>
      <c r="C139" s="64" t="s">
        <v>979</v>
      </c>
      <c r="D139" s="64" t="s">
        <v>1305</v>
      </c>
      <c r="E139" s="64">
        <v>5</v>
      </c>
    </row>
    <row r="140" spans="1:5" x14ac:dyDescent="0.25">
      <c r="A140" t="s">
        <v>1298</v>
      </c>
      <c r="B140" s="64" t="s">
        <v>1280</v>
      </c>
      <c r="C140" s="64" t="s">
        <v>979</v>
      </c>
      <c r="D140" s="64" t="s">
        <v>1305</v>
      </c>
      <c r="E140" s="64">
        <v>6</v>
      </c>
    </row>
    <row r="141" spans="1:5" x14ac:dyDescent="0.25">
      <c r="A141" t="s">
        <v>65</v>
      </c>
      <c r="B141" s="64" t="s">
        <v>1280</v>
      </c>
      <c r="C141" s="64" t="s">
        <v>979</v>
      </c>
      <c r="D141" s="64" t="s">
        <v>1305</v>
      </c>
      <c r="E141" s="64">
        <v>7</v>
      </c>
    </row>
    <row r="142" spans="1:5" x14ac:dyDescent="0.25">
      <c r="A142" t="s">
        <v>32</v>
      </c>
      <c r="B142" s="64" t="s">
        <v>1280</v>
      </c>
      <c r="C142" s="64" t="s">
        <v>979</v>
      </c>
      <c r="D142" s="64" t="s">
        <v>1305</v>
      </c>
      <c r="E142" s="64">
        <v>8</v>
      </c>
    </row>
    <row r="143" spans="1:5" x14ac:dyDescent="0.25">
      <c r="A143" t="s">
        <v>44</v>
      </c>
      <c r="B143" s="64" t="s">
        <v>1280</v>
      </c>
      <c r="C143" s="64" t="s">
        <v>979</v>
      </c>
      <c r="D143" s="64" t="s">
        <v>1305</v>
      </c>
      <c r="E143" s="64">
        <v>9</v>
      </c>
    </row>
    <row r="144" spans="1:5" x14ac:dyDescent="0.25">
      <c r="A144" t="s">
        <v>147</v>
      </c>
      <c r="B144" s="64" t="s">
        <v>1280</v>
      </c>
      <c r="C144" s="64" t="s">
        <v>979</v>
      </c>
      <c r="D144" s="64" t="s">
        <v>1305</v>
      </c>
      <c r="E144" s="64">
        <v>10</v>
      </c>
    </row>
    <row r="145" spans="1:5" x14ac:dyDescent="0.25">
      <c r="A145" t="s">
        <v>898</v>
      </c>
      <c r="B145" s="64" t="s">
        <v>1280</v>
      </c>
      <c r="C145" s="64" t="s">
        <v>979</v>
      </c>
      <c r="D145" s="64" t="s">
        <v>1305</v>
      </c>
      <c r="E145" s="64">
        <v>11</v>
      </c>
    </row>
    <row r="146" spans="1:5" x14ac:dyDescent="0.25">
      <c r="A146" t="s">
        <v>1301</v>
      </c>
      <c r="B146" s="64" t="s">
        <v>1280</v>
      </c>
      <c r="C146" s="64" t="s">
        <v>979</v>
      </c>
      <c r="D146" s="64" t="s">
        <v>1305</v>
      </c>
      <c r="E146" s="64">
        <v>12</v>
      </c>
    </row>
    <row r="147" spans="1:5" x14ac:dyDescent="0.25">
      <c r="A147" t="s">
        <v>1302</v>
      </c>
      <c r="B147" s="64" t="s">
        <v>1280</v>
      </c>
      <c r="C147" s="64" t="s">
        <v>979</v>
      </c>
      <c r="D147" s="64" t="s">
        <v>1305</v>
      </c>
      <c r="E147" s="64">
        <v>13</v>
      </c>
    </row>
    <row r="148" spans="1:5" x14ac:dyDescent="0.25">
      <c r="A148" t="s">
        <v>1296</v>
      </c>
      <c r="B148" s="64" t="s">
        <v>1280</v>
      </c>
      <c r="C148" s="64" t="s">
        <v>979</v>
      </c>
      <c r="D148" s="64" t="s">
        <v>1305</v>
      </c>
      <c r="E148" s="64">
        <v>14</v>
      </c>
    </row>
    <row r="149" spans="1:5" x14ac:dyDescent="0.25">
      <c r="A149" t="s">
        <v>33</v>
      </c>
      <c r="B149" s="64" t="s">
        <v>1280</v>
      </c>
      <c r="C149" s="64" t="s">
        <v>979</v>
      </c>
      <c r="D149" s="64" t="s">
        <v>1305</v>
      </c>
      <c r="E149" s="64">
        <v>15</v>
      </c>
    </row>
    <row r="150" spans="1:5" x14ac:dyDescent="0.25">
      <c r="A150" t="s">
        <v>1299</v>
      </c>
      <c r="B150" s="64" t="s">
        <v>1280</v>
      </c>
      <c r="C150" s="64" t="s">
        <v>979</v>
      </c>
      <c r="D150" s="64" t="s">
        <v>1305</v>
      </c>
      <c r="E150" s="64">
        <v>16</v>
      </c>
    </row>
    <row r="151" spans="1:5" x14ac:dyDescent="0.25">
      <c r="A151" t="s">
        <v>374</v>
      </c>
      <c r="B151" s="64" t="s">
        <v>1280</v>
      </c>
      <c r="C151" s="64" t="s">
        <v>979</v>
      </c>
      <c r="D151" s="64" t="s">
        <v>1305</v>
      </c>
      <c r="E151" s="64">
        <v>17</v>
      </c>
    </row>
    <row r="152" spans="1:5" x14ac:dyDescent="0.25">
      <c r="A152" t="s">
        <v>375</v>
      </c>
      <c r="B152" s="64" t="s">
        <v>1280</v>
      </c>
      <c r="C152" s="64" t="s">
        <v>979</v>
      </c>
      <c r="D152" s="64" t="s">
        <v>1305</v>
      </c>
      <c r="E152" s="64">
        <v>18</v>
      </c>
    </row>
    <row r="153" spans="1:5" x14ac:dyDescent="0.25">
      <c r="A153" t="s">
        <v>1300</v>
      </c>
      <c r="B153" s="64" t="s">
        <v>1280</v>
      </c>
      <c r="C153" s="64" t="s">
        <v>979</v>
      </c>
      <c r="D153" s="64" t="s">
        <v>1305</v>
      </c>
      <c r="E153" s="64">
        <v>19</v>
      </c>
    </row>
    <row r="154" spans="1:5" x14ac:dyDescent="0.25">
      <c r="A154" s="46" t="s">
        <v>107</v>
      </c>
      <c r="B154" s="64" t="s">
        <v>1281</v>
      </c>
      <c r="C154" s="64" t="s">
        <v>979</v>
      </c>
      <c r="D154" s="64" t="s">
        <v>1305</v>
      </c>
      <c r="E154" s="64">
        <v>1</v>
      </c>
    </row>
    <row r="155" spans="1:5" x14ac:dyDescent="0.25">
      <c r="A155" s="46" t="s">
        <v>96</v>
      </c>
      <c r="B155" s="64" t="s">
        <v>1281</v>
      </c>
      <c r="C155" s="64" t="s">
        <v>979</v>
      </c>
      <c r="D155" s="64" t="s">
        <v>1305</v>
      </c>
      <c r="E155" s="64">
        <v>2</v>
      </c>
    </row>
    <row r="156" spans="1:5" x14ac:dyDescent="0.25">
      <c r="A156" s="46" t="s">
        <v>1297</v>
      </c>
      <c r="B156" s="64" t="s">
        <v>1281</v>
      </c>
      <c r="C156" s="64" t="s">
        <v>979</v>
      </c>
      <c r="D156" s="64" t="s">
        <v>1305</v>
      </c>
      <c r="E156" s="64">
        <v>3</v>
      </c>
    </row>
    <row r="157" spans="1:5" x14ac:dyDescent="0.25">
      <c r="A157" s="46" t="s">
        <v>1303</v>
      </c>
      <c r="B157" s="64" t="s">
        <v>1281</v>
      </c>
      <c r="C157" s="64" t="s">
        <v>979</v>
      </c>
      <c r="D157" s="64" t="s">
        <v>1305</v>
      </c>
      <c r="E157" s="64">
        <v>4</v>
      </c>
    </row>
    <row r="158" spans="1:5" x14ac:dyDescent="0.25">
      <c r="A158" s="46" t="s">
        <v>1304</v>
      </c>
      <c r="B158" s="64" t="s">
        <v>1281</v>
      </c>
      <c r="C158" s="64" t="s">
        <v>979</v>
      </c>
      <c r="D158" s="64" t="s">
        <v>1305</v>
      </c>
      <c r="E158" s="64">
        <v>5</v>
      </c>
    </row>
    <row r="159" spans="1:5" x14ac:dyDescent="0.25">
      <c r="A159" s="46" t="s">
        <v>1298</v>
      </c>
      <c r="B159" s="64" t="s">
        <v>1281</v>
      </c>
      <c r="C159" s="64" t="s">
        <v>979</v>
      </c>
      <c r="D159" s="64" t="s">
        <v>1305</v>
      </c>
      <c r="E159" s="64">
        <v>6</v>
      </c>
    </row>
    <row r="160" spans="1:5" x14ac:dyDescent="0.25">
      <c r="A160" s="46" t="s">
        <v>65</v>
      </c>
      <c r="B160" s="64" t="s">
        <v>1281</v>
      </c>
      <c r="C160" s="64" t="s">
        <v>979</v>
      </c>
      <c r="D160" s="64" t="s">
        <v>1305</v>
      </c>
      <c r="E160" s="64">
        <v>7</v>
      </c>
    </row>
    <row r="161" spans="1:5" x14ac:dyDescent="0.25">
      <c r="A161" s="46" t="s">
        <v>32</v>
      </c>
      <c r="B161" s="64" t="s">
        <v>1281</v>
      </c>
      <c r="C161" s="64" t="s">
        <v>979</v>
      </c>
      <c r="D161" s="64" t="s">
        <v>1305</v>
      </c>
      <c r="E161" s="64">
        <v>8</v>
      </c>
    </row>
    <row r="162" spans="1:5" x14ac:dyDescent="0.25">
      <c r="A162" s="46" t="s">
        <v>44</v>
      </c>
      <c r="B162" s="64" t="s">
        <v>1281</v>
      </c>
      <c r="C162" s="64" t="s">
        <v>979</v>
      </c>
      <c r="D162" s="64" t="s">
        <v>1305</v>
      </c>
      <c r="E162" s="64">
        <v>9</v>
      </c>
    </row>
    <row r="163" spans="1:5" x14ac:dyDescent="0.25">
      <c r="A163" s="46" t="s">
        <v>147</v>
      </c>
      <c r="B163" s="64" t="s">
        <v>1281</v>
      </c>
      <c r="C163" s="64" t="s">
        <v>979</v>
      </c>
      <c r="D163" s="64" t="s">
        <v>1305</v>
      </c>
      <c r="E163" s="64">
        <v>10</v>
      </c>
    </row>
    <row r="164" spans="1:5" x14ac:dyDescent="0.25">
      <c r="A164" s="46" t="s">
        <v>898</v>
      </c>
      <c r="B164" s="64" t="s">
        <v>1281</v>
      </c>
      <c r="C164" s="64" t="s">
        <v>979</v>
      </c>
      <c r="D164" s="64" t="s">
        <v>1305</v>
      </c>
      <c r="E164" s="64">
        <v>11</v>
      </c>
    </row>
    <row r="165" spans="1:5" x14ac:dyDescent="0.25">
      <c r="A165" s="46" t="s">
        <v>1301</v>
      </c>
      <c r="B165" s="64" t="s">
        <v>1281</v>
      </c>
      <c r="C165" s="64" t="s">
        <v>979</v>
      </c>
      <c r="D165" s="64" t="s">
        <v>1305</v>
      </c>
      <c r="E165" s="64">
        <v>12</v>
      </c>
    </row>
    <row r="166" spans="1:5" x14ac:dyDescent="0.25">
      <c r="A166" s="46" t="s">
        <v>1302</v>
      </c>
      <c r="B166" s="64" t="s">
        <v>1281</v>
      </c>
      <c r="C166" s="64" t="s">
        <v>979</v>
      </c>
      <c r="D166" s="64" t="s">
        <v>1305</v>
      </c>
      <c r="E166" s="64">
        <v>13</v>
      </c>
    </row>
    <row r="167" spans="1:5" x14ac:dyDescent="0.25">
      <c r="A167" s="46" t="s">
        <v>1296</v>
      </c>
      <c r="B167" s="64" t="s">
        <v>1281</v>
      </c>
      <c r="C167" s="64" t="s">
        <v>979</v>
      </c>
      <c r="D167" s="64" t="s">
        <v>1305</v>
      </c>
      <c r="E167" s="64">
        <v>14</v>
      </c>
    </row>
    <row r="168" spans="1:5" x14ac:dyDescent="0.25">
      <c r="A168" s="46" t="s">
        <v>33</v>
      </c>
      <c r="B168" s="64" t="s">
        <v>1281</v>
      </c>
      <c r="C168" s="64" t="s">
        <v>979</v>
      </c>
      <c r="D168" s="64" t="s">
        <v>1305</v>
      </c>
      <c r="E168" s="64">
        <v>15</v>
      </c>
    </row>
    <row r="169" spans="1:5" x14ac:dyDescent="0.25">
      <c r="A169" s="46" t="s">
        <v>1299</v>
      </c>
      <c r="B169" s="64" t="s">
        <v>1281</v>
      </c>
      <c r="C169" s="64" t="s">
        <v>979</v>
      </c>
      <c r="D169" s="64" t="s">
        <v>1305</v>
      </c>
      <c r="E169" s="64">
        <v>16</v>
      </c>
    </row>
    <row r="170" spans="1:5" x14ac:dyDescent="0.25">
      <c r="A170" s="46" t="s">
        <v>374</v>
      </c>
      <c r="B170" s="64" t="s">
        <v>1281</v>
      </c>
      <c r="C170" s="64" t="s">
        <v>979</v>
      </c>
      <c r="D170" s="64" t="s">
        <v>1305</v>
      </c>
      <c r="E170" s="64">
        <v>17</v>
      </c>
    </row>
    <row r="171" spans="1:5" x14ac:dyDescent="0.25">
      <c r="A171" s="46" t="s">
        <v>375</v>
      </c>
      <c r="B171" s="64" t="s">
        <v>1281</v>
      </c>
      <c r="C171" s="64" t="s">
        <v>979</v>
      </c>
      <c r="D171" s="64" t="s">
        <v>1305</v>
      </c>
      <c r="E171" s="64">
        <v>18</v>
      </c>
    </row>
    <row r="172" spans="1:5" x14ac:dyDescent="0.25">
      <c r="A172" s="46" t="s">
        <v>1300</v>
      </c>
      <c r="B172" s="64" t="s">
        <v>1281</v>
      </c>
      <c r="C172" s="64" t="s">
        <v>979</v>
      </c>
      <c r="D172" s="64" t="s">
        <v>1305</v>
      </c>
      <c r="E172" s="64">
        <v>19</v>
      </c>
    </row>
    <row r="173" spans="1:5" x14ac:dyDescent="0.25">
      <c r="A173" s="64" t="s">
        <v>107</v>
      </c>
      <c r="B173" s="64" t="s">
        <v>978</v>
      </c>
      <c r="C173" s="64" t="s">
        <v>979</v>
      </c>
      <c r="D173" s="64" t="s">
        <v>1305</v>
      </c>
      <c r="E173" s="64">
        <v>1</v>
      </c>
    </row>
    <row r="174" spans="1:5" x14ac:dyDescent="0.25">
      <c r="A174" s="64" t="s">
        <v>96</v>
      </c>
      <c r="B174" s="64" t="s">
        <v>978</v>
      </c>
      <c r="C174" s="64" t="s">
        <v>979</v>
      </c>
      <c r="D174" s="64" t="s">
        <v>1305</v>
      </c>
      <c r="E174" s="64">
        <v>2</v>
      </c>
    </row>
    <row r="175" spans="1:5" x14ac:dyDescent="0.25">
      <c r="A175" s="64" t="s">
        <v>1297</v>
      </c>
      <c r="B175" s="64" t="s">
        <v>978</v>
      </c>
      <c r="C175" s="64" t="s">
        <v>979</v>
      </c>
      <c r="D175" s="64" t="s">
        <v>1305</v>
      </c>
      <c r="E175" s="64">
        <v>3</v>
      </c>
    </row>
    <row r="176" spans="1:5" x14ac:dyDescent="0.25">
      <c r="A176" s="64" t="s">
        <v>1303</v>
      </c>
      <c r="B176" s="64" t="s">
        <v>978</v>
      </c>
      <c r="C176" s="64" t="s">
        <v>979</v>
      </c>
      <c r="D176" s="64" t="s">
        <v>1305</v>
      </c>
      <c r="E176" s="64">
        <v>4</v>
      </c>
    </row>
    <row r="177" spans="1:5" x14ac:dyDescent="0.25">
      <c r="A177" s="64" t="s">
        <v>1304</v>
      </c>
      <c r="B177" s="64" t="s">
        <v>978</v>
      </c>
      <c r="C177" s="64" t="s">
        <v>979</v>
      </c>
      <c r="D177" s="64" t="s">
        <v>1305</v>
      </c>
      <c r="E177" s="64">
        <v>5</v>
      </c>
    </row>
    <row r="178" spans="1:5" x14ac:dyDescent="0.25">
      <c r="A178" s="64" t="s">
        <v>1298</v>
      </c>
      <c r="B178" s="64" t="s">
        <v>978</v>
      </c>
      <c r="C178" s="64" t="s">
        <v>979</v>
      </c>
      <c r="D178" s="64" t="s">
        <v>1305</v>
      </c>
      <c r="E178" s="64">
        <v>6</v>
      </c>
    </row>
    <row r="179" spans="1:5" x14ac:dyDescent="0.25">
      <c r="A179" s="64" t="s">
        <v>65</v>
      </c>
      <c r="B179" s="64" t="s">
        <v>978</v>
      </c>
      <c r="C179" s="64" t="s">
        <v>979</v>
      </c>
      <c r="D179" s="64" t="s">
        <v>1305</v>
      </c>
      <c r="E179" s="64">
        <v>7</v>
      </c>
    </row>
    <row r="180" spans="1:5" x14ac:dyDescent="0.25">
      <c r="A180" s="64" t="s">
        <v>32</v>
      </c>
      <c r="B180" s="64" t="s">
        <v>978</v>
      </c>
      <c r="C180" s="64" t="s">
        <v>979</v>
      </c>
      <c r="D180" s="64" t="s">
        <v>1305</v>
      </c>
      <c r="E180" s="64">
        <v>8</v>
      </c>
    </row>
    <row r="181" spans="1:5" x14ac:dyDescent="0.25">
      <c r="A181" s="64" t="s">
        <v>44</v>
      </c>
      <c r="B181" s="64" t="s">
        <v>978</v>
      </c>
      <c r="C181" s="64" t="s">
        <v>979</v>
      </c>
      <c r="D181" s="64" t="s">
        <v>1305</v>
      </c>
      <c r="E181" s="64">
        <v>9</v>
      </c>
    </row>
    <row r="182" spans="1:5" x14ac:dyDescent="0.25">
      <c r="A182" s="64" t="s">
        <v>147</v>
      </c>
      <c r="B182" s="64" t="s">
        <v>978</v>
      </c>
      <c r="C182" s="64" t="s">
        <v>979</v>
      </c>
      <c r="D182" s="64" t="s">
        <v>1305</v>
      </c>
      <c r="E182" s="64">
        <v>10</v>
      </c>
    </row>
    <row r="183" spans="1:5" x14ac:dyDescent="0.25">
      <c r="A183" s="64" t="s">
        <v>898</v>
      </c>
      <c r="B183" s="64" t="s">
        <v>978</v>
      </c>
      <c r="C183" s="64" t="s">
        <v>979</v>
      </c>
      <c r="D183" s="64" t="s">
        <v>1305</v>
      </c>
      <c r="E183" s="64">
        <v>11</v>
      </c>
    </row>
    <row r="184" spans="1:5" x14ac:dyDescent="0.25">
      <c r="A184" s="64" t="s">
        <v>1301</v>
      </c>
      <c r="B184" s="64" t="s">
        <v>978</v>
      </c>
      <c r="C184" s="64" t="s">
        <v>979</v>
      </c>
      <c r="D184" s="64" t="s">
        <v>1305</v>
      </c>
      <c r="E184" s="64">
        <v>12</v>
      </c>
    </row>
    <row r="185" spans="1:5" x14ac:dyDescent="0.25">
      <c r="A185" s="64" t="s">
        <v>1302</v>
      </c>
      <c r="B185" s="64" t="s">
        <v>978</v>
      </c>
      <c r="C185" s="64" t="s">
        <v>979</v>
      </c>
      <c r="D185" s="64" t="s">
        <v>1305</v>
      </c>
      <c r="E185" s="64">
        <v>13</v>
      </c>
    </row>
    <row r="186" spans="1:5" x14ac:dyDescent="0.25">
      <c r="A186" s="64" t="s">
        <v>1296</v>
      </c>
      <c r="B186" s="64" t="s">
        <v>978</v>
      </c>
      <c r="C186" s="64" t="s">
        <v>979</v>
      </c>
      <c r="D186" s="64" t="s">
        <v>1305</v>
      </c>
      <c r="E186" s="64">
        <v>14</v>
      </c>
    </row>
    <row r="187" spans="1:5" x14ac:dyDescent="0.25">
      <c r="A187" s="64" t="s">
        <v>33</v>
      </c>
      <c r="B187" s="64" t="s">
        <v>978</v>
      </c>
      <c r="C187" s="64" t="s">
        <v>979</v>
      </c>
      <c r="D187" s="64" t="s">
        <v>1305</v>
      </c>
      <c r="E187" s="64">
        <v>15</v>
      </c>
    </row>
    <row r="188" spans="1:5" x14ac:dyDescent="0.25">
      <c r="A188" s="64" t="s">
        <v>1299</v>
      </c>
      <c r="B188" s="64" t="s">
        <v>978</v>
      </c>
      <c r="C188" s="64" t="s">
        <v>979</v>
      </c>
      <c r="D188" s="64" t="s">
        <v>1305</v>
      </c>
      <c r="E188" s="64">
        <v>16</v>
      </c>
    </row>
    <row r="189" spans="1:5" x14ac:dyDescent="0.25">
      <c r="A189" s="64" t="s">
        <v>374</v>
      </c>
      <c r="B189" s="64" t="s">
        <v>978</v>
      </c>
      <c r="C189" s="64" t="s">
        <v>979</v>
      </c>
      <c r="D189" s="64" t="s">
        <v>1305</v>
      </c>
      <c r="E189" s="64">
        <v>17</v>
      </c>
    </row>
    <row r="190" spans="1:5" x14ac:dyDescent="0.25">
      <c r="A190" s="64" t="s">
        <v>375</v>
      </c>
      <c r="B190" s="64" t="s">
        <v>978</v>
      </c>
      <c r="C190" s="64" t="s">
        <v>979</v>
      </c>
      <c r="D190" s="64" t="s">
        <v>1305</v>
      </c>
      <c r="E190" s="64">
        <v>18</v>
      </c>
    </row>
    <row r="191" spans="1:5" x14ac:dyDescent="0.25">
      <c r="A191" s="64" t="s">
        <v>1300</v>
      </c>
      <c r="B191" s="64" t="s">
        <v>978</v>
      </c>
      <c r="C191" s="64" t="s">
        <v>979</v>
      </c>
      <c r="D191" s="64" t="s">
        <v>1305</v>
      </c>
      <c r="E191" s="64">
        <v>19</v>
      </c>
    </row>
  </sheetData>
  <sortState xmlns:xlrd2="http://schemas.microsoft.com/office/spreadsheetml/2017/richdata2" ref="A2:E191">
    <sortCondition ref="B1:B1048576"/>
    <sortCondition ref="A1:A1048576"/>
  </sortState>
  <pageMargins left="0.511811024" right="0.511811024" top="0.78740157499999996" bottom="0.78740157499999996" header="0.31496062000000002" footer="0.31496062000000002"/>
  <pageSetup paperSize="9" orientation="portrait" horizontalDpi="4294967294" verticalDpi="4294967294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1">
    <tabColor rgb="FF0066FF"/>
  </sheetPr>
  <dimension ref="A1:AE1181"/>
  <sheetViews>
    <sheetView zoomScaleNormal="100" workbookViewId="0">
      <pane ySplit="3" topLeftCell="A4" activePane="bottomLeft" state="frozen"/>
      <selection activeCell="H30" sqref="H30"/>
      <selection pane="bottomLeft" activeCell="A25" sqref="A25"/>
    </sheetView>
  </sheetViews>
  <sheetFormatPr defaultColWidth="9.140625" defaultRowHeight="15" x14ac:dyDescent="0.25"/>
  <cols>
    <col min="1" max="1" width="10.5703125" style="1" bestFit="1" customWidth="1"/>
    <col min="2" max="2" width="10.140625" style="1" bestFit="1" customWidth="1"/>
    <col min="3" max="3" width="7" style="1" bestFit="1" customWidth="1"/>
    <col min="4" max="4" width="6.42578125" style="1" customWidth="1"/>
    <col min="5" max="5" width="14.42578125" bestFit="1" customWidth="1"/>
    <col min="6" max="6" width="14.7109375" style="1" bestFit="1" customWidth="1"/>
    <col min="7" max="7" width="7.7109375" style="1" customWidth="1"/>
    <col min="8" max="9" width="10.42578125" style="1" bestFit="1" customWidth="1"/>
    <col min="10" max="10" width="8" style="2" bestFit="1" customWidth="1"/>
    <col min="11" max="19" width="8.42578125" style="1" bestFit="1" customWidth="1"/>
    <col min="20" max="20" width="8.5703125" style="1" bestFit="1" customWidth="1"/>
    <col min="21" max="21" width="10.42578125" style="1" bestFit="1" customWidth="1"/>
    <col min="22" max="22" width="9.140625" style="1"/>
    <col min="23" max="23" width="11.85546875" style="1" customWidth="1"/>
    <col min="24" max="24" width="9" customWidth="1"/>
    <col min="25" max="16384" width="9.140625" style="1"/>
  </cols>
  <sheetData>
    <row r="1" spans="1:31" x14ac:dyDescent="0.25">
      <c r="E1" s="1"/>
      <c r="J1" s="2" t="s">
        <v>418</v>
      </c>
      <c r="L1" s="8">
        <v>15000</v>
      </c>
      <c r="M1" s="8">
        <v>10000</v>
      </c>
      <c r="N1" s="8">
        <v>3200</v>
      </c>
      <c r="O1" s="8">
        <v>1600</v>
      </c>
      <c r="P1" s="8">
        <v>800</v>
      </c>
      <c r="Q1" s="8">
        <v>200</v>
      </c>
      <c r="R1" s="8">
        <v>150</v>
      </c>
      <c r="S1" s="8">
        <v>100</v>
      </c>
      <c r="T1" s="8">
        <v>50</v>
      </c>
      <c r="X1" s="46"/>
    </row>
    <row r="2" spans="1:31" x14ac:dyDescent="0.25">
      <c r="E2" s="1"/>
      <c r="K2" s="8">
        <v>1325</v>
      </c>
      <c r="L2" s="8">
        <v>1000</v>
      </c>
      <c r="M2" s="8">
        <v>700</v>
      </c>
      <c r="N2" s="8">
        <v>450</v>
      </c>
      <c r="O2" s="8">
        <v>250</v>
      </c>
      <c r="P2" s="8">
        <v>100</v>
      </c>
      <c r="Q2" s="8">
        <v>40</v>
      </c>
      <c r="R2" s="8">
        <v>22.5</v>
      </c>
      <c r="S2" s="8">
        <v>10</v>
      </c>
      <c r="T2" s="8">
        <v>2.5</v>
      </c>
    </row>
    <row r="3" spans="1:31" x14ac:dyDescent="0.25">
      <c r="A3" s="4" t="s">
        <v>31</v>
      </c>
      <c r="B3" s="4" t="s">
        <v>34</v>
      </c>
      <c r="C3" s="4" t="s">
        <v>35</v>
      </c>
      <c r="D3" s="4" t="s">
        <v>377</v>
      </c>
      <c r="E3" s="30" t="s">
        <v>974</v>
      </c>
      <c r="F3" s="4" t="s">
        <v>30</v>
      </c>
      <c r="G3" s="4" t="s">
        <v>28</v>
      </c>
      <c r="H3" s="5" t="s">
        <v>379</v>
      </c>
      <c r="I3" s="6" t="s">
        <v>376</v>
      </c>
      <c r="J3" s="6" t="s">
        <v>378</v>
      </c>
      <c r="K3" s="12">
        <v>1.7299999999999999E-2</v>
      </c>
      <c r="L3" s="12">
        <v>5.8599999999999999E-2</v>
      </c>
      <c r="M3" s="12">
        <v>7.2900000000000006E-2</v>
      </c>
      <c r="N3" s="12">
        <v>0.1227</v>
      </c>
      <c r="O3" s="12">
        <v>0.2392</v>
      </c>
      <c r="P3" s="12">
        <v>0.2321</v>
      </c>
      <c r="Q3" s="12">
        <v>7.3400000000000007E-2</v>
      </c>
      <c r="R3" s="12">
        <v>6.83E-2</v>
      </c>
      <c r="S3" s="12">
        <v>6.9900000000000004E-2</v>
      </c>
      <c r="T3" s="12">
        <v>4.5600000000000002E-2</v>
      </c>
      <c r="U3" s="1" t="s">
        <v>642</v>
      </c>
      <c r="V3" s="1" t="s">
        <v>643</v>
      </c>
      <c r="W3" s="1" t="s">
        <v>644</v>
      </c>
      <c r="Y3" s="1" t="s">
        <v>727</v>
      </c>
      <c r="Z3" s="1" t="s">
        <v>657</v>
      </c>
      <c r="AA3" s="1" t="s">
        <v>655</v>
      </c>
      <c r="AB3" s="1" t="s">
        <v>656</v>
      </c>
      <c r="AC3" s="1" t="s">
        <v>932</v>
      </c>
      <c r="AD3" s="1" t="s">
        <v>1273</v>
      </c>
      <c r="AE3" s="1" t="s">
        <v>1274</v>
      </c>
    </row>
    <row r="4" spans="1:31" x14ac:dyDescent="0.25">
      <c r="A4" s="76">
        <v>3</v>
      </c>
      <c r="B4" s="76" t="s">
        <v>54</v>
      </c>
      <c r="C4" s="76">
        <v>1991</v>
      </c>
      <c r="D4" s="76" t="str">
        <f>LEFT(F4,4)</f>
        <v>A91T</v>
      </c>
      <c r="E4" s="76" t="s">
        <v>374</v>
      </c>
      <c r="F4" s="77" t="s">
        <v>0</v>
      </c>
      <c r="G4" s="78">
        <v>0.62649138726312836</v>
      </c>
      <c r="H4" s="79">
        <v>35194</v>
      </c>
      <c r="I4" s="79">
        <v>41755</v>
      </c>
      <c r="J4" s="3">
        <f>IF(YEAR(I4)-YEAR(H4)=0,"",YEAR(I4)-YEAR(H4))</f>
        <v>18</v>
      </c>
      <c r="X4" s="47"/>
      <c r="Y4" s="1">
        <v>366</v>
      </c>
      <c r="Z4" s="1">
        <v>422</v>
      </c>
      <c r="AA4" s="1">
        <v>618</v>
      </c>
      <c r="AB4" s="1">
        <v>813</v>
      </c>
      <c r="AC4" s="1">
        <v>1023</v>
      </c>
      <c r="AD4" s="1">
        <v>1103</v>
      </c>
      <c r="AE4" s="1">
        <v>1178</v>
      </c>
    </row>
    <row r="5" spans="1:31" x14ac:dyDescent="0.25">
      <c r="A5" s="76">
        <v>3</v>
      </c>
      <c r="B5" s="76" t="s">
        <v>54</v>
      </c>
      <c r="C5" s="76">
        <v>1991</v>
      </c>
      <c r="D5" s="76" t="str">
        <f t="shared" ref="D5:D87" si="0">LEFT(F5,4)</f>
        <v>A91T</v>
      </c>
      <c r="E5" s="76" t="s">
        <v>374</v>
      </c>
      <c r="F5" s="77" t="s">
        <v>1</v>
      </c>
      <c r="G5" s="78">
        <v>0.96666593698027081</v>
      </c>
      <c r="H5" s="79">
        <v>36249</v>
      </c>
      <c r="I5" s="79">
        <v>41725</v>
      </c>
      <c r="J5" s="3">
        <f t="shared" ref="J5:J68" si="1">IF(YEAR(I5)-YEAR(H5)=0,"",YEAR(I5)-YEAR(H5))</f>
        <v>15</v>
      </c>
      <c r="Z5" s="1">
        <f t="shared" ref="Z5:AE5" si="2">Z4-Y4</f>
        <v>56</v>
      </c>
      <c r="AA5" s="1">
        <f t="shared" si="2"/>
        <v>196</v>
      </c>
      <c r="AB5" s="1">
        <f t="shared" si="2"/>
        <v>195</v>
      </c>
      <c r="AC5" s="1">
        <f t="shared" si="2"/>
        <v>210</v>
      </c>
      <c r="AD5" s="1">
        <f t="shared" si="2"/>
        <v>80</v>
      </c>
      <c r="AE5" s="1">
        <f t="shared" si="2"/>
        <v>75</v>
      </c>
    </row>
    <row r="6" spans="1:31" x14ac:dyDescent="0.25">
      <c r="A6" s="76">
        <v>3</v>
      </c>
      <c r="B6" s="76" t="s">
        <v>54</v>
      </c>
      <c r="C6" s="76">
        <v>1991</v>
      </c>
      <c r="D6" s="76" t="str">
        <f t="shared" si="0"/>
        <v>A91T</v>
      </c>
      <c r="E6" s="76" t="s">
        <v>374</v>
      </c>
      <c r="F6" s="77" t="s">
        <v>2</v>
      </c>
      <c r="G6" s="78">
        <v>0.89187577918777539</v>
      </c>
      <c r="H6" s="79">
        <v>34501</v>
      </c>
      <c r="I6" s="79">
        <v>41774</v>
      </c>
      <c r="J6" s="3">
        <f t="shared" si="1"/>
        <v>20</v>
      </c>
    </row>
    <row r="7" spans="1:31" x14ac:dyDescent="0.25">
      <c r="A7" s="76">
        <v>3</v>
      </c>
      <c r="B7" s="76" t="s">
        <v>54</v>
      </c>
      <c r="C7" s="76">
        <v>1991</v>
      </c>
      <c r="D7" s="76" t="str">
        <f t="shared" si="0"/>
        <v>A91T</v>
      </c>
      <c r="E7" s="76" t="s">
        <v>374</v>
      </c>
      <c r="F7" s="77" t="s">
        <v>3</v>
      </c>
      <c r="G7" s="78">
        <v>0.68384735626087911</v>
      </c>
      <c r="H7" s="79">
        <v>36902</v>
      </c>
      <c r="I7" s="79">
        <v>41726</v>
      </c>
      <c r="J7" s="3">
        <f t="shared" si="1"/>
        <v>13</v>
      </c>
    </row>
    <row r="8" spans="1:31" x14ac:dyDescent="0.25">
      <c r="A8" s="76">
        <v>3</v>
      </c>
      <c r="B8" s="76" t="s">
        <v>54</v>
      </c>
      <c r="C8" s="76">
        <v>1991</v>
      </c>
      <c r="D8" s="76" t="str">
        <f t="shared" si="0"/>
        <v>A91T</v>
      </c>
      <c r="E8" s="76" t="s">
        <v>374</v>
      </c>
      <c r="F8" s="77" t="s">
        <v>4</v>
      </c>
      <c r="G8" s="78">
        <v>0.30242557551599913</v>
      </c>
      <c r="H8" s="79">
        <v>36956</v>
      </c>
      <c r="I8" s="79">
        <v>37905</v>
      </c>
      <c r="J8" s="3">
        <f t="shared" si="1"/>
        <v>2</v>
      </c>
    </row>
    <row r="9" spans="1:31" x14ac:dyDescent="0.25">
      <c r="A9" s="76">
        <v>3</v>
      </c>
      <c r="B9" s="76" t="s">
        <v>54</v>
      </c>
      <c r="C9" s="76">
        <v>1991</v>
      </c>
      <c r="D9" s="76" t="str">
        <f t="shared" si="0"/>
        <v>A91T</v>
      </c>
      <c r="E9" s="76" t="s">
        <v>374</v>
      </c>
      <c r="F9" s="77" t="s">
        <v>5</v>
      </c>
      <c r="G9" s="78">
        <v>0.64896728992485642</v>
      </c>
      <c r="H9" s="79">
        <v>36017</v>
      </c>
      <c r="I9" s="79">
        <v>41736</v>
      </c>
      <c r="J9" s="3">
        <f t="shared" si="1"/>
        <v>16</v>
      </c>
    </row>
    <row r="10" spans="1:31" x14ac:dyDescent="0.25">
      <c r="A10" s="76">
        <v>3</v>
      </c>
      <c r="B10" s="76" t="s">
        <v>54</v>
      </c>
      <c r="C10" s="76">
        <v>1991</v>
      </c>
      <c r="D10" s="76" t="str">
        <f t="shared" si="0"/>
        <v>A91T</v>
      </c>
      <c r="E10" s="76" t="s">
        <v>374</v>
      </c>
      <c r="F10" s="77" t="s">
        <v>6</v>
      </c>
      <c r="G10" s="78">
        <v>0.97119131771562128</v>
      </c>
      <c r="H10" s="79">
        <v>36203</v>
      </c>
      <c r="I10" s="79">
        <v>41869</v>
      </c>
      <c r="J10" s="3">
        <f t="shared" si="1"/>
        <v>15</v>
      </c>
    </row>
    <row r="11" spans="1:31" x14ac:dyDescent="0.25">
      <c r="A11" s="76">
        <v>3</v>
      </c>
      <c r="B11" s="76" t="s">
        <v>54</v>
      </c>
      <c r="C11" s="76">
        <v>1991</v>
      </c>
      <c r="D11" s="76" t="str">
        <f t="shared" si="0"/>
        <v>A91T</v>
      </c>
      <c r="E11" s="76" t="s">
        <v>374</v>
      </c>
      <c r="F11" s="77" t="s">
        <v>7</v>
      </c>
      <c r="G11" s="78">
        <v>0.8806541575192155</v>
      </c>
      <c r="H11" s="79">
        <v>34129</v>
      </c>
      <c r="I11" s="79">
        <v>41836</v>
      </c>
      <c r="J11" s="3">
        <f t="shared" si="1"/>
        <v>21</v>
      </c>
    </row>
    <row r="12" spans="1:31" x14ac:dyDescent="0.25">
      <c r="A12" s="76">
        <v>3</v>
      </c>
      <c r="B12" s="76" t="s">
        <v>54</v>
      </c>
      <c r="C12" s="76">
        <v>1991</v>
      </c>
      <c r="D12" s="76" t="str">
        <f t="shared" si="0"/>
        <v>A91T</v>
      </c>
      <c r="E12" s="76" t="s">
        <v>374</v>
      </c>
      <c r="F12" s="77" t="s">
        <v>8</v>
      </c>
      <c r="G12" s="78">
        <v>0.27763718048536445</v>
      </c>
      <c r="H12" s="79">
        <v>35814</v>
      </c>
      <c r="I12" s="79">
        <v>37915</v>
      </c>
      <c r="J12" s="3">
        <f t="shared" si="1"/>
        <v>5</v>
      </c>
    </row>
    <row r="13" spans="1:31" x14ac:dyDescent="0.25">
      <c r="A13" s="76">
        <v>3</v>
      </c>
      <c r="B13" s="76" t="s">
        <v>54</v>
      </c>
      <c r="C13" s="76">
        <v>1991</v>
      </c>
      <c r="D13" s="76" t="str">
        <f t="shared" si="0"/>
        <v>A91T</v>
      </c>
      <c r="E13" s="76" t="s">
        <v>374</v>
      </c>
      <c r="F13" s="77" t="s">
        <v>9</v>
      </c>
      <c r="G13" s="78">
        <v>0.98936098458153399</v>
      </c>
      <c r="H13" s="79">
        <v>36199</v>
      </c>
      <c r="I13" s="79">
        <v>39184</v>
      </c>
      <c r="J13" s="3">
        <f t="shared" si="1"/>
        <v>8</v>
      </c>
    </row>
    <row r="14" spans="1:31" x14ac:dyDescent="0.25">
      <c r="A14" s="76">
        <v>1.5</v>
      </c>
      <c r="B14" s="76" t="s">
        <v>54</v>
      </c>
      <c r="C14" s="76">
        <v>2010</v>
      </c>
      <c r="D14" s="76" t="str">
        <f t="shared" si="0"/>
        <v>Y10X</v>
      </c>
      <c r="E14" s="76" t="s">
        <v>33</v>
      </c>
      <c r="F14" s="77" t="s">
        <v>10</v>
      </c>
      <c r="G14" s="78">
        <v>0.9334124029263543</v>
      </c>
      <c r="H14" s="79">
        <v>40486</v>
      </c>
      <c r="I14" s="79">
        <v>41730</v>
      </c>
      <c r="J14" s="3">
        <f t="shared" si="1"/>
        <v>4</v>
      </c>
      <c r="K14" s="7">
        <v>5.7768924302787905E-3</v>
      </c>
      <c r="L14" s="7">
        <v>-2.6640026640001313E-4</v>
      </c>
      <c r="M14" s="7">
        <v>-2.6827632461436934E-3</v>
      </c>
      <c r="N14" s="7">
        <v>1.3333333333320763E-3</v>
      </c>
      <c r="O14" s="7">
        <v>4.0000000000000036E-3</v>
      </c>
      <c r="P14" s="7">
        <v>7.2895957587817417E-3</v>
      </c>
      <c r="Q14" s="7">
        <v>-2.8495692511597337E-2</v>
      </c>
      <c r="R14" s="7">
        <v>-5.1027170311465087E-2</v>
      </c>
      <c r="S14" s="7">
        <v>-0.25911199469847546</v>
      </c>
      <c r="T14" s="7">
        <v>-1</v>
      </c>
    </row>
    <row r="15" spans="1:31" x14ac:dyDescent="0.25">
      <c r="A15" s="76">
        <v>1.5</v>
      </c>
      <c r="B15" s="76" t="s">
        <v>54</v>
      </c>
      <c r="C15" s="76">
        <v>2010</v>
      </c>
      <c r="D15" s="76" t="str">
        <f t="shared" si="0"/>
        <v>Y10X</v>
      </c>
      <c r="E15" s="76" t="s">
        <v>33</v>
      </c>
      <c r="F15" s="77" t="s">
        <v>11</v>
      </c>
      <c r="G15" s="78">
        <v>0.68197644588092343</v>
      </c>
      <c r="H15" s="79">
        <v>40546</v>
      </c>
      <c r="I15" s="79">
        <v>41555</v>
      </c>
      <c r="J15" s="3">
        <f t="shared" si="1"/>
        <v>2</v>
      </c>
      <c r="K15" s="7">
        <v>-7.5697211155382194E-3</v>
      </c>
      <c r="L15" s="7">
        <v>-3.79620379620349E-3</v>
      </c>
      <c r="M15" s="7">
        <v>-2.2132796780687247E-3</v>
      </c>
      <c r="N15" s="7">
        <v>9.3333333333340818E-3</v>
      </c>
      <c r="O15" s="7">
        <v>-1.4666666666668382E-2</v>
      </c>
      <c r="P15" s="7">
        <v>-0.25248508946321502</v>
      </c>
      <c r="Q15" s="7">
        <v>-0.99602385685885053</v>
      </c>
      <c r="R15" s="7">
        <v>-0.99602385685884298</v>
      </c>
      <c r="S15" s="7">
        <v>-0.99867461895295018</v>
      </c>
      <c r="T15" s="7">
        <v>-1</v>
      </c>
    </row>
    <row r="16" spans="1:31" x14ac:dyDescent="0.25">
      <c r="A16" s="76">
        <v>1.5</v>
      </c>
      <c r="B16" s="76" t="s">
        <v>54</v>
      </c>
      <c r="C16" s="76">
        <v>2010</v>
      </c>
      <c r="D16" s="76" t="str">
        <f t="shared" si="0"/>
        <v>Y10X</v>
      </c>
      <c r="E16" s="76" t="s">
        <v>33</v>
      </c>
      <c r="F16" s="77" t="s">
        <v>12</v>
      </c>
      <c r="G16" s="78">
        <v>0.67592334592173331</v>
      </c>
      <c r="H16" s="79">
        <v>40470</v>
      </c>
      <c r="I16" s="79">
        <v>41599</v>
      </c>
      <c r="J16" s="3">
        <f t="shared" si="1"/>
        <v>3</v>
      </c>
      <c r="K16" s="7">
        <v>9.8273572377154395E-3</v>
      </c>
      <c r="L16" s="7">
        <v>7.0596070596073979E-3</v>
      </c>
      <c r="M16" s="7">
        <v>3.8229376257545855E-3</v>
      </c>
      <c r="N16" s="7">
        <v>-4.6666666666661527E-3</v>
      </c>
      <c r="O16" s="7">
        <v>-3.9333333333331666E-2</v>
      </c>
      <c r="P16" s="7">
        <v>-0.25248508946322257</v>
      </c>
      <c r="Q16" s="7">
        <v>-0.99469847581180071</v>
      </c>
      <c r="R16" s="7">
        <v>-0.99469847581179316</v>
      </c>
      <c r="S16" s="7">
        <v>-0.99867461895295018</v>
      </c>
      <c r="T16" s="7">
        <v>-1</v>
      </c>
    </row>
    <row r="17" spans="1:20" x14ac:dyDescent="0.25">
      <c r="A17" s="76">
        <v>1.5</v>
      </c>
      <c r="B17" s="76" t="s">
        <v>54</v>
      </c>
      <c r="C17" s="76">
        <v>2010</v>
      </c>
      <c r="D17" s="76" t="str">
        <f t="shared" si="0"/>
        <v>Y10X</v>
      </c>
      <c r="E17" s="76" t="s">
        <v>33</v>
      </c>
      <c r="F17" s="77" t="s">
        <v>13</v>
      </c>
      <c r="G17" s="78">
        <v>0.70341747343445205</v>
      </c>
      <c r="H17" s="79">
        <v>40570</v>
      </c>
      <c r="I17" s="79">
        <v>41876</v>
      </c>
      <c r="J17" s="3">
        <f t="shared" si="1"/>
        <v>3</v>
      </c>
      <c r="K17" s="7">
        <v>-6.7065073041170375E-3</v>
      </c>
      <c r="L17" s="7">
        <v>-6.3270063270057797E-3</v>
      </c>
      <c r="M17" s="7">
        <v>-1.16700201207246E-2</v>
      </c>
      <c r="N17" s="7">
        <v>-1.3333333333320763E-3</v>
      </c>
      <c r="O17" s="7">
        <v>-1.0000000000000342E-2</v>
      </c>
      <c r="P17" s="7">
        <v>-0.15573227302849513</v>
      </c>
      <c r="Q17" s="7">
        <v>-0.99602385685884676</v>
      </c>
      <c r="R17" s="7">
        <v>-0.99602385685884676</v>
      </c>
      <c r="S17" s="7">
        <v>-0.99867461895295018</v>
      </c>
      <c r="T17" s="7">
        <v>-1</v>
      </c>
    </row>
    <row r="18" spans="1:20" x14ac:dyDescent="0.25">
      <c r="A18" s="76">
        <v>1.5</v>
      </c>
      <c r="B18" s="76" t="s">
        <v>54</v>
      </c>
      <c r="C18" s="76">
        <v>2010</v>
      </c>
      <c r="D18" s="76" t="str">
        <f t="shared" si="0"/>
        <v>Y10X</v>
      </c>
      <c r="E18" s="76" t="s">
        <v>33</v>
      </c>
      <c r="F18" s="77" t="s">
        <v>14</v>
      </c>
      <c r="G18" s="78">
        <v>0.68606327100456677</v>
      </c>
      <c r="H18" s="79">
        <v>40522</v>
      </c>
      <c r="I18" s="79">
        <v>41551</v>
      </c>
      <c r="J18" s="3">
        <f t="shared" si="1"/>
        <v>3</v>
      </c>
      <c r="K18" s="7">
        <v>-1.3479415670650918E-2</v>
      </c>
      <c r="L18" s="7">
        <v>-1.0922410922410974E-2</v>
      </c>
      <c r="M18" s="7">
        <v>-1.2273641851106909E-2</v>
      </c>
      <c r="N18" s="7">
        <v>-3.3333333333340764E-3</v>
      </c>
      <c r="O18" s="7">
        <v>-2.5333333333332986E-2</v>
      </c>
      <c r="P18" s="7">
        <v>-0.21139827700463287</v>
      </c>
      <c r="Q18" s="7">
        <v>-0.99602385685885053</v>
      </c>
      <c r="R18" s="7">
        <v>-0.99734923790590035</v>
      </c>
      <c r="S18" s="7">
        <v>-0.99867461895294263</v>
      </c>
      <c r="T18" s="7">
        <v>-1</v>
      </c>
    </row>
    <row r="19" spans="1:20" x14ac:dyDescent="0.25">
      <c r="A19" s="76">
        <v>1.5</v>
      </c>
      <c r="B19" s="76" t="s">
        <v>54</v>
      </c>
      <c r="C19" s="76">
        <v>2010</v>
      </c>
      <c r="D19" s="76" t="str">
        <f t="shared" si="0"/>
        <v>Y10X</v>
      </c>
      <c r="E19" s="76" t="s">
        <v>33</v>
      </c>
      <c r="F19" s="77" t="s">
        <v>15</v>
      </c>
      <c r="G19" s="78">
        <v>0.7098057044005186</v>
      </c>
      <c r="H19" s="79">
        <v>40385</v>
      </c>
      <c r="I19" s="79">
        <v>41485</v>
      </c>
      <c r="J19" s="3">
        <f t="shared" si="1"/>
        <v>3</v>
      </c>
      <c r="K19" s="7">
        <v>3.1274900398406302E-2</v>
      </c>
      <c r="L19" s="7">
        <v>2.6040626040626291E-2</v>
      </c>
      <c r="M19" s="7">
        <v>1.9315895372232994E-2</v>
      </c>
      <c r="N19" s="7">
        <v>1.7333333333332757E-2</v>
      </c>
      <c r="O19" s="7">
        <v>-8.6666666666663783E-3</v>
      </c>
      <c r="P19" s="7">
        <v>-0.16103379721670197</v>
      </c>
      <c r="Q19" s="7">
        <v>-0.99337309476474334</v>
      </c>
      <c r="R19" s="7">
        <v>-0.99734923790590035</v>
      </c>
      <c r="S19" s="7">
        <v>-0.9973492379058928</v>
      </c>
      <c r="T19" s="7">
        <v>-1</v>
      </c>
    </row>
    <row r="20" spans="1:20" x14ac:dyDescent="0.25">
      <c r="A20" s="76">
        <v>1.5</v>
      </c>
      <c r="B20" s="76" t="s">
        <v>54</v>
      </c>
      <c r="C20" s="76">
        <v>2010</v>
      </c>
      <c r="D20" s="76" t="str">
        <f t="shared" si="0"/>
        <v>Y10X</v>
      </c>
      <c r="E20" s="76" t="s">
        <v>33</v>
      </c>
      <c r="F20" s="77" t="s">
        <v>16</v>
      </c>
      <c r="G20" s="78">
        <v>0.92656138236687402</v>
      </c>
      <c r="H20" s="79">
        <v>40292</v>
      </c>
      <c r="I20" s="79"/>
      <c r="J20" s="3">
        <f t="shared" si="1"/>
        <v>-110</v>
      </c>
      <c r="K20" s="7">
        <v>1.2217795484727123E-2</v>
      </c>
      <c r="L20" s="7">
        <v>6.7932067932068296E-3</v>
      </c>
      <c r="M20" s="7">
        <v>2.2803487592220062E-3</v>
      </c>
      <c r="N20" s="7">
        <v>6.6666666666663765E-3</v>
      </c>
      <c r="O20" s="7">
        <v>6.6666666666672647E-3</v>
      </c>
      <c r="P20" s="7">
        <v>3.313452617626611E-3</v>
      </c>
      <c r="Q20" s="7">
        <v>-2.5844930417493917E-2</v>
      </c>
      <c r="R20" s="7">
        <v>-7.3558648111332725E-2</v>
      </c>
      <c r="S20" s="7">
        <v>-0.3558648111332009</v>
      </c>
      <c r="T20" s="7">
        <v>-1</v>
      </c>
    </row>
    <row r="21" spans="1:20" x14ac:dyDescent="0.25">
      <c r="A21" s="76">
        <v>1.5</v>
      </c>
      <c r="B21" s="76" t="s">
        <v>54</v>
      </c>
      <c r="C21" s="76">
        <v>2010</v>
      </c>
      <c r="D21" s="76" t="str">
        <f t="shared" si="0"/>
        <v>Y10X</v>
      </c>
      <c r="E21" s="76" t="s">
        <v>33</v>
      </c>
      <c r="F21" s="77" t="s">
        <v>17</v>
      </c>
      <c r="G21" s="78">
        <v>0.72701282751905327</v>
      </c>
      <c r="H21" s="79">
        <v>40541</v>
      </c>
      <c r="I21" s="79">
        <v>41542</v>
      </c>
      <c r="J21" s="3">
        <f t="shared" si="1"/>
        <v>3</v>
      </c>
      <c r="K21" s="7">
        <v>-8.9442231075697376E-2</v>
      </c>
      <c r="L21" s="7">
        <v>-8.3316683316683071E-2</v>
      </c>
      <c r="M21" s="7">
        <v>-8.2830315224681539E-2</v>
      </c>
      <c r="N21" s="7">
        <v>-6.9333333333334801E-2</v>
      </c>
      <c r="O21" s="7">
        <v>-6.2666666666666537E-2</v>
      </c>
      <c r="P21" s="7">
        <v>-8.8137839628893988E-2</v>
      </c>
      <c r="Q21" s="7">
        <v>-0.45261762756792645</v>
      </c>
      <c r="R21" s="7">
        <v>-0.99602385685884676</v>
      </c>
      <c r="S21" s="7">
        <v>-0.99734923790589658</v>
      </c>
      <c r="T21" s="7">
        <v>-1</v>
      </c>
    </row>
    <row r="22" spans="1:20" x14ac:dyDescent="0.25">
      <c r="A22" s="76">
        <v>1.5</v>
      </c>
      <c r="B22" s="76" t="s">
        <v>54</v>
      </c>
      <c r="C22" s="76">
        <v>2010</v>
      </c>
      <c r="D22" s="76" t="str">
        <f t="shared" si="0"/>
        <v>Y10X</v>
      </c>
      <c r="E22" s="76" t="s">
        <v>33</v>
      </c>
      <c r="F22" s="77" t="s">
        <v>18</v>
      </c>
      <c r="G22" s="78">
        <v>0.71017533824637868</v>
      </c>
      <c r="H22" s="79">
        <v>40472</v>
      </c>
      <c r="I22" s="79">
        <v>41547</v>
      </c>
      <c r="J22" s="3">
        <f t="shared" si="1"/>
        <v>3</v>
      </c>
      <c r="K22" s="7">
        <v>3.0544488711816697E-3</v>
      </c>
      <c r="L22" s="7">
        <v>1.4452214452215006E-2</v>
      </c>
      <c r="M22" s="7">
        <v>1.6163648558014554E-2</v>
      </c>
      <c r="N22" s="7">
        <v>2.1333333333332982E-2</v>
      </c>
      <c r="O22" s="7">
        <v>6.0000000000002274E-3</v>
      </c>
      <c r="P22" s="7">
        <v>-0.16898608349900834</v>
      </c>
      <c r="Q22" s="7">
        <v>-0.99734923790589658</v>
      </c>
      <c r="R22" s="7">
        <v>-0.99602385685884676</v>
      </c>
      <c r="S22" s="7">
        <v>-1</v>
      </c>
      <c r="T22" s="7">
        <v>-1</v>
      </c>
    </row>
    <row r="23" spans="1:20" x14ac:dyDescent="0.25">
      <c r="A23" s="76">
        <v>1.5</v>
      </c>
      <c r="B23" s="76" t="s">
        <v>54</v>
      </c>
      <c r="C23" s="76">
        <v>2010</v>
      </c>
      <c r="D23" s="76" t="str">
        <f t="shared" si="0"/>
        <v>Y10X</v>
      </c>
      <c r="E23" s="76" t="s">
        <v>33</v>
      </c>
      <c r="F23" s="77" t="s">
        <v>348</v>
      </c>
      <c r="G23" s="78">
        <v>0.86115712044505455</v>
      </c>
      <c r="H23" s="79">
        <v>40345</v>
      </c>
      <c r="I23" s="79">
        <v>41625</v>
      </c>
      <c r="J23" s="3">
        <f t="shared" si="1"/>
        <v>3</v>
      </c>
    </row>
    <row r="24" spans="1:20" x14ac:dyDescent="0.25">
      <c r="A24" s="76">
        <v>1.5</v>
      </c>
      <c r="B24" s="76" t="s">
        <v>54</v>
      </c>
      <c r="C24" s="76">
        <v>2010</v>
      </c>
      <c r="D24" s="76" t="str">
        <f t="shared" si="0"/>
        <v>Y10X</v>
      </c>
      <c r="E24" s="76" t="s">
        <v>33</v>
      </c>
      <c r="F24" s="77" t="s">
        <v>349</v>
      </c>
      <c r="G24" s="78">
        <v>0.67324005130088449</v>
      </c>
      <c r="H24" s="79">
        <v>40330</v>
      </c>
      <c r="I24" s="79">
        <v>41624</v>
      </c>
      <c r="J24" s="3">
        <f t="shared" si="1"/>
        <v>3</v>
      </c>
    </row>
    <row r="25" spans="1:20" x14ac:dyDescent="0.25">
      <c r="A25" s="76">
        <v>1.5</v>
      </c>
      <c r="B25" s="76" t="s">
        <v>54</v>
      </c>
      <c r="C25" s="76">
        <v>2010</v>
      </c>
      <c r="D25" s="76" t="str">
        <f t="shared" si="0"/>
        <v>Y10X</v>
      </c>
      <c r="E25" s="76" t="s">
        <v>33</v>
      </c>
      <c r="F25" s="77" t="s">
        <v>350</v>
      </c>
      <c r="G25" s="78">
        <v>0.89691821839812258</v>
      </c>
      <c r="H25" s="79">
        <v>40328</v>
      </c>
      <c r="I25" s="79">
        <v>41624</v>
      </c>
      <c r="J25" s="3">
        <f t="shared" si="1"/>
        <v>3</v>
      </c>
    </row>
    <row r="26" spans="1:20" x14ac:dyDescent="0.25">
      <c r="A26" s="76">
        <v>1.5</v>
      </c>
      <c r="B26" s="76" t="s">
        <v>54</v>
      </c>
      <c r="C26" s="76">
        <v>2010</v>
      </c>
      <c r="D26" s="76" t="str">
        <f t="shared" si="0"/>
        <v>Y10X</v>
      </c>
      <c r="E26" s="76" t="s">
        <v>33</v>
      </c>
      <c r="F26" s="77" t="s">
        <v>351</v>
      </c>
      <c r="G26" s="78">
        <v>0.88054166077166363</v>
      </c>
      <c r="H26" s="79">
        <v>40303</v>
      </c>
      <c r="I26" s="79">
        <v>41611</v>
      </c>
      <c r="J26" s="3">
        <f t="shared" si="1"/>
        <v>3</v>
      </c>
    </row>
    <row r="27" spans="1:20" x14ac:dyDescent="0.25">
      <c r="A27" s="76">
        <v>1.5</v>
      </c>
      <c r="B27" s="76" t="s">
        <v>54</v>
      </c>
      <c r="C27" s="76">
        <v>2010</v>
      </c>
      <c r="D27" s="76" t="str">
        <f t="shared" si="0"/>
        <v>Y10X</v>
      </c>
      <c r="E27" s="76" t="s">
        <v>33</v>
      </c>
      <c r="F27" s="77" t="s">
        <v>352</v>
      </c>
      <c r="G27" s="78">
        <v>0.67343458865024219</v>
      </c>
      <c r="H27" s="79">
        <v>40578</v>
      </c>
      <c r="I27" s="79">
        <v>41606</v>
      </c>
      <c r="J27" s="3">
        <f t="shared" si="1"/>
        <v>2</v>
      </c>
      <c r="K27" s="7"/>
      <c r="L27" s="7"/>
      <c r="M27" s="7"/>
      <c r="N27" s="7"/>
      <c r="O27" s="7"/>
      <c r="P27" s="7"/>
      <c r="Q27" s="7"/>
      <c r="R27" s="7"/>
      <c r="S27" s="7"/>
      <c r="T27" s="7"/>
    </row>
    <row r="28" spans="1:20" x14ac:dyDescent="0.25">
      <c r="A28" s="76">
        <v>1.5</v>
      </c>
      <c r="B28" s="76" t="s">
        <v>54</v>
      </c>
      <c r="C28" s="76">
        <v>2010</v>
      </c>
      <c r="D28" s="76" t="str">
        <f t="shared" si="0"/>
        <v>Y10X</v>
      </c>
      <c r="E28" s="76" t="s">
        <v>33</v>
      </c>
      <c r="F28" s="77" t="s">
        <v>353</v>
      </c>
      <c r="G28" s="78">
        <v>0.83144441943153902</v>
      </c>
      <c r="H28" s="79">
        <v>40301</v>
      </c>
      <c r="I28" s="79">
        <v>41611</v>
      </c>
      <c r="J28" s="3">
        <f t="shared" si="1"/>
        <v>3</v>
      </c>
    </row>
    <row r="29" spans="1:20" x14ac:dyDescent="0.25">
      <c r="A29" s="76">
        <v>1.5</v>
      </c>
      <c r="B29" s="76" t="s">
        <v>54</v>
      </c>
      <c r="C29" s="76">
        <v>2010</v>
      </c>
      <c r="D29" s="76" t="str">
        <f t="shared" si="0"/>
        <v>Y10X</v>
      </c>
      <c r="E29" s="76" t="s">
        <v>33</v>
      </c>
      <c r="F29" s="77" t="s">
        <v>354</v>
      </c>
      <c r="G29" s="78">
        <v>0.86848055521490042</v>
      </c>
      <c r="H29" s="79">
        <v>40298</v>
      </c>
      <c r="I29" s="79">
        <v>41611</v>
      </c>
      <c r="J29" s="3">
        <f t="shared" si="1"/>
        <v>3</v>
      </c>
    </row>
    <row r="30" spans="1:20" x14ac:dyDescent="0.25">
      <c r="A30" s="76">
        <v>1.5</v>
      </c>
      <c r="B30" s="76" t="s">
        <v>54</v>
      </c>
      <c r="C30" s="76">
        <v>2010</v>
      </c>
      <c r="D30" s="76" t="str">
        <f t="shared" si="0"/>
        <v>Y10X</v>
      </c>
      <c r="E30" s="76" t="s">
        <v>33</v>
      </c>
      <c r="F30" s="77" t="s">
        <v>355</v>
      </c>
      <c r="G30" s="78">
        <v>0.89773945917407161</v>
      </c>
      <c r="H30" s="79">
        <v>40283</v>
      </c>
      <c r="I30" s="79">
        <v>41604</v>
      </c>
      <c r="J30" s="3">
        <f t="shared" si="1"/>
        <v>3</v>
      </c>
    </row>
    <row r="31" spans="1:20" x14ac:dyDescent="0.25">
      <c r="A31" s="76">
        <v>1.5</v>
      </c>
      <c r="B31" s="76" t="s">
        <v>54</v>
      </c>
      <c r="C31" s="76">
        <v>2010</v>
      </c>
      <c r="D31" s="76" t="str">
        <f t="shared" si="0"/>
        <v>Y10X</v>
      </c>
      <c r="E31" s="76" t="s">
        <v>33</v>
      </c>
      <c r="F31" s="77" t="s">
        <v>356</v>
      </c>
      <c r="G31" s="78">
        <v>0.8897068167681571</v>
      </c>
      <c r="H31" s="79">
        <v>40330</v>
      </c>
      <c r="I31" s="79">
        <v>41624</v>
      </c>
      <c r="J31" s="3">
        <f t="shared" si="1"/>
        <v>3</v>
      </c>
    </row>
    <row r="32" spans="1:20" x14ac:dyDescent="0.25">
      <c r="A32" s="76">
        <v>1.5</v>
      </c>
      <c r="B32" s="76" t="s">
        <v>54</v>
      </c>
      <c r="C32" s="76">
        <v>2010</v>
      </c>
      <c r="D32" s="76" t="str">
        <f t="shared" si="0"/>
        <v>Y10X</v>
      </c>
      <c r="E32" s="76" t="s">
        <v>33</v>
      </c>
      <c r="F32" s="77" t="s">
        <v>357</v>
      </c>
      <c r="G32" s="78">
        <v>0.89174699083003772</v>
      </c>
      <c r="H32" s="79">
        <v>40403</v>
      </c>
      <c r="I32" s="79">
        <v>41624</v>
      </c>
      <c r="J32" s="3">
        <f t="shared" si="1"/>
        <v>3</v>
      </c>
    </row>
    <row r="33" spans="1:23" x14ac:dyDescent="0.25">
      <c r="A33" s="76">
        <v>1.5</v>
      </c>
      <c r="B33" s="76" t="s">
        <v>54</v>
      </c>
      <c r="C33" s="76">
        <v>2010</v>
      </c>
      <c r="D33" s="76" t="str">
        <f t="shared" si="0"/>
        <v>Y10X</v>
      </c>
      <c r="E33" s="76" t="s">
        <v>33</v>
      </c>
      <c r="F33" s="77" t="s">
        <v>358</v>
      </c>
      <c r="G33" s="78">
        <v>0.83898424525351434</v>
      </c>
      <c r="H33" s="79">
        <v>40294</v>
      </c>
      <c r="I33" s="79">
        <v>41647</v>
      </c>
      <c r="J33" s="3">
        <f t="shared" si="1"/>
        <v>4</v>
      </c>
    </row>
    <row r="34" spans="1:23" x14ac:dyDescent="0.25">
      <c r="A34" s="76">
        <v>1.5</v>
      </c>
      <c r="B34" s="76" t="s">
        <v>54</v>
      </c>
      <c r="C34" s="76">
        <v>2010</v>
      </c>
      <c r="D34" s="76" t="str">
        <f t="shared" si="0"/>
        <v>Y10X</v>
      </c>
      <c r="E34" s="76" t="s">
        <v>33</v>
      </c>
      <c r="F34" s="77" t="s">
        <v>359</v>
      </c>
      <c r="G34" s="78">
        <v>0.93300422918771608</v>
      </c>
      <c r="H34" s="79">
        <v>40330</v>
      </c>
      <c r="I34" s="79">
        <v>41655</v>
      </c>
      <c r="J34" s="3">
        <f t="shared" si="1"/>
        <v>4</v>
      </c>
    </row>
    <row r="35" spans="1:23" x14ac:dyDescent="0.25">
      <c r="A35" s="76">
        <v>1.5</v>
      </c>
      <c r="B35" s="76" t="s">
        <v>54</v>
      </c>
      <c r="C35" s="76">
        <v>2010</v>
      </c>
      <c r="D35" s="76" t="str">
        <f t="shared" si="0"/>
        <v>Y10X</v>
      </c>
      <c r="E35" s="76" t="s">
        <v>33</v>
      </c>
      <c r="F35" s="77" t="s">
        <v>360</v>
      </c>
      <c r="G35" s="78">
        <v>0.90210685796192491</v>
      </c>
      <c r="H35" s="79">
        <v>40346</v>
      </c>
      <c r="I35" s="79">
        <v>41655</v>
      </c>
      <c r="J35" s="3">
        <f t="shared" si="1"/>
        <v>4</v>
      </c>
    </row>
    <row r="36" spans="1:23" x14ac:dyDescent="0.25">
      <c r="A36" s="76">
        <v>1.5</v>
      </c>
      <c r="B36" s="76" t="s">
        <v>54</v>
      </c>
      <c r="C36" s="76">
        <v>2010</v>
      </c>
      <c r="D36" s="76" t="str">
        <f t="shared" si="0"/>
        <v>Y10X</v>
      </c>
      <c r="E36" s="76" t="s">
        <v>33</v>
      </c>
      <c r="F36" s="77" t="s">
        <v>361</v>
      </c>
      <c r="G36" s="78">
        <v>0.95540015384323318</v>
      </c>
      <c r="H36" s="79">
        <v>40340</v>
      </c>
      <c r="I36" s="79">
        <v>41655</v>
      </c>
      <c r="J36" s="3">
        <f t="shared" si="1"/>
        <v>4</v>
      </c>
    </row>
    <row r="37" spans="1:23" x14ac:dyDescent="0.25">
      <c r="A37" s="76">
        <v>1.5</v>
      </c>
      <c r="B37" s="76" t="s">
        <v>54</v>
      </c>
      <c r="C37" s="76">
        <v>2010</v>
      </c>
      <c r="D37" s="76" t="str">
        <f t="shared" si="0"/>
        <v>Y10X</v>
      </c>
      <c r="E37" s="76" t="s">
        <v>33</v>
      </c>
      <c r="F37" s="77" t="s">
        <v>362</v>
      </c>
      <c r="G37" s="78">
        <v>0.9014756929647022</v>
      </c>
      <c r="H37" s="79">
        <v>40291</v>
      </c>
      <c r="I37" s="79">
        <v>41655</v>
      </c>
      <c r="J37" s="3">
        <f t="shared" si="1"/>
        <v>4</v>
      </c>
    </row>
    <row r="38" spans="1:23" x14ac:dyDescent="0.25">
      <c r="A38" s="76">
        <v>1.5</v>
      </c>
      <c r="B38" s="76" t="s">
        <v>54</v>
      </c>
      <c r="C38" s="76">
        <v>2010</v>
      </c>
      <c r="D38" s="76" t="str">
        <f t="shared" ref="D38:D47" si="3">LEFT(F38,4)</f>
        <v>Y10X</v>
      </c>
      <c r="E38" s="76" t="s">
        <v>33</v>
      </c>
      <c r="F38" s="77" t="s">
        <v>700</v>
      </c>
      <c r="G38" s="78">
        <v>0.65566825949060381</v>
      </c>
      <c r="H38" s="79">
        <v>42117</v>
      </c>
      <c r="I38" s="79">
        <v>42117</v>
      </c>
      <c r="J38" s="3" t="str">
        <f t="shared" si="1"/>
        <v/>
      </c>
      <c r="K38" s="7">
        <v>6.6979236436748302E-4</v>
      </c>
      <c r="L38" s="7">
        <v>2.0066889632104346E-3</v>
      </c>
      <c r="M38" s="7">
        <v>-2.6737967914435279E-3</v>
      </c>
      <c r="N38" s="7">
        <v>-3.9840637450199168E-3</v>
      </c>
      <c r="O38" s="7">
        <v>-3.2499999999998863E-2</v>
      </c>
      <c r="P38" s="7">
        <v>-0.27500000000000002</v>
      </c>
      <c r="Q38" s="7">
        <v>-0.99499999999999889</v>
      </c>
      <c r="R38" s="7">
        <v>-0.99750000000000227</v>
      </c>
      <c r="S38" s="7">
        <v>-1</v>
      </c>
      <c r="T38" s="7">
        <v>-1</v>
      </c>
      <c r="U38" s="1">
        <v>575</v>
      </c>
      <c r="W38" s="1">
        <v>2244284</v>
      </c>
    </row>
    <row r="39" spans="1:23" x14ac:dyDescent="0.25">
      <c r="A39" s="76">
        <v>1.5</v>
      </c>
      <c r="B39" s="76" t="s">
        <v>54</v>
      </c>
      <c r="C39" s="76">
        <v>2010</v>
      </c>
      <c r="D39" s="76" t="str">
        <f t="shared" si="3"/>
        <v>Y10X</v>
      </c>
      <c r="E39" s="76" t="s">
        <v>33</v>
      </c>
      <c r="F39" s="77" t="s">
        <v>701</v>
      </c>
      <c r="G39" s="78">
        <v>3.9566609677296194E-3</v>
      </c>
      <c r="H39" s="79">
        <v>42186</v>
      </c>
      <c r="I39" s="79">
        <v>42186</v>
      </c>
      <c r="J39" s="3" t="str">
        <f t="shared" si="1"/>
        <v/>
      </c>
      <c r="K39" s="7">
        <v>-0.98660415271265911</v>
      </c>
      <c r="L39" s="7">
        <v>-0.9973244147157192</v>
      </c>
      <c r="M39" s="7">
        <v>-0.99866310160427774</v>
      </c>
      <c r="N39" s="7">
        <v>-0.99867197875165969</v>
      </c>
      <c r="O39" s="7">
        <v>-0.99500000000000166</v>
      </c>
      <c r="P39" s="7">
        <v>-0.99499999999999889</v>
      </c>
      <c r="Q39" s="7">
        <v>-0.99500000000000166</v>
      </c>
      <c r="R39" s="7">
        <v>-1</v>
      </c>
      <c r="S39" s="7">
        <v>-1</v>
      </c>
      <c r="T39" s="7">
        <v>-1</v>
      </c>
      <c r="U39" s="1">
        <v>645</v>
      </c>
      <c r="W39" s="1">
        <v>2595851</v>
      </c>
    </row>
    <row r="40" spans="1:23" x14ac:dyDescent="0.25">
      <c r="A40" s="76">
        <v>1.5</v>
      </c>
      <c r="B40" s="76" t="s">
        <v>54</v>
      </c>
      <c r="C40" s="76">
        <v>2010</v>
      </c>
      <c r="D40" s="76" t="str">
        <f t="shared" si="3"/>
        <v>Y10X</v>
      </c>
      <c r="E40" s="76" t="s">
        <v>33</v>
      </c>
      <c r="F40" s="77" t="s">
        <v>702</v>
      </c>
      <c r="G40" s="78">
        <v>0.54786627359979934</v>
      </c>
      <c r="H40" s="79">
        <v>42153</v>
      </c>
      <c r="I40" s="79">
        <v>42153</v>
      </c>
      <c r="J40" s="3" t="str">
        <f t="shared" si="1"/>
        <v/>
      </c>
      <c r="K40" s="7">
        <v>-2.8131279303415857E-2</v>
      </c>
      <c r="L40" s="7">
        <v>-6.2876254180601832E-2</v>
      </c>
      <c r="M40" s="7">
        <v>-2.8743315508020895E-2</v>
      </c>
      <c r="N40" s="7">
        <v>-4.4488711819389959E-2</v>
      </c>
      <c r="O40" s="7">
        <v>-0.12749999999999773</v>
      </c>
      <c r="P40" s="7">
        <v>-0.59250000000000114</v>
      </c>
      <c r="Q40" s="7">
        <v>-0.98999999999999777</v>
      </c>
      <c r="R40" s="7">
        <v>-0.99500000000000455</v>
      </c>
      <c r="S40" s="7">
        <v>-1</v>
      </c>
      <c r="T40" s="7">
        <v>-1</v>
      </c>
      <c r="U40" s="1">
        <v>312</v>
      </c>
      <c r="W40" s="1">
        <v>3781127</v>
      </c>
    </row>
    <row r="41" spans="1:23" x14ac:dyDescent="0.25">
      <c r="A41" s="76">
        <v>1.5</v>
      </c>
      <c r="B41" s="76" t="s">
        <v>54</v>
      </c>
      <c r="C41" s="76">
        <v>2010</v>
      </c>
      <c r="D41" s="76" t="str">
        <f t="shared" si="3"/>
        <v>Y10X</v>
      </c>
      <c r="E41" s="76" t="s">
        <v>33</v>
      </c>
      <c r="F41" s="77" t="s">
        <v>703</v>
      </c>
      <c r="G41" s="78">
        <v>0</v>
      </c>
      <c r="H41" s="79">
        <v>42185</v>
      </c>
      <c r="I41" s="79">
        <v>42185</v>
      </c>
      <c r="J41" s="3" t="str">
        <f t="shared" si="1"/>
        <v/>
      </c>
      <c r="K41" s="7">
        <v>-1</v>
      </c>
      <c r="L41" s="7">
        <v>-1</v>
      </c>
      <c r="M41" s="7">
        <v>-1</v>
      </c>
      <c r="N41" s="7">
        <v>-1</v>
      </c>
      <c r="O41" s="7">
        <v>-1</v>
      </c>
      <c r="P41" s="7">
        <v>-1</v>
      </c>
      <c r="Q41" s="7">
        <v>-1</v>
      </c>
      <c r="R41" s="7">
        <v>-1</v>
      </c>
      <c r="S41" s="7">
        <v>-1</v>
      </c>
      <c r="T41" s="7">
        <v>-1</v>
      </c>
      <c r="U41" s="1">
        <v>484</v>
      </c>
      <c r="W41" s="1">
        <v>691615</v>
      </c>
    </row>
    <row r="42" spans="1:23" x14ac:dyDescent="0.25">
      <c r="A42" s="76">
        <v>1.5</v>
      </c>
      <c r="B42" s="76" t="s">
        <v>54</v>
      </c>
      <c r="C42" s="76">
        <v>2010</v>
      </c>
      <c r="D42" s="76" t="str">
        <f t="shared" si="3"/>
        <v>Y10X</v>
      </c>
      <c r="E42" s="76" t="s">
        <v>33</v>
      </c>
      <c r="F42" s="77" t="s">
        <v>704</v>
      </c>
      <c r="G42" s="78">
        <v>0.65448620371380162</v>
      </c>
      <c r="H42" s="79"/>
      <c r="I42" s="79"/>
      <c r="J42" s="3" t="str">
        <f t="shared" si="1"/>
        <v/>
      </c>
      <c r="K42" s="7">
        <v>2.0093770931004507E-3</v>
      </c>
      <c r="L42" s="7">
        <v>6.0200668896324139E-3</v>
      </c>
      <c r="M42" s="7">
        <v>4.0106951871656804E-3</v>
      </c>
      <c r="N42" s="7">
        <v>-5.3120849933600001E-3</v>
      </c>
      <c r="O42" s="7">
        <v>-2.000000000000024E-2</v>
      </c>
      <c r="P42" s="7">
        <v>-0.29499999999999882</v>
      </c>
      <c r="Q42" s="7">
        <v>-0.99500000000000033</v>
      </c>
      <c r="R42" s="7">
        <v>-0.99750000000000083</v>
      </c>
      <c r="S42" s="7">
        <v>-1</v>
      </c>
      <c r="T42" s="7">
        <v>-1</v>
      </c>
    </row>
    <row r="43" spans="1:23" x14ac:dyDescent="0.25">
      <c r="A43" s="76">
        <v>1.5</v>
      </c>
      <c r="B43" s="76" t="s">
        <v>54</v>
      </c>
      <c r="C43" s="76">
        <v>2010</v>
      </c>
      <c r="D43" s="76" t="str">
        <f t="shared" si="3"/>
        <v>Y10X</v>
      </c>
      <c r="E43" s="76" t="s">
        <v>33</v>
      </c>
      <c r="F43" s="77" t="s">
        <v>705</v>
      </c>
      <c r="G43" s="78">
        <v>3.5046141480598036E-3</v>
      </c>
      <c r="H43" s="79">
        <v>42177</v>
      </c>
      <c r="I43" s="79">
        <v>42177</v>
      </c>
      <c r="J43" s="3" t="str">
        <f t="shared" si="1"/>
        <v/>
      </c>
      <c r="K43" s="7">
        <v>-0.99598124581379677</v>
      </c>
      <c r="L43" s="7">
        <v>-0.99598662207357924</v>
      </c>
      <c r="M43" s="7">
        <v>-0.99732620320855558</v>
      </c>
      <c r="N43" s="7">
        <v>-0.99734395750332094</v>
      </c>
      <c r="O43" s="7">
        <v>-0.99499999999999889</v>
      </c>
      <c r="P43" s="7">
        <v>-0.99499999999999889</v>
      </c>
      <c r="Q43" s="7">
        <v>-0.99750000000000227</v>
      </c>
      <c r="R43" s="7">
        <v>-1</v>
      </c>
      <c r="S43" s="7">
        <v>-1</v>
      </c>
      <c r="T43" s="7">
        <v>-1</v>
      </c>
      <c r="U43" s="1">
        <v>900</v>
      </c>
      <c r="W43" s="1">
        <v>1385682</v>
      </c>
    </row>
    <row r="44" spans="1:23" x14ac:dyDescent="0.25">
      <c r="A44" s="76">
        <v>1.5</v>
      </c>
      <c r="B44" s="76" t="s">
        <v>54</v>
      </c>
      <c r="C44" s="76">
        <v>2010</v>
      </c>
      <c r="D44" s="76" t="str">
        <f t="shared" si="3"/>
        <v>Y10X</v>
      </c>
      <c r="E44" s="76" t="s">
        <v>33</v>
      </c>
      <c r="F44" s="77" t="s">
        <v>706</v>
      </c>
      <c r="G44" s="78">
        <v>5.2279344426961916E-2</v>
      </c>
      <c r="H44" s="79">
        <v>42165</v>
      </c>
      <c r="I44" s="79">
        <v>42165</v>
      </c>
      <c r="J44" s="3" t="str">
        <f t="shared" si="1"/>
        <v/>
      </c>
      <c r="K44" s="7">
        <v>-0.99062290689886223</v>
      </c>
      <c r="L44" s="7">
        <v>-0.99264214046822652</v>
      </c>
      <c r="M44" s="7">
        <v>-0.99331550802139035</v>
      </c>
      <c r="N44" s="7">
        <v>-0.99335989375830014</v>
      </c>
      <c r="O44" s="7">
        <v>-0.88500000000000223</v>
      </c>
      <c r="P44" s="7">
        <v>-0.90500000000000114</v>
      </c>
      <c r="Q44" s="7">
        <v>-0.99499999999999889</v>
      </c>
      <c r="R44" s="7">
        <v>-0.99499999999999889</v>
      </c>
      <c r="S44" s="7">
        <v>-1</v>
      </c>
      <c r="T44" s="7">
        <v>-1</v>
      </c>
      <c r="U44" s="1">
        <v>9313</v>
      </c>
      <c r="W44" s="1">
        <v>3340198</v>
      </c>
    </row>
    <row r="45" spans="1:23" x14ac:dyDescent="0.25">
      <c r="A45" s="76">
        <v>1.5</v>
      </c>
      <c r="B45" s="76" t="s">
        <v>54</v>
      </c>
      <c r="C45" s="76">
        <v>2010</v>
      </c>
      <c r="D45" s="76" t="str">
        <f t="shared" si="3"/>
        <v>Y10X</v>
      </c>
      <c r="E45" s="76" t="s">
        <v>33</v>
      </c>
      <c r="F45" s="77" t="s">
        <v>707</v>
      </c>
      <c r="G45" s="78">
        <v>5.0859956871917023E-3</v>
      </c>
      <c r="H45" s="79">
        <v>40304</v>
      </c>
      <c r="I45" s="79"/>
      <c r="J45" s="3">
        <f t="shared" si="1"/>
        <v>-110</v>
      </c>
      <c r="K45" s="7">
        <v>-0.9819156061620895</v>
      </c>
      <c r="L45" s="7">
        <v>-0.97859531772575292</v>
      </c>
      <c r="M45" s="7">
        <v>-0.9866310160427807</v>
      </c>
      <c r="N45" s="7">
        <v>-0.97476759628154008</v>
      </c>
      <c r="O45" s="7">
        <v>-1</v>
      </c>
      <c r="P45" s="7">
        <v>-1</v>
      </c>
      <c r="Q45" s="7">
        <v>-1</v>
      </c>
      <c r="R45" s="7">
        <v>-1</v>
      </c>
      <c r="S45" s="7">
        <v>-1</v>
      </c>
      <c r="T45" s="7">
        <v>-1</v>
      </c>
      <c r="U45" s="1" t="s">
        <v>1116</v>
      </c>
      <c r="W45" s="1">
        <v>2379848</v>
      </c>
    </row>
    <row r="46" spans="1:23" x14ac:dyDescent="0.25">
      <c r="A46" s="76">
        <v>1.5</v>
      </c>
      <c r="B46" s="76" t="s">
        <v>54</v>
      </c>
      <c r="C46" s="76">
        <v>2010</v>
      </c>
      <c r="D46" s="76" t="str">
        <f t="shared" si="3"/>
        <v>Y10X</v>
      </c>
      <c r="E46" s="76" t="s">
        <v>33</v>
      </c>
      <c r="F46" s="77" t="s">
        <v>708</v>
      </c>
      <c r="G46" s="78">
        <v>0.14753774646382756</v>
      </c>
      <c r="H46" s="79">
        <v>40495</v>
      </c>
      <c r="I46" s="79">
        <v>40495</v>
      </c>
      <c r="J46" s="3" t="str">
        <f t="shared" si="1"/>
        <v/>
      </c>
      <c r="K46" s="7">
        <v>-0.801071667782987</v>
      </c>
      <c r="L46" s="7">
        <v>-0.79799331103678894</v>
      </c>
      <c r="M46" s="7">
        <v>-0.86163101604278047</v>
      </c>
      <c r="N46" s="7">
        <v>-0.89973439575033265</v>
      </c>
      <c r="O46" s="7">
        <v>-0.75249999999999773</v>
      </c>
      <c r="P46" s="7">
        <v>-0.80750000000000455</v>
      </c>
      <c r="Q46" s="7">
        <v>-0.96999999999999886</v>
      </c>
      <c r="R46" s="7">
        <v>-0.99499999999999889</v>
      </c>
      <c r="S46" s="7">
        <v>-1</v>
      </c>
      <c r="T46" s="7">
        <v>-1</v>
      </c>
      <c r="W46" s="1">
        <v>6361862</v>
      </c>
    </row>
    <row r="47" spans="1:23" x14ac:dyDescent="0.25">
      <c r="A47" s="76">
        <v>1.5</v>
      </c>
      <c r="B47" s="76" t="s">
        <v>54</v>
      </c>
      <c r="C47" s="76">
        <v>2010</v>
      </c>
      <c r="D47" s="76" t="str">
        <f t="shared" si="3"/>
        <v>Y10X</v>
      </c>
      <c r="E47" s="76" t="s">
        <v>33</v>
      </c>
      <c r="F47" s="77" t="s">
        <v>709</v>
      </c>
      <c r="G47" s="78">
        <v>0.22581340741219036</v>
      </c>
      <c r="H47" s="79">
        <v>40798</v>
      </c>
      <c r="I47" s="79">
        <v>40798</v>
      </c>
      <c r="J47" s="3" t="str">
        <f t="shared" si="1"/>
        <v/>
      </c>
      <c r="K47" s="7">
        <v>-0.70529135967849976</v>
      </c>
      <c r="L47" s="7">
        <v>-0.71906354515050164</v>
      </c>
      <c r="M47" s="7">
        <v>-0.79946524064171121</v>
      </c>
      <c r="N47" s="7">
        <v>-0.84063745019920322</v>
      </c>
      <c r="O47" s="7">
        <v>-0.73499999999999654</v>
      </c>
      <c r="P47" s="7">
        <v>-0.65500000000000114</v>
      </c>
      <c r="Q47" s="7">
        <v>-0.81000000000000227</v>
      </c>
      <c r="R47" s="7">
        <v>-1</v>
      </c>
      <c r="S47" s="7">
        <v>-1</v>
      </c>
      <c r="T47" s="7">
        <v>-1</v>
      </c>
      <c r="W47" s="1">
        <v>5283639</v>
      </c>
    </row>
    <row r="48" spans="1:23" x14ac:dyDescent="0.25">
      <c r="A48" s="76">
        <v>3</v>
      </c>
      <c r="B48" s="76" t="s">
        <v>54</v>
      </c>
      <c r="C48" s="76">
        <v>2007</v>
      </c>
      <c r="D48" s="76" t="str">
        <f t="shared" si="0"/>
        <v>A07F</v>
      </c>
      <c r="E48" s="76" t="s">
        <v>32</v>
      </c>
      <c r="F48" s="77" t="s">
        <v>19</v>
      </c>
      <c r="G48" s="78">
        <v>0.86789343449671552</v>
      </c>
      <c r="H48" s="79"/>
      <c r="I48" s="79"/>
      <c r="J48" s="3" t="str">
        <f t="shared" si="1"/>
        <v/>
      </c>
      <c r="K48" s="7"/>
      <c r="L48" s="7"/>
      <c r="M48" s="7"/>
      <c r="N48" s="7"/>
      <c r="O48" s="7"/>
      <c r="P48" s="7"/>
      <c r="Q48" s="7"/>
      <c r="R48" s="7"/>
      <c r="S48" s="7"/>
      <c r="T48" s="7"/>
    </row>
    <row r="49" spans="1:23" x14ac:dyDescent="0.25">
      <c r="A49" s="76">
        <v>3</v>
      </c>
      <c r="B49" s="76" t="s">
        <v>54</v>
      </c>
      <c r="C49" s="76">
        <v>2007</v>
      </c>
      <c r="D49" s="76" t="str">
        <f t="shared" si="0"/>
        <v>A07F</v>
      </c>
      <c r="E49" s="76" t="s">
        <v>32</v>
      </c>
      <c r="F49" s="77" t="s">
        <v>20</v>
      </c>
      <c r="G49" s="78">
        <v>0.91934241490719004</v>
      </c>
      <c r="H49" s="79">
        <v>39464</v>
      </c>
      <c r="I49" s="79">
        <v>41727</v>
      </c>
      <c r="J49" s="3">
        <f t="shared" si="1"/>
        <v>6</v>
      </c>
      <c r="K49" s="7"/>
      <c r="L49" s="7"/>
      <c r="M49" s="7"/>
      <c r="N49" s="7"/>
      <c r="O49" s="7"/>
      <c r="P49" s="7"/>
      <c r="Q49" s="7"/>
      <c r="R49" s="7"/>
      <c r="S49" s="7"/>
      <c r="T49" s="7"/>
      <c r="U49" s="36">
        <v>424</v>
      </c>
      <c r="W49" s="36">
        <v>5350271</v>
      </c>
    </row>
    <row r="50" spans="1:23" x14ac:dyDescent="0.25">
      <c r="A50" s="76">
        <v>3</v>
      </c>
      <c r="B50" s="76" t="s">
        <v>54</v>
      </c>
      <c r="C50" s="76">
        <v>2007</v>
      </c>
      <c r="D50" s="76" t="str">
        <f t="shared" si="0"/>
        <v>A07F</v>
      </c>
      <c r="E50" s="76" t="s">
        <v>32</v>
      </c>
      <c r="F50" s="77" t="s">
        <v>21</v>
      </c>
      <c r="G50" s="78">
        <v>0.86448145983620772</v>
      </c>
      <c r="H50" s="79">
        <v>39464</v>
      </c>
      <c r="I50" s="79">
        <v>41729</v>
      </c>
      <c r="J50" s="3">
        <f t="shared" si="1"/>
        <v>6</v>
      </c>
      <c r="K50" s="7"/>
      <c r="L50" s="7"/>
      <c r="M50" s="7"/>
      <c r="N50" s="7"/>
      <c r="O50" s="7"/>
      <c r="P50" s="7"/>
      <c r="Q50" s="7"/>
      <c r="R50" s="7"/>
      <c r="S50" s="7"/>
      <c r="T50" s="7"/>
      <c r="U50" s="36">
        <v>345</v>
      </c>
      <c r="W50" s="36">
        <v>5350298</v>
      </c>
    </row>
    <row r="51" spans="1:23" x14ac:dyDescent="0.25">
      <c r="A51" s="76">
        <v>3</v>
      </c>
      <c r="B51" s="76" t="s">
        <v>54</v>
      </c>
      <c r="C51" s="76">
        <v>2007</v>
      </c>
      <c r="D51" s="76" t="str">
        <f t="shared" si="0"/>
        <v>A07F</v>
      </c>
      <c r="E51" s="76" t="s">
        <v>32</v>
      </c>
      <c r="F51" s="77" t="s">
        <v>22</v>
      </c>
      <c r="G51" s="78">
        <v>0.91520569166976362</v>
      </c>
      <c r="H51" s="79"/>
      <c r="I51" s="79"/>
      <c r="J51" s="3" t="str">
        <f t="shared" si="1"/>
        <v/>
      </c>
      <c r="K51" s="7"/>
      <c r="L51" s="7"/>
      <c r="M51" s="7"/>
      <c r="N51" s="7"/>
      <c r="O51" s="7"/>
      <c r="P51" s="7"/>
      <c r="Q51" s="7"/>
      <c r="R51" s="7"/>
      <c r="S51" s="7"/>
      <c r="T51" s="7"/>
    </row>
    <row r="52" spans="1:23" x14ac:dyDescent="0.25">
      <c r="A52" s="76">
        <v>3</v>
      </c>
      <c r="B52" s="76" t="s">
        <v>54</v>
      </c>
      <c r="C52" s="76">
        <v>2007</v>
      </c>
      <c r="D52" s="76" t="str">
        <f t="shared" si="0"/>
        <v>A07F</v>
      </c>
      <c r="E52" s="76" t="s">
        <v>32</v>
      </c>
      <c r="F52" s="77" t="s">
        <v>23</v>
      </c>
      <c r="G52" s="78">
        <v>0.87760057856263152</v>
      </c>
      <c r="H52" s="79">
        <v>39462</v>
      </c>
      <c r="I52" s="79">
        <v>41757</v>
      </c>
      <c r="J52" s="3">
        <f t="shared" si="1"/>
        <v>6</v>
      </c>
      <c r="K52" s="7"/>
      <c r="L52" s="7"/>
      <c r="M52" s="7"/>
      <c r="N52" s="7"/>
      <c r="O52" s="7"/>
      <c r="P52" s="7"/>
      <c r="Q52" s="7"/>
      <c r="R52" s="7"/>
      <c r="S52" s="7"/>
      <c r="T52" s="7"/>
      <c r="U52" s="1">
        <v>2569</v>
      </c>
      <c r="W52" s="1">
        <v>1278886</v>
      </c>
    </row>
    <row r="53" spans="1:23" x14ac:dyDescent="0.25">
      <c r="A53" s="76">
        <v>3</v>
      </c>
      <c r="B53" s="76" t="s">
        <v>54</v>
      </c>
      <c r="C53" s="76">
        <v>2007</v>
      </c>
      <c r="D53" s="76" t="str">
        <f t="shared" si="0"/>
        <v>A07F</v>
      </c>
      <c r="E53" s="76" t="s">
        <v>32</v>
      </c>
      <c r="F53" s="77" t="s">
        <v>24</v>
      </c>
      <c r="G53" s="78">
        <v>0.86046073769882292</v>
      </c>
      <c r="H53" s="79">
        <v>39464</v>
      </c>
      <c r="I53" s="79">
        <v>41727</v>
      </c>
      <c r="J53" s="3">
        <f t="shared" si="1"/>
        <v>6</v>
      </c>
      <c r="K53" s="7"/>
      <c r="L53" s="7"/>
      <c r="M53" s="7"/>
      <c r="N53" s="7"/>
      <c r="O53" s="7"/>
      <c r="P53" s="7"/>
      <c r="Q53" s="7"/>
      <c r="R53" s="7"/>
      <c r="S53" s="7"/>
      <c r="T53" s="7"/>
      <c r="U53" s="1">
        <v>681</v>
      </c>
      <c r="W53" s="1">
        <v>5350255</v>
      </c>
    </row>
    <row r="54" spans="1:23" x14ac:dyDescent="0.25">
      <c r="A54" s="76">
        <v>3</v>
      </c>
      <c r="B54" s="76" t="s">
        <v>54</v>
      </c>
      <c r="C54" s="76">
        <v>2007</v>
      </c>
      <c r="D54" s="76" t="str">
        <f t="shared" si="0"/>
        <v>A07F</v>
      </c>
      <c r="E54" s="76" t="s">
        <v>32</v>
      </c>
      <c r="F54" s="77" t="s">
        <v>25</v>
      </c>
      <c r="G54" s="78">
        <v>0.92131502425403899</v>
      </c>
      <c r="H54" s="79">
        <v>39464</v>
      </c>
      <c r="I54" s="79">
        <v>41727</v>
      </c>
      <c r="J54" s="3">
        <f t="shared" si="1"/>
        <v>6</v>
      </c>
      <c r="K54" s="7"/>
      <c r="L54" s="7"/>
      <c r="M54" s="7"/>
      <c r="N54" s="7"/>
      <c r="O54" s="7"/>
      <c r="P54" s="7"/>
      <c r="Q54" s="7"/>
      <c r="R54" s="7"/>
      <c r="S54" s="7"/>
      <c r="T54" s="7"/>
      <c r="U54" s="1">
        <v>488</v>
      </c>
      <c r="W54" s="1">
        <v>5350247</v>
      </c>
    </row>
    <row r="55" spans="1:23" x14ac:dyDescent="0.25">
      <c r="A55" s="76">
        <v>3</v>
      </c>
      <c r="B55" s="76" t="s">
        <v>54</v>
      </c>
      <c r="C55" s="76">
        <v>2007</v>
      </c>
      <c r="D55" s="76" t="str">
        <f t="shared" si="0"/>
        <v>A07F</v>
      </c>
      <c r="E55" s="76" t="s">
        <v>32</v>
      </c>
      <c r="F55" s="77" t="s">
        <v>26</v>
      </c>
      <c r="G55" s="78">
        <v>0.84997891482114585</v>
      </c>
      <c r="H55" s="79">
        <v>39464</v>
      </c>
      <c r="I55" s="79">
        <v>41727</v>
      </c>
      <c r="J55" s="3">
        <f t="shared" si="1"/>
        <v>6</v>
      </c>
      <c r="K55" s="7"/>
      <c r="L55" s="7"/>
      <c r="M55" s="7"/>
      <c r="N55" s="7"/>
      <c r="O55" s="7"/>
      <c r="P55" s="7"/>
      <c r="Q55" s="7"/>
      <c r="R55" s="7"/>
      <c r="S55" s="7"/>
      <c r="T55" s="7"/>
      <c r="U55" s="1">
        <v>349</v>
      </c>
      <c r="W55" s="1">
        <v>5350281</v>
      </c>
    </row>
    <row r="56" spans="1:23" x14ac:dyDescent="0.25">
      <c r="A56" s="76">
        <v>3</v>
      </c>
      <c r="B56" s="76" t="s">
        <v>54</v>
      </c>
      <c r="C56" s="76">
        <v>2007</v>
      </c>
      <c r="D56" s="76" t="str">
        <f t="shared" si="0"/>
        <v>A07F</v>
      </c>
      <c r="E56" s="76" t="s">
        <v>32</v>
      </c>
      <c r="F56" s="77" t="s">
        <v>27</v>
      </c>
      <c r="G56" s="78">
        <v>0.80779803849133092</v>
      </c>
      <c r="H56" s="79">
        <v>39644</v>
      </c>
      <c r="I56" s="79">
        <v>41866</v>
      </c>
      <c r="J56" s="3">
        <f t="shared" si="1"/>
        <v>6</v>
      </c>
      <c r="K56" s="7"/>
      <c r="L56" s="7"/>
      <c r="M56" s="7"/>
      <c r="N56" s="7"/>
      <c r="O56" s="7"/>
      <c r="P56" s="7"/>
      <c r="Q56" s="7"/>
      <c r="R56" s="7"/>
      <c r="S56" s="7"/>
      <c r="T56" s="7"/>
      <c r="U56" s="1">
        <v>8619</v>
      </c>
      <c r="W56" s="1">
        <v>1423428</v>
      </c>
    </row>
    <row r="57" spans="1:23" x14ac:dyDescent="0.25">
      <c r="A57" s="76">
        <v>3</v>
      </c>
      <c r="B57" s="76" t="s">
        <v>54</v>
      </c>
      <c r="C57" s="76">
        <v>2007</v>
      </c>
      <c r="D57" s="76" t="str">
        <f t="shared" si="0"/>
        <v>A06A</v>
      </c>
      <c r="E57" s="76" t="s">
        <v>158</v>
      </c>
      <c r="F57" s="77" t="s">
        <v>363</v>
      </c>
      <c r="G57" s="78">
        <v>0.977373353284686</v>
      </c>
      <c r="H57" s="79"/>
      <c r="I57" s="79"/>
      <c r="J57" s="3" t="str">
        <f t="shared" si="1"/>
        <v/>
      </c>
      <c r="K57" s="7"/>
      <c r="L57" s="7"/>
      <c r="M57" s="7"/>
      <c r="N57" s="7"/>
      <c r="O57" s="7"/>
      <c r="P57" s="7"/>
      <c r="Q57" s="7"/>
      <c r="R57" s="7"/>
      <c r="S57" s="7"/>
      <c r="T57" s="7"/>
      <c r="U57" s="1" t="s">
        <v>1116</v>
      </c>
      <c r="W57" s="1">
        <v>4806204</v>
      </c>
    </row>
    <row r="58" spans="1:23" x14ac:dyDescent="0.25">
      <c r="A58" s="76">
        <v>3</v>
      </c>
      <c r="B58" s="76" t="s">
        <v>54</v>
      </c>
      <c r="C58" s="76">
        <v>2007</v>
      </c>
      <c r="D58" s="76" t="str">
        <f t="shared" si="0"/>
        <v>A06A</v>
      </c>
      <c r="E58" s="76" t="s">
        <v>158</v>
      </c>
      <c r="F58" s="77" t="s">
        <v>45</v>
      </c>
      <c r="G58" s="78">
        <v>0.26362595142382561</v>
      </c>
      <c r="H58" s="79">
        <v>38965</v>
      </c>
      <c r="I58" s="79">
        <v>41864</v>
      </c>
      <c r="J58" s="3">
        <f t="shared" si="1"/>
        <v>8</v>
      </c>
      <c r="K58" s="7"/>
      <c r="L58" s="7"/>
      <c r="M58" s="7"/>
      <c r="N58" s="7"/>
      <c r="O58" s="7"/>
      <c r="P58" s="7"/>
      <c r="Q58" s="7"/>
      <c r="R58" s="7"/>
      <c r="S58" s="7"/>
      <c r="T58" s="7"/>
      <c r="U58" s="1">
        <v>1128</v>
      </c>
      <c r="W58" s="1">
        <v>390021</v>
      </c>
    </row>
    <row r="59" spans="1:23" x14ac:dyDescent="0.25">
      <c r="A59" s="76">
        <v>3</v>
      </c>
      <c r="B59" s="76" t="s">
        <v>54</v>
      </c>
      <c r="C59" s="76">
        <v>2007</v>
      </c>
      <c r="D59" s="76" t="str">
        <f t="shared" si="0"/>
        <v>A06A</v>
      </c>
      <c r="E59" s="76" t="s">
        <v>158</v>
      </c>
      <c r="F59" s="77" t="s">
        <v>46</v>
      </c>
      <c r="G59" s="78">
        <v>0.97714771775814546</v>
      </c>
      <c r="H59" s="79">
        <v>38964</v>
      </c>
      <c r="I59" s="79">
        <v>41773</v>
      </c>
      <c r="J59" s="3">
        <f t="shared" si="1"/>
        <v>8</v>
      </c>
      <c r="K59" s="7"/>
      <c r="L59" s="7"/>
      <c r="M59" s="7"/>
      <c r="N59" s="7"/>
      <c r="O59" s="7"/>
      <c r="P59" s="7"/>
      <c r="Q59" s="7"/>
      <c r="R59" s="7"/>
      <c r="S59" s="7"/>
      <c r="T59" s="7"/>
      <c r="U59" s="1">
        <v>1001</v>
      </c>
      <c r="W59" s="1">
        <v>1660616</v>
      </c>
    </row>
    <row r="60" spans="1:23" x14ac:dyDescent="0.25">
      <c r="A60" s="76">
        <v>3</v>
      </c>
      <c r="B60" s="76" t="s">
        <v>54</v>
      </c>
      <c r="C60" s="76">
        <v>2007</v>
      </c>
      <c r="D60" s="76" t="str">
        <f t="shared" si="0"/>
        <v>A06A</v>
      </c>
      <c r="E60" s="76" t="s">
        <v>158</v>
      </c>
      <c r="F60" s="77" t="s">
        <v>47</v>
      </c>
      <c r="G60" s="78">
        <v>0.9727111643411287</v>
      </c>
      <c r="H60" s="79">
        <v>38907</v>
      </c>
      <c r="I60" s="79"/>
      <c r="J60" s="3">
        <f t="shared" si="1"/>
        <v>-106</v>
      </c>
      <c r="K60" s="7"/>
      <c r="L60" s="7"/>
      <c r="M60" s="7"/>
      <c r="N60" s="7"/>
      <c r="O60" s="7"/>
      <c r="P60" s="7"/>
      <c r="Q60" s="7"/>
      <c r="R60" s="7"/>
      <c r="S60" s="7"/>
      <c r="T60" s="7"/>
      <c r="U60" s="1">
        <v>2793</v>
      </c>
      <c r="W60" s="1">
        <v>4737822</v>
      </c>
    </row>
    <row r="61" spans="1:23" x14ac:dyDescent="0.25">
      <c r="A61" s="76">
        <v>3</v>
      </c>
      <c r="B61" s="76" t="s">
        <v>54</v>
      </c>
      <c r="C61" s="76">
        <v>2007</v>
      </c>
      <c r="D61" s="76" t="str">
        <f t="shared" si="0"/>
        <v>A06A</v>
      </c>
      <c r="E61" s="76" t="s">
        <v>158</v>
      </c>
      <c r="F61" s="77" t="s">
        <v>48</v>
      </c>
      <c r="G61" s="78">
        <v>5.3523336050061987E-3</v>
      </c>
      <c r="H61" s="79">
        <v>42593</v>
      </c>
      <c r="I61" s="79">
        <v>41835</v>
      </c>
      <c r="J61" s="3">
        <f t="shared" si="1"/>
        <v>-2</v>
      </c>
      <c r="K61" s="7"/>
      <c r="L61" s="7"/>
      <c r="M61" s="7"/>
      <c r="N61" s="7"/>
      <c r="O61" s="7"/>
      <c r="P61" s="7"/>
      <c r="Q61" s="7"/>
      <c r="R61" s="7"/>
      <c r="S61" s="7"/>
      <c r="T61" s="7"/>
      <c r="U61" s="1">
        <v>3628</v>
      </c>
      <c r="W61" s="1">
        <v>89419</v>
      </c>
    </row>
    <row r="62" spans="1:23" x14ac:dyDescent="0.25">
      <c r="A62" s="76">
        <v>3</v>
      </c>
      <c r="B62" s="76" t="s">
        <v>54</v>
      </c>
      <c r="C62" s="76">
        <v>2007</v>
      </c>
      <c r="D62" s="76" t="str">
        <f t="shared" si="0"/>
        <v>A06A</v>
      </c>
      <c r="E62" s="76" t="s">
        <v>158</v>
      </c>
      <c r="F62" s="77" t="s">
        <v>49</v>
      </c>
      <c r="G62" s="78">
        <v>0</v>
      </c>
      <c r="H62" s="79">
        <v>38903</v>
      </c>
      <c r="I62" s="79">
        <v>41834</v>
      </c>
      <c r="J62" s="3">
        <f t="shared" si="1"/>
        <v>8</v>
      </c>
      <c r="K62" s="7"/>
      <c r="L62" s="7"/>
      <c r="M62" s="7"/>
      <c r="N62" s="7"/>
      <c r="O62" s="7"/>
      <c r="P62" s="7"/>
      <c r="Q62" s="7"/>
      <c r="R62" s="7"/>
      <c r="S62" s="7"/>
      <c r="T62" s="7"/>
      <c r="U62" s="1">
        <v>940</v>
      </c>
      <c r="W62" s="1">
        <v>1577581</v>
      </c>
    </row>
    <row r="63" spans="1:23" x14ac:dyDescent="0.25">
      <c r="A63" s="76">
        <v>3</v>
      </c>
      <c r="B63" s="76" t="s">
        <v>54</v>
      </c>
      <c r="C63" s="76">
        <v>2007</v>
      </c>
      <c r="D63" s="76" t="str">
        <f t="shared" si="0"/>
        <v>A06A</v>
      </c>
      <c r="E63" s="76" t="s">
        <v>158</v>
      </c>
      <c r="F63" s="77" t="s">
        <v>50</v>
      </c>
      <c r="G63" s="78">
        <v>7.9017810100356911E-4</v>
      </c>
      <c r="H63" s="79">
        <v>38902</v>
      </c>
      <c r="I63" s="79">
        <v>41754</v>
      </c>
      <c r="J63" s="3">
        <f t="shared" si="1"/>
        <v>8</v>
      </c>
      <c r="K63" s="7"/>
      <c r="L63" s="7"/>
      <c r="M63" s="7"/>
      <c r="N63" s="7"/>
      <c r="O63" s="7"/>
      <c r="P63" s="7"/>
      <c r="Q63" s="7"/>
      <c r="R63" s="7"/>
      <c r="S63" s="7"/>
      <c r="T63" s="7"/>
      <c r="U63" s="1">
        <v>2163</v>
      </c>
      <c r="W63" s="1">
        <v>1577808</v>
      </c>
    </row>
    <row r="64" spans="1:23" x14ac:dyDescent="0.25">
      <c r="A64" s="76">
        <v>3</v>
      </c>
      <c r="B64" s="76" t="s">
        <v>54</v>
      </c>
      <c r="C64" s="76">
        <v>2007</v>
      </c>
      <c r="D64" s="76" t="str">
        <f t="shared" si="0"/>
        <v>A06A</v>
      </c>
      <c r="E64" s="76" t="s">
        <v>158</v>
      </c>
      <c r="F64" s="77" t="s">
        <v>51</v>
      </c>
      <c r="G64" s="78">
        <v>1.4760060401970421E-3</v>
      </c>
      <c r="H64" s="79">
        <v>38905</v>
      </c>
      <c r="I64" s="79">
        <v>41550</v>
      </c>
      <c r="J64" s="3">
        <f t="shared" si="1"/>
        <v>7</v>
      </c>
      <c r="K64" s="7"/>
      <c r="L64" s="7"/>
      <c r="M64" s="7"/>
      <c r="N64" s="7"/>
      <c r="O64" s="7"/>
      <c r="P64" s="7"/>
      <c r="Q64" s="7"/>
      <c r="R64" s="7"/>
      <c r="S64" s="7"/>
      <c r="T64" s="7"/>
      <c r="U64" s="1">
        <v>1247</v>
      </c>
      <c r="W64" s="1">
        <v>3767299</v>
      </c>
    </row>
    <row r="65" spans="1:23" x14ac:dyDescent="0.25">
      <c r="A65" s="76">
        <v>3</v>
      </c>
      <c r="B65" s="76" t="s">
        <v>54</v>
      </c>
      <c r="C65" s="76">
        <v>2007</v>
      </c>
      <c r="D65" s="76" t="str">
        <f t="shared" si="0"/>
        <v>A06A</v>
      </c>
      <c r="E65" s="76" t="s">
        <v>158</v>
      </c>
      <c r="F65" s="77" t="s">
        <v>52</v>
      </c>
      <c r="G65" s="78">
        <v>0.98911556213723717</v>
      </c>
      <c r="H65" s="79"/>
      <c r="I65" s="79"/>
      <c r="J65" s="3" t="str">
        <f t="shared" si="1"/>
        <v/>
      </c>
      <c r="K65" s="7"/>
      <c r="L65" s="7"/>
      <c r="M65" s="7"/>
      <c r="N65" s="7"/>
      <c r="O65" s="7"/>
      <c r="P65" s="7"/>
      <c r="Q65" s="7"/>
      <c r="R65" s="7"/>
      <c r="S65" s="7"/>
      <c r="T65" s="7"/>
      <c r="U65" s="1" t="s">
        <v>1116</v>
      </c>
    </row>
    <row r="66" spans="1:23" x14ac:dyDescent="0.25">
      <c r="A66" s="76">
        <v>3</v>
      </c>
      <c r="B66" s="76" t="s">
        <v>54</v>
      </c>
      <c r="C66" s="76">
        <v>2007</v>
      </c>
      <c r="D66" s="76" t="str">
        <f t="shared" si="0"/>
        <v>A06A</v>
      </c>
      <c r="E66" s="76" t="s">
        <v>158</v>
      </c>
      <c r="F66" s="77" t="s">
        <v>53</v>
      </c>
      <c r="G66" s="78">
        <v>0.73779040722724964</v>
      </c>
      <c r="H66" s="79">
        <v>38948</v>
      </c>
      <c r="I66" s="79">
        <v>41764</v>
      </c>
      <c r="J66" s="3">
        <f t="shared" si="1"/>
        <v>8</v>
      </c>
      <c r="K66" s="7"/>
      <c r="L66" s="7"/>
      <c r="M66" s="7"/>
      <c r="N66" s="7"/>
      <c r="O66" s="7"/>
      <c r="P66" s="7"/>
      <c r="Q66" s="7"/>
      <c r="R66" s="7"/>
      <c r="S66" s="7"/>
      <c r="T66" s="7"/>
      <c r="U66" s="1">
        <v>1707</v>
      </c>
      <c r="W66" s="1">
        <v>4767888</v>
      </c>
    </row>
    <row r="67" spans="1:23" x14ac:dyDescent="0.25">
      <c r="A67" s="76">
        <v>3</v>
      </c>
      <c r="B67" s="76" t="s">
        <v>54</v>
      </c>
      <c r="C67" s="76">
        <v>2007</v>
      </c>
      <c r="D67" s="76" t="str">
        <f t="shared" ref="D67:D76" si="4">LEFT(F67,4)</f>
        <v>A06A</v>
      </c>
      <c r="E67" s="76" t="s">
        <v>158</v>
      </c>
      <c r="F67" s="77" t="s">
        <v>1105</v>
      </c>
      <c r="G67" s="78">
        <v>0</v>
      </c>
      <c r="H67" s="79">
        <v>42188</v>
      </c>
      <c r="I67" s="79">
        <v>42188</v>
      </c>
      <c r="J67" s="3" t="str">
        <f t="shared" si="1"/>
        <v/>
      </c>
      <c r="K67" s="7">
        <v>-1</v>
      </c>
      <c r="L67" s="7">
        <v>-1</v>
      </c>
      <c r="M67" s="7">
        <v>-1</v>
      </c>
      <c r="N67" s="7">
        <v>-1</v>
      </c>
      <c r="O67" s="7">
        <v>-1</v>
      </c>
      <c r="P67" s="7">
        <v>-1</v>
      </c>
      <c r="Q67" s="7">
        <v>-1</v>
      </c>
      <c r="R67" s="7">
        <v>-1</v>
      </c>
      <c r="S67" s="7">
        <v>-1</v>
      </c>
      <c r="T67" s="7">
        <v>-1</v>
      </c>
      <c r="U67" s="1">
        <v>0</v>
      </c>
      <c r="W67" s="1">
        <v>4863496</v>
      </c>
    </row>
    <row r="68" spans="1:23" x14ac:dyDescent="0.25">
      <c r="A68" s="76">
        <v>3</v>
      </c>
      <c r="B68" s="76" t="s">
        <v>54</v>
      </c>
      <c r="C68" s="76">
        <v>2007</v>
      </c>
      <c r="D68" s="76" t="str">
        <f t="shared" si="4"/>
        <v>A06A</v>
      </c>
      <c r="E68" s="76" t="s">
        <v>158</v>
      </c>
      <c r="F68" s="77" t="s">
        <v>1106</v>
      </c>
      <c r="G68" s="78">
        <v>0.75818557074500559</v>
      </c>
      <c r="H68" s="79">
        <v>39022</v>
      </c>
      <c r="I68" s="79">
        <v>39022</v>
      </c>
      <c r="J68" s="3" t="str">
        <f t="shared" si="1"/>
        <v/>
      </c>
      <c r="K68" s="7">
        <v>-0.15782493368700268</v>
      </c>
      <c r="L68" s="7">
        <v>-0.16677803020179205</v>
      </c>
      <c r="M68" s="7">
        <v>-0.16333333333333333</v>
      </c>
      <c r="N68" s="7">
        <v>-0.29869088966070001</v>
      </c>
      <c r="O68" s="7">
        <v>-0.15000000000000002</v>
      </c>
      <c r="P68" s="7">
        <v>-0.15000000000000002</v>
      </c>
      <c r="Q68" s="7">
        <v>-0.15999999999999659</v>
      </c>
      <c r="R68" s="7">
        <v>-0.33249999999999891</v>
      </c>
      <c r="S68" s="7">
        <v>-0.99000000000000343</v>
      </c>
      <c r="T68" s="7">
        <v>-1</v>
      </c>
      <c r="U68" s="1">
        <v>0</v>
      </c>
      <c r="W68" s="1">
        <v>4906985</v>
      </c>
    </row>
    <row r="69" spans="1:23" x14ac:dyDescent="0.25">
      <c r="A69" s="76">
        <v>3</v>
      </c>
      <c r="B69" s="76" t="s">
        <v>54</v>
      </c>
      <c r="C69" s="76">
        <v>2007</v>
      </c>
      <c r="D69" s="76" t="str">
        <f t="shared" si="4"/>
        <v>A06A</v>
      </c>
      <c r="E69" s="76" t="s">
        <v>158</v>
      </c>
      <c r="F69" s="77" t="s">
        <v>1107</v>
      </c>
      <c r="G69" s="78">
        <v>0.88054455951675625</v>
      </c>
      <c r="H69" s="79">
        <v>42164</v>
      </c>
      <c r="I69" s="79">
        <v>42164</v>
      </c>
      <c r="J69" s="3" t="str">
        <f t="shared" ref="J69:J132" si="5">IF(YEAR(I69)-YEAR(H69)=0,"",YEAR(I69)-YEAR(H69))</f>
        <v/>
      </c>
      <c r="K69" s="7">
        <v>-1.0610079575596565E-2</v>
      </c>
      <c r="L69" s="7">
        <v>0.10918080983562728</v>
      </c>
      <c r="M69" s="7">
        <v>-1.8666666666666498E-2</v>
      </c>
      <c r="N69" s="7">
        <v>-1.6831418648143637E-2</v>
      </c>
      <c r="O69" s="7">
        <v>-3.7499999999999978E-2</v>
      </c>
      <c r="P69" s="7">
        <v>-2.5000000000000022E-2</v>
      </c>
      <c r="Q69" s="7">
        <v>-9.249999999999825E-2</v>
      </c>
      <c r="R69" s="7">
        <v>-0.30999999999999939</v>
      </c>
      <c r="S69" s="7">
        <v>-0.99250000000000116</v>
      </c>
      <c r="T69" s="7">
        <v>-1</v>
      </c>
      <c r="U69" s="1">
        <v>1439</v>
      </c>
      <c r="W69" s="1">
        <v>4278216</v>
      </c>
    </row>
    <row r="70" spans="1:23" x14ac:dyDescent="0.25">
      <c r="A70" s="76">
        <v>3</v>
      </c>
      <c r="B70" s="76" t="s">
        <v>54</v>
      </c>
      <c r="C70" s="76">
        <v>2007</v>
      </c>
      <c r="D70" s="76" t="str">
        <f t="shared" si="4"/>
        <v>A06A</v>
      </c>
      <c r="E70" s="76" t="s">
        <v>158</v>
      </c>
      <c r="F70" s="77" t="s">
        <v>1108</v>
      </c>
      <c r="G70" s="78">
        <v>1.0718332021197874E-4</v>
      </c>
      <c r="H70" s="79">
        <v>42185</v>
      </c>
      <c r="I70" s="79">
        <v>42185</v>
      </c>
      <c r="J70" s="3" t="str">
        <f t="shared" si="5"/>
        <v/>
      </c>
      <c r="K70" s="7">
        <v>-0.9986737400530501</v>
      </c>
      <c r="L70" s="7">
        <v>-0.99933181878925625</v>
      </c>
      <c r="M70" s="7">
        <v>-1</v>
      </c>
      <c r="N70" s="7">
        <v>-1</v>
      </c>
      <c r="O70" s="7">
        <v>-1</v>
      </c>
      <c r="P70" s="7">
        <v>-1</v>
      </c>
      <c r="Q70" s="7">
        <v>-1</v>
      </c>
      <c r="R70" s="7">
        <v>-1</v>
      </c>
      <c r="S70" s="7">
        <v>-1</v>
      </c>
      <c r="T70" s="7">
        <v>-1</v>
      </c>
      <c r="U70" s="1">
        <v>3356</v>
      </c>
      <c r="W70" s="1">
        <v>3909115</v>
      </c>
    </row>
    <row r="71" spans="1:23" x14ac:dyDescent="0.25">
      <c r="A71" s="76">
        <v>3</v>
      </c>
      <c r="B71" s="76" t="s">
        <v>54</v>
      </c>
      <c r="C71" s="76">
        <v>2007</v>
      </c>
      <c r="D71" s="76" t="str">
        <f t="shared" si="4"/>
        <v>A06A</v>
      </c>
      <c r="E71" s="76" t="s">
        <v>158</v>
      </c>
      <c r="F71" s="77" t="s">
        <v>1109</v>
      </c>
      <c r="G71" s="78">
        <v>0.85481150923235649</v>
      </c>
      <c r="H71" s="79">
        <v>42139</v>
      </c>
      <c r="I71" s="79">
        <v>42139</v>
      </c>
      <c r="J71" s="3" t="str">
        <f t="shared" si="5"/>
        <v/>
      </c>
      <c r="K71" s="7">
        <v>-5.6366047745357695E-2</v>
      </c>
      <c r="L71" s="7">
        <v>-6.3878123747160953E-2</v>
      </c>
      <c r="M71" s="7">
        <v>-5.7999999999999496E-2</v>
      </c>
      <c r="N71" s="7">
        <v>-5.1562917445899803E-2</v>
      </c>
      <c r="O71" s="7">
        <v>-2.7499999999997748E-2</v>
      </c>
      <c r="P71" s="7">
        <v>-3.2499999999998863E-2</v>
      </c>
      <c r="Q71" s="7">
        <v>-0.10250000000000337</v>
      </c>
      <c r="R71" s="7">
        <v>-0.38499999999999657</v>
      </c>
      <c r="S71" s="7">
        <v>-0.99500000000000455</v>
      </c>
      <c r="T71" s="7">
        <v>-1</v>
      </c>
      <c r="U71" s="1">
        <v>235</v>
      </c>
      <c r="W71" s="1">
        <v>4898249</v>
      </c>
    </row>
    <row r="72" spans="1:23" x14ac:dyDescent="0.25">
      <c r="A72" s="76">
        <v>3</v>
      </c>
      <c r="B72" s="76" t="s">
        <v>54</v>
      </c>
      <c r="C72" s="76">
        <v>2007</v>
      </c>
      <c r="D72" s="76" t="str">
        <f t="shared" si="4"/>
        <v>A06A</v>
      </c>
      <c r="E72" s="76" t="s">
        <v>158</v>
      </c>
      <c r="F72" s="77" t="s">
        <v>1110</v>
      </c>
      <c r="G72" s="78">
        <v>0.72559425545352441</v>
      </c>
      <c r="H72" s="79">
        <v>38925</v>
      </c>
      <c r="I72" s="79">
        <v>42170</v>
      </c>
      <c r="J72" s="3">
        <f t="shared" si="5"/>
        <v>9</v>
      </c>
      <c r="K72" s="7">
        <v>-3.6472148541114469E-2</v>
      </c>
      <c r="L72" s="7">
        <v>-6.4546304957904699E-2</v>
      </c>
      <c r="M72" s="7">
        <v>-5.6666666666666643E-2</v>
      </c>
      <c r="N72" s="7">
        <v>-4.5551696500133021E-2</v>
      </c>
      <c r="O72" s="7">
        <v>-3.9999999999997704E-2</v>
      </c>
      <c r="P72" s="7">
        <v>-9.0000000000003411E-2</v>
      </c>
      <c r="Q72" s="7">
        <v>-0.66999999999999882</v>
      </c>
      <c r="R72" s="7">
        <v>-0.99499999999999889</v>
      </c>
      <c r="S72" s="7">
        <v>-0.99250000000000116</v>
      </c>
      <c r="T72" s="7">
        <v>-1</v>
      </c>
      <c r="U72" s="1">
        <v>1073</v>
      </c>
      <c r="W72" s="1">
        <v>549631</v>
      </c>
    </row>
    <row r="73" spans="1:23" x14ac:dyDescent="0.25">
      <c r="A73" s="76">
        <v>3</v>
      </c>
      <c r="B73" s="76" t="s">
        <v>54</v>
      </c>
      <c r="C73" s="76">
        <v>2007</v>
      </c>
      <c r="D73" s="76" t="str">
        <f t="shared" si="4"/>
        <v>A06A</v>
      </c>
      <c r="E73" s="76" t="s">
        <v>158</v>
      </c>
      <c r="F73" s="77" t="s">
        <v>1111</v>
      </c>
      <c r="G73" s="78">
        <v>2.4612272042743299E-3</v>
      </c>
      <c r="H73" s="79">
        <v>42177</v>
      </c>
      <c r="I73" s="79">
        <v>42177</v>
      </c>
      <c r="J73" s="3" t="str">
        <f t="shared" si="5"/>
        <v/>
      </c>
      <c r="K73" s="7">
        <v>-0.97347480106100792</v>
      </c>
      <c r="L73" s="7">
        <v>-0.98730455699585662</v>
      </c>
      <c r="M73" s="7">
        <v>-0.99466666666666692</v>
      </c>
      <c r="N73" s="7">
        <v>-1</v>
      </c>
      <c r="O73" s="7">
        <v>-1</v>
      </c>
      <c r="P73" s="7">
        <v>-1</v>
      </c>
      <c r="Q73" s="7">
        <v>-1</v>
      </c>
      <c r="R73" s="7">
        <v>-1</v>
      </c>
      <c r="S73" s="7">
        <v>-1</v>
      </c>
      <c r="T73" s="7">
        <v>-1</v>
      </c>
      <c r="U73" s="1">
        <v>2556</v>
      </c>
      <c r="W73" s="1">
        <v>1284592</v>
      </c>
    </row>
    <row r="74" spans="1:23" x14ac:dyDescent="0.25">
      <c r="A74" s="76">
        <v>3</v>
      </c>
      <c r="B74" s="76" t="s">
        <v>54</v>
      </c>
      <c r="C74" s="76">
        <v>2007</v>
      </c>
      <c r="D74" s="76" t="str">
        <f t="shared" si="4"/>
        <v>A06A</v>
      </c>
      <c r="E74" s="76" t="s">
        <v>158</v>
      </c>
      <c r="F74" s="77" t="s">
        <v>1112</v>
      </c>
      <c r="G74" s="78">
        <v>1.2623144274166553E-2</v>
      </c>
      <c r="H74" s="79">
        <v>42185</v>
      </c>
      <c r="I74" s="79">
        <v>42185</v>
      </c>
      <c r="J74" s="3" t="str">
        <f t="shared" si="5"/>
        <v/>
      </c>
      <c r="K74" s="7">
        <v>-0.79376657824933672</v>
      </c>
      <c r="L74" s="7">
        <v>-0.97795002004543663</v>
      </c>
      <c r="M74" s="7">
        <v>-0.98333333333333328</v>
      </c>
      <c r="N74" s="7">
        <v>-0.99265295217739768</v>
      </c>
      <c r="O74" s="7">
        <v>-1</v>
      </c>
      <c r="P74" s="7">
        <v>-1</v>
      </c>
      <c r="Q74" s="7">
        <v>-1</v>
      </c>
      <c r="R74" s="7">
        <v>-1</v>
      </c>
      <c r="S74" s="7">
        <v>-1</v>
      </c>
      <c r="T74" s="7">
        <v>-1</v>
      </c>
      <c r="U74" s="1">
        <v>1852</v>
      </c>
      <c r="W74" s="1">
        <v>3017559</v>
      </c>
    </row>
    <row r="75" spans="1:23" x14ac:dyDescent="0.25">
      <c r="A75" s="76">
        <v>3</v>
      </c>
      <c r="B75" s="76" t="s">
        <v>54</v>
      </c>
      <c r="C75" s="76">
        <v>2007</v>
      </c>
      <c r="D75" s="76" t="str">
        <f t="shared" si="4"/>
        <v>A06A</v>
      </c>
      <c r="E75" s="76" t="s">
        <v>158</v>
      </c>
      <c r="F75" s="77" t="s">
        <v>1113</v>
      </c>
      <c r="G75" s="78">
        <v>9.1200000000000059E-2</v>
      </c>
      <c r="H75" s="79">
        <v>42171</v>
      </c>
      <c r="I75" s="79">
        <v>42171</v>
      </c>
      <c r="J75" s="3" t="str">
        <f t="shared" si="5"/>
        <v/>
      </c>
      <c r="K75" s="7">
        <v>1</v>
      </c>
      <c r="L75" s="7">
        <v>-1</v>
      </c>
      <c r="M75" s="7">
        <v>-1</v>
      </c>
      <c r="N75" s="7">
        <v>-1</v>
      </c>
      <c r="O75" s="7">
        <v>-1</v>
      </c>
      <c r="P75" s="7">
        <v>-1</v>
      </c>
      <c r="Q75" s="7">
        <v>-1</v>
      </c>
      <c r="R75" s="7">
        <v>-1</v>
      </c>
      <c r="S75" s="7">
        <v>-1</v>
      </c>
      <c r="T75" s="7">
        <v>-1</v>
      </c>
      <c r="U75" s="1">
        <v>2458</v>
      </c>
      <c r="W75" s="1">
        <v>4824121</v>
      </c>
    </row>
    <row r="76" spans="1:23" x14ac:dyDescent="0.25">
      <c r="A76" s="76">
        <v>3</v>
      </c>
      <c r="B76" s="76" t="s">
        <v>54</v>
      </c>
      <c r="C76" s="76">
        <v>2007</v>
      </c>
      <c r="D76" s="76" t="str">
        <f t="shared" si="4"/>
        <v>A06A</v>
      </c>
      <c r="E76" s="76" t="s">
        <v>158</v>
      </c>
      <c r="F76" s="77" t="s">
        <v>1114</v>
      </c>
      <c r="G76" s="78">
        <v>9.1200000000000059E-2</v>
      </c>
      <c r="H76" s="79">
        <v>39022</v>
      </c>
      <c r="I76" s="79"/>
      <c r="J76" s="3">
        <f t="shared" si="5"/>
        <v>-106</v>
      </c>
      <c r="K76" s="7">
        <v>1</v>
      </c>
      <c r="L76" s="7">
        <v>-1</v>
      </c>
      <c r="M76" s="7">
        <v>-1</v>
      </c>
      <c r="N76" s="7">
        <v>-1</v>
      </c>
      <c r="O76" s="7">
        <v>-1</v>
      </c>
      <c r="P76" s="7">
        <v>-1</v>
      </c>
      <c r="Q76" s="7">
        <v>-1</v>
      </c>
      <c r="R76" s="7">
        <v>-1</v>
      </c>
      <c r="S76" s="7">
        <v>-1</v>
      </c>
      <c r="T76" s="7">
        <v>-1</v>
      </c>
      <c r="W76" s="1">
        <v>4910011</v>
      </c>
    </row>
    <row r="77" spans="1:23" x14ac:dyDescent="0.25">
      <c r="A77" s="76">
        <v>20</v>
      </c>
      <c r="B77" s="76" t="s">
        <v>1283</v>
      </c>
      <c r="C77" s="76">
        <v>2010</v>
      </c>
      <c r="D77" s="76" t="str">
        <f t="shared" si="0"/>
        <v>E10S</v>
      </c>
      <c r="E77" s="76" t="s">
        <v>44</v>
      </c>
      <c r="F77" s="77" t="s">
        <v>128</v>
      </c>
      <c r="G77" s="78">
        <v>0.93989496394538996</v>
      </c>
      <c r="H77" s="80">
        <v>40179</v>
      </c>
      <c r="I77" s="79">
        <v>42021</v>
      </c>
      <c r="J77" s="3">
        <f t="shared" si="5"/>
        <v>5</v>
      </c>
      <c r="K77" s="7"/>
      <c r="L77" s="7"/>
      <c r="M77" s="7"/>
      <c r="N77" s="7"/>
      <c r="O77" s="7"/>
      <c r="P77" s="7"/>
      <c r="Q77" s="7"/>
      <c r="R77" s="7"/>
      <c r="S77" s="7"/>
      <c r="T77" s="7"/>
    </row>
    <row r="78" spans="1:23" x14ac:dyDescent="0.25">
      <c r="A78" s="76">
        <v>20</v>
      </c>
      <c r="B78" s="76" t="s">
        <v>1283</v>
      </c>
      <c r="C78" s="76">
        <v>2010</v>
      </c>
      <c r="D78" s="76" t="str">
        <f t="shared" si="0"/>
        <v>E10S</v>
      </c>
      <c r="E78" s="76" t="s">
        <v>44</v>
      </c>
      <c r="F78" s="77" t="s">
        <v>36</v>
      </c>
      <c r="G78" s="78">
        <v>0.99380448426955947</v>
      </c>
      <c r="H78" s="79">
        <v>40219</v>
      </c>
      <c r="I78" s="79">
        <v>42045</v>
      </c>
      <c r="J78" s="3">
        <f t="shared" si="5"/>
        <v>5</v>
      </c>
      <c r="K78" s="7"/>
      <c r="L78" s="7"/>
      <c r="M78" s="7"/>
      <c r="N78" s="7"/>
      <c r="O78" s="7"/>
      <c r="P78" s="7"/>
      <c r="Q78" s="7"/>
      <c r="R78" s="7"/>
      <c r="S78" s="7"/>
      <c r="T78" s="7"/>
      <c r="U78" s="1">
        <v>26500</v>
      </c>
      <c r="W78" s="1">
        <v>6603459</v>
      </c>
    </row>
    <row r="79" spans="1:23" x14ac:dyDescent="0.25">
      <c r="A79" s="76">
        <v>20</v>
      </c>
      <c r="B79" s="76" t="s">
        <v>1283</v>
      </c>
      <c r="C79" s="76">
        <v>2010</v>
      </c>
      <c r="D79" s="76" t="str">
        <f t="shared" si="0"/>
        <v>E10S</v>
      </c>
      <c r="E79" s="76" t="s">
        <v>44</v>
      </c>
      <c r="F79" s="77" t="s">
        <v>37</v>
      </c>
      <c r="G79" s="78">
        <v>1.013464644972641</v>
      </c>
      <c r="H79" s="79">
        <v>40340</v>
      </c>
      <c r="I79" s="79">
        <v>41071</v>
      </c>
      <c r="J79" s="3">
        <f t="shared" si="5"/>
        <v>2</v>
      </c>
      <c r="K79" s="7"/>
      <c r="L79" s="7"/>
      <c r="M79" s="7"/>
      <c r="N79" s="7"/>
      <c r="O79" s="7"/>
      <c r="P79" s="7"/>
      <c r="Q79" s="7"/>
      <c r="R79" s="7"/>
      <c r="S79" s="7"/>
      <c r="T79" s="7"/>
      <c r="U79" s="1" t="s">
        <v>1116</v>
      </c>
      <c r="W79" s="1">
        <v>39942</v>
      </c>
    </row>
    <row r="80" spans="1:23" x14ac:dyDescent="0.25">
      <c r="A80" s="76">
        <v>20</v>
      </c>
      <c r="B80" s="76" t="s">
        <v>1283</v>
      </c>
      <c r="C80" s="76">
        <v>2010</v>
      </c>
      <c r="D80" s="76" t="str">
        <f t="shared" si="0"/>
        <v>E10S</v>
      </c>
      <c r="E80" s="76" t="s">
        <v>44</v>
      </c>
      <c r="F80" s="77" t="s">
        <v>38</v>
      </c>
      <c r="G80" s="78">
        <v>1.0354350051388752</v>
      </c>
      <c r="H80" s="79">
        <v>40863</v>
      </c>
      <c r="I80" s="79">
        <v>41341</v>
      </c>
      <c r="J80" s="3">
        <f t="shared" si="5"/>
        <v>2</v>
      </c>
      <c r="K80" s="7"/>
      <c r="L80" s="7"/>
      <c r="M80" s="7"/>
      <c r="N80" s="7"/>
      <c r="O80" s="7"/>
      <c r="P80" s="7"/>
      <c r="Q80" s="7"/>
      <c r="R80" s="7"/>
      <c r="S80" s="7"/>
      <c r="T80" s="7"/>
      <c r="U80" s="1">
        <v>11277</v>
      </c>
      <c r="W80" s="1">
        <v>6246061</v>
      </c>
    </row>
    <row r="81" spans="1:23" x14ac:dyDescent="0.25">
      <c r="A81" s="76">
        <v>20</v>
      </c>
      <c r="B81" s="76" t="s">
        <v>1283</v>
      </c>
      <c r="C81" s="76">
        <v>2010</v>
      </c>
      <c r="D81" s="76" t="str">
        <f t="shared" si="0"/>
        <v>E10S</v>
      </c>
      <c r="E81" s="76" t="s">
        <v>44</v>
      </c>
      <c r="F81" s="77" t="s">
        <v>39</v>
      </c>
      <c r="G81" s="78">
        <v>1.0257448373406641</v>
      </c>
      <c r="H81" s="79">
        <v>40930</v>
      </c>
      <c r="I81" s="79">
        <v>42021</v>
      </c>
      <c r="J81" s="3">
        <f t="shared" si="5"/>
        <v>3</v>
      </c>
      <c r="K81" s="7"/>
      <c r="L81" s="7"/>
      <c r="M81" s="7"/>
      <c r="N81" s="7"/>
      <c r="O81" s="7"/>
      <c r="P81" s="7"/>
      <c r="Q81" s="7"/>
      <c r="R81" s="7"/>
      <c r="S81" s="7"/>
      <c r="T81" s="7"/>
      <c r="U81" s="1">
        <v>27659</v>
      </c>
      <c r="W81" s="1">
        <v>5988527</v>
      </c>
    </row>
    <row r="82" spans="1:23" x14ac:dyDescent="0.25">
      <c r="A82" s="76">
        <v>20</v>
      </c>
      <c r="B82" s="76" t="s">
        <v>1283</v>
      </c>
      <c r="C82" s="76">
        <v>2010</v>
      </c>
      <c r="D82" s="76" t="str">
        <f t="shared" si="0"/>
        <v>E10S</v>
      </c>
      <c r="E82" s="76" t="s">
        <v>44</v>
      </c>
      <c r="F82" s="77" t="s">
        <v>40</v>
      </c>
      <c r="G82" s="78">
        <v>1.0177054338497822</v>
      </c>
      <c r="H82" s="79">
        <v>40886</v>
      </c>
      <c r="I82" s="79">
        <v>41607</v>
      </c>
      <c r="J82" s="3">
        <f t="shared" si="5"/>
        <v>2</v>
      </c>
      <c r="K82" s="7"/>
      <c r="L82" s="7"/>
      <c r="M82" s="7"/>
      <c r="N82" s="7"/>
      <c r="O82" s="7"/>
      <c r="P82" s="7"/>
      <c r="Q82" s="7"/>
      <c r="R82" s="7"/>
      <c r="S82" s="7"/>
      <c r="T82" s="7"/>
      <c r="U82" s="1">
        <v>359</v>
      </c>
      <c r="W82" s="1">
        <v>6132383</v>
      </c>
    </row>
    <row r="83" spans="1:23" x14ac:dyDescent="0.25">
      <c r="A83" s="76">
        <v>20</v>
      </c>
      <c r="B83" s="76" t="s">
        <v>1283</v>
      </c>
      <c r="C83" s="76">
        <v>2010</v>
      </c>
      <c r="D83" s="76" t="str">
        <f t="shared" si="0"/>
        <v>E10S</v>
      </c>
      <c r="E83" s="76" t="s">
        <v>44</v>
      </c>
      <c r="F83" s="77" t="s">
        <v>41</v>
      </c>
      <c r="G83" s="78">
        <v>1.0214766059297016</v>
      </c>
      <c r="H83" s="80">
        <v>40179</v>
      </c>
      <c r="I83" s="79">
        <v>42121</v>
      </c>
      <c r="J83" s="3">
        <f t="shared" si="5"/>
        <v>5</v>
      </c>
      <c r="K83" s="7"/>
      <c r="L83" s="7"/>
      <c r="M83" s="7"/>
      <c r="N83" s="7"/>
      <c r="O83" s="7"/>
      <c r="P83" s="7"/>
      <c r="Q83" s="7"/>
      <c r="R83" s="7"/>
      <c r="S83" s="7"/>
      <c r="T83" s="7"/>
      <c r="U83" s="1">
        <v>51122</v>
      </c>
      <c r="W83" s="1">
        <v>3154807</v>
      </c>
    </row>
    <row r="84" spans="1:23" x14ac:dyDescent="0.25">
      <c r="A84" s="76">
        <v>20</v>
      </c>
      <c r="B84" s="76" t="s">
        <v>1283</v>
      </c>
      <c r="C84" s="76">
        <v>2010</v>
      </c>
      <c r="D84" s="76" t="str">
        <f t="shared" si="0"/>
        <v>E10S</v>
      </c>
      <c r="E84" s="76" t="s">
        <v>44</v>
      </c>
      <c r="F84" s="77" t="s">
        <v>42</v>
      </c>
      <c r="G84" s="78">
        <v>1.0360106291150366</v>
      </c>
      <c r="H84" s="79">
        <v>40670</v>
      </c>
      <c r="I84" s="79">
        <v>42030</v>
      </c>
      <c r="J84" s="3">
        <f t="shared" si="5"/>
        <v>4</v>
      </c>
      <c r="K84" s="7"/>
      <c r="L84" s="7"/>
      <c r="M84" s="7"/>
      <c r="N84" s="7"/>
      <c r="O84" s="7"/>
      <c r="P84" s="7"/>
      <c r="Q84" s="7"/>
      <c r="R84" s="7"/>
      <c r="S84" s="7"/>
      <c r="T84" s="7"/>
      <c r="U84" s="1" t="s">
        <v>1116</v>
      </c>
      <c r="W84" s="1">
        <v>56367</v>
      </c>
    </row>
    <row r="85" spans="1:23" x14ac:dyDescent="0.25">
      <c r="A85" s="76">
        <v>20</v>
      </c>
      <c r="B85" s="76" t="s">
        <v>1283</v>
      </c>
      <c r="C85" s="76">
        <v>2010</v>
      </c>
      <c r="D85" s="76" t="str">
        <f t="shared" si="0"/>
        <v>E10S</v>
      </c>
      <c r="E85" s="76" t="s">
        <v>44</v>
      </c>
      <c r="F85" s="77" t="s">
        <v>43</v>
      </c>
      <c r="G85" s="78">
        <v>0.98367138665333109</v>
      </c>
      <c r="H85" s="79">
        <v>40572</v>
      </c>
      <c r="I85" s="79">
        <v>42119</v>
      </c>
      <c r="J85" s="3">
        <f t="shared" si="5"/>
        <v>4</v>
      </c>
      <c r="K85" s="7"/>
      <c r="L85" s="7"/>
      <c r="M85" s="7"/>
      <c r="N85" s="7"/>
      <c r="O85" s="7"/>
      <c r="P85" s="7"/>
      <c r="Q85" s="7"/>
      <c r="R85" s="7"/>
      <c r="S85" s="7"/>
      <c r="T85" s="7"/>
      <c r="U85" s="1">
        <v>41917</v>
      </c>
      <c r="W85" s="1">
        <v>3091392</v>
      </c>
    </row>
    <row r="86" spans="1:23" x14ac:dyDescent="0.25">
      <c r="A86" s="76">
        <v>10</v>
      </c>
      <c r="B86" s="76" t="s">
        <v>54</v>
      </c>
      <c r="C86" s="76">
        <v>2010</v>
      </c>
      <c r="D86" s="76" t="str">
        <f t="shared" si="0"/>
        <v>D10X</v>
      </c>
      <c r="E86" s="76" t="s">
        <v>33</v>
      </c>
      <c r="F86" s="77" t="s">
        <v>55</v>
      </c>
      <c r="G86" s="78">
        <v>0.34672109421849018</v>
      </c>
      <c r="H86" s="79">
        <v>40290</v>
      </c>
      <c r="I86" s="79">
        <v>41775</v>
      </c>
      <c r="J86" s="3">
        <f t="shared" si="5"/>
        <v>4</v>
      </c>
      <c r="K86" s="7"/>
      <c r="L86" s="7"/>
      <c r="M86" s="7"/>
      <c r="N86" s="7"/>
      <c r="O86" s="7"/>
      <c r="P86" s="7"/>
      <c r="Q86" s="7"/>
      <c r="R86" s="7"/>
      <c r="S86" s="7"/>
      <c r="T86" s="7"/>
      <c r="U86" s="1">
        <v>5167</v>
      </c>
      <c r="W86" s="1">
        <v>78794</v>
      </c>
    </row>
    <row r="87" spans="1:23" x14ac:dyDescent="0.25">
      <c r="A87" s="76">
        <v>10</v>
      </c>
      <c r="B87" s="76" t="s">
        <v>54</v>
      </c>
      <c r="C87" s="76">
        <v>2010</v>
      </c>
      <c r="D87" s="76" t="str">
        <f t="shared" si="0"/>
        <v>D10X</v>
      </c>
      <c r="E87" s="76" t="s">
        <v>33</v>
      </c>
      <c r="F87" s="77" t="s">
        <v>56</v>
      </c>
      <c r="G87" s="78">
        <v>1.7320114118587027E-2</v>
      </c>
      <c r="H87" s="79">
        <v>40290</v>
      </c>
      <c r="I87" s="79">
        <v>41775</v>
      </c>
      <c r="J87" s="3">
        <f t="shared" si="5"/>
        <v>4</v>
      </c>
      <c r="K87" s="7"/>
      <c r="L87" s="7"/>
      <c r="M87" s="7"/>
      <c r="N87" s="7"/>
      <c r="O87" s="7"/>
      <c r="P87" s="7"/>
      <c r="Q87" s="7"/>
      <c r="R87" s="7"/>
      <c r="S87" s="7"/>
      <c r="T87" s="7"/>
      <c r="U87" s="1" t="s">
        <v>1116</v>
      </c>
    </row>
    <row r="88" spans="1:23" x14ac:dyDescent="0.25">
      <c r="A88" s="76">
        <v>10</v>
      </c>
      <c r="B88" s="76" t="s">
        <v>54</v>
      </c>
      <c r="C88" s="76">
        <v>2010</v>
      </c>
      <c r="D88" s="76" t="str">
        <f t="shared" ref="D88:D209" si="6">LEFT(F88,4)</f>
        <v>D10X</v>
      </c>
      <c r="E88" s="76" t="s">
        <v>33</v>
      </c>
      <c r="F88" s="77" t="s">
        <v>57</v>
      </c>
      <c r="G88" s="78">
        <v>0.47604405808804517</v>
      </c>
      <c r="H88" s="79">
        <v>40291</v>
      </c>
      <c r="I88" s="79">
        <v>41549</v>
      </c>
      <c r="J88" s="3">
        <f t="shared" si="5"/>
        <v>3</v>
      </c>
      <c r="K88" s="7"/>
      <c r="L88" s="7"/>
      <c r="M88" s="7"/>
      <c r="N88" s="7"/>
      <c r="O88" s="7"/>
      <c r="P88" s="7"/>
      <c r="Q88" s="7"/>
      <c r="R88" s="7"/>
      <c r="S88" s="7"/>
      <c r="T88" s="7"/>
      <c r="U88" s="1">
        <v>1012</v>
      </c>
      <c r="W88" s="1">
        <v>76414</v>
      </c>
    </row>
    <row r="89" spans="1:23" x14ac:dyDescent="0.25">
      <c r="A89" s="76">
        <v>10</v>
      </c>
      <c r="B89" s="76" t="s">
        <v>54</v>
      </c>
      <c r="C89" s="76">
        <v>2010</v>
      </c>
      <c r="D89" s="76" t="str">
        <f t="shared" si="6"/>
        <v>D10X</v>
      </c>
      <c r="E89" s="76" t="s">
        <v>33</v>
      </c>
      <c r="F89" s="77" t="s">
        <v>58</v>
      </c>
      <c r="G89" s="78">
        <v>0.43969903112075437</v>
      </c>
      <c r="H89" s="79">
        <v>40291</v>
      </c>
      <c r="I89" s="79">
        <v>41549</v>
      </c>
      <c r="J89" s="3">
        <f t="shared" si="5"/>
        <v>3</v>
      </c>
      <c r="K89" s="7"/>
      <c r="L89" s="7"/>
      <c r="M89" s="7"/>
      <c r="N89" s="7"/>
      <c r="O89" s="7"/>
      <c r="P89" s="7"/>
      <c r="Q89" s="7"/>
      <c r="R89" s="7"/>
      <c r="S89" s="7"/>
      <c r="T89" s="7"/>
      <c r="U89" s="1">
        <v>3912</v>
      </c>
      <c r="W89" s="1">
        <v>1453271</v>
      </c>
    </row>
    <row r="90" spans="1:23" x14ac:dyDescent="0.25">
      <c r="A90" s="76">
        <v>10</v>
      </c>
      <c r="B90" s="76" t="s">
        <v>54</v>
      </c>
      <c r="C90" s="76">
        <v>2010</v>
      </c>
      <c r="D90" s="76" t="str">
        <f t="shared" si="6"/>
        <v>D10X</v>
      </c>
      <c r="E90" s="76" t="s">
        <v>33</v>
      </c>
      <c r="F90" s="77" t="s">
        <v>59</v>
      </c>
      <c r="G90" s="78">
        <v>0.54973556065970719</v>
      </c>
      <c r="H90" s="79">
        <v>40676</v>
      </c>
      <c r="I90" s="79">
        <v>41834</v>
      </c>
      <c r="J90" s="3">
        <f t="shared" si="5"/>
        <v>3</v>
      </c>
      <c r="K90" s="7"/>
      <c r="L90" s="7"/>
      <c r="M90" s="7"/>
      <c r="N90" s="7"/>
      <c r="O90" s="7"/>
      <c r="P90" s="7"/>
      <c r="Q90" s="7"/>
      <c r="R90" s="7"/>
      <c r="S90" s="7"/>
      <c r="T90" s="7"/>
      <c r="U90" s="1">
        <v>2420</v>
      </c>
      <c r="W90" s="1">
        <v>953385</v>
      </c>
    </row>
    <row r="91" spans="1:23" x14ac:dyDescent="0.25">
      <c r="A91" s="76">
        <v>10</v>
      </c>
      <c r="B91" s="76" t="s">
        <v>54</v>
      </c>
      <c r="C91" s="76">
        <v>2010</v>
      </c>
      <c r="D91" s="76" t="str">
        <f t="shared" si="6"/>
        <v>D10X</v>
      </c>
      <c r="E91" s="76" t="s">
        <v>33</v>
      </c>
      <c r="F91" s="77" t="s">
        <v>60</v>
      </c>
      <c r="G91" s="78">
        <v>0.67218402599963001</v>
      </c>
      <c r="H91" s="79">
        <v>40288</v>
      </c>
      <c r="I91" s="79">
        <v>41834</v>
      </c>
      <c r="J91" s="3">
        <f t="shared" si="5"/>
        <v>4</v>
      </c>
      <c r="K91" s="7"/>
      <c r="L91" s="7"/>
      <c r="M91" s="7"/>
      <c r="N91" s="7"/>
      <c r="O91" s="7"/>
      <c r="P91" s="7"/>
      <c r="Q91" s="7"/>
      <c r="R91" s="7"/>
      <c r="S91" s="7"/>
      <c r="T91" s="7"/>
      <c r="U91" s="1">
        <v>5780</v>
      </c>
      <c r="W91" s="1">
        <v>121274</v>
      </c>
    </row>
    <row r="92" spans="1:23" x14ac:dyDescent="0.25">
      <c r="A92" s="76">
        <v>10</v>
      </c>
      <c r="B92" s="76" t="s">
        <v>54</v>
      </c>
      <c r="C92" s="76">
        <v>2010</v>
      </c>
      <c r="D92" s="76" t="str">
        <f t="shared" si="6"/>
        <v>D10X</v>
      </c>
      <c r="E92" s="76" t="s">
        <v>33</v>
      </c>
      <c r="F92" s="77" t="s">
        <v>61</v>
      </c>
      <c r="G92" s="78">
        <v>1.7635233995276778E-2</v>
      </c>
      <c r="H92" s="79">
        <v>40202</v>
      </c>
      <c r="I92" s="79">
        <v>42033</v>
      </c>
      <c r="J92" s="3">
        <f t="shared" si="5"/>
        <v>5</v>
      </c>
      <c r="K92" s="7"/>
      <c r="L92" s="7"/>
      <c r="M92" s="7"/>
      <c r="N92" s="7"/>
      <c r="O92" s="7"/>
      <c r="P92" s="7"/>
      <c r="Q92" s="7"/>
      <c r="R92" s="7"/>
      <c r="S92" s="7"/>
      <c r="T92" s="7"/>
      <c r="U92" s="1">
        <v>1282</v>
      </c>
      <c r="W92" s="1">
        <v>3652106</v>
      </c>
    </row>
    <row r="93" spans="1:23" x14ac:dyDescent="0.25">
      <c r="A93" s="76">
        <v>10</v>
      </c>
      <c r="B93" s="76" t="s">
        <v>54</v>
      </c>
      <c r="C93" s="76">
        <v>2010</v>
      </c>
      <c r="D93" s="76" t="str">
        <f t="shared" si="6"/>
        <v>D10X</v>
      </c>
      <c r="E93" s="76" t="s">
        <v>33</v>
      </c>
      <c r="F93" s="77" t="s">
        <v>62</v>
      </c>
      <c r="G93" s="78">
        <v>0.24341567731811409</v>
      </c>
      <c r="H93" s="79">
        <v>40207</v>
      </c>
      <c r="I93" s="79">
        <v>41878</v>
      </c>
      <c r="J93" s="3">
        <f t="shared" si="5"/>
        <v>4</v>
      </c>
      <c r="K93" s="7"/>
      <c r="L93" s="7"/>
      <c r="M93" s="7"/>
      <c r="N93" s="7"/>
      <c r="O93" s="7"/>
      <c r="P93" s="7"/>
      <c r="Q93" s="7"/>
      <c r="R93" s="7"/>
      <c r="S93" s="7"/>
      <c r="T93" s="7"/>
      <c r="U93" s="1">
        <v>1673</v>
      </c>
      <c r="W93" s="1">
        <v>3152391</v>
      </c>
    </row>
    <row r="94" spans="1:23" x14ac:dyDescent="0.25">
      <c r="A94" s="76">
        <v>10</v>
      </c>
      <c r="B94" s="76" t="s">
        <v>54</v>
      </c>
      <c r="C94" s="76">
        <v>2010</v>
      </c>
      <c r="D94" s="76" t="str">
        <f t="shared" si="6"/>
        <v>D10X</v>
      </c>
      <c r="E94" s="76" t="s">
        <v>33</v>
      </c>
      <c r="F94" s="77" t="s">
        <v>63</v>
      </c>
      <c r="G94" s="78">
        <v>1.7299999999999982E-2</v>
      </c>
      <c r="H94" s="79">
        <v>40399</v>
      </c>
      <c r="I94" s="79">
        <v>41878</v>
      </c>
      <c r="J94" s="3">
        <f t="shared" si="5"/>
        <v>4</v>
      </c>
      <c r="K94" s="7"/>
      <c r="L94" s="7"/>
      <c r="M94" s="7"/>
      <c r="N94" s="7"/>
      <c r="O94" s="7"/>
      <c r="P94" s="7"/>
      <c r="Q94" s="7"/>
      <c r="R94" s="7"/>
      <c r="S94" s="7"/>
      <c r="T94" s="7"/>
      <c r="U94" s="1">
        <v>2592</v>
      </c>
      <c r="W94" s="1">
        <v>5375762</v>
      </c>
    </row>
    <row r="95" spans="1:23" x14ac:dyDescent="0.25">
      <c r="A95" s="76">
        <v>10</v>
      </c>
      <c r="B95" s="76" t="s">
        <v>54</v>
      </c>
      <c r="C95" s="76">
        <v>2010</v>
      </c>
      <c r="D95" s="76" t="str">
        <f t="shared" si="6"/>
        <v>D10X</v>
      </c>
      <c r="E95" s="76" t="s">
        <v>33</v>
      </c>
      <c r="F95" s="77" t="s">
        <v>64</v>
      </c>
      <c r="G95" s="78">
        <v>0.48207796101228062</v>
      </c>
      <c r="H95" s="79">
        <v>40184</v>
      </c>
      <c r="I95" s="79"/>
      <c r="J95" s="3">
        <f t="shared" si="5"/>
        <v>-110</v>
      </c>
      <c r="K95" s="7"/>
      <c r="L95" s="7"/>
      <c r="M95" s="7"/>
      <c r="N95" s="7"/>
      <c r="O95" s="7"/>
      <c r="P95" s="7"/>
      <c r="Q95" s="7"/>
      <c r="R95" s="7"/>
      <c r="S95" s="7"/>
      <c r="T95" s="7"/>
      <c r="U95" s="1" t="s">
        <v>1116</v>
      </c>
    </row>
    <row r="96" spans="1:23" x14ac:dyDescent="0.25">
      <c r="A96" s="76">
        <v>3</v>
      </c>
      <c r="B96" s="76" t="s">
        <v>54</v>
      </c>
      <c r="C96" s="76">
        <v>2000</v>
      </c>
      <c r="D96" s="76" t="str">
        <f t="shared" si="6"/>
        <v>A00N</v>
      </c>
      <c r="E96" s="76" t="s">
        <v>65</v>
      </c>
      <c r="F96" s="77" t="s">
        <v>66</v>
      </c>
      <c r="G96" s="78">
        <v>0.78500423397970787</v>
      </c>
      <c r="H96" s="79"/>
      <c r="I96" s="79"/>
      <c r="J96" s="3" t="str">
        <f t="shared" si="5"/>
        <v/>
      </c>
      <c r="K96" s="7"/>
      <c r="L96" s="7"/>
      <c r="M96" s="7"/>
      <c r="N96" s="7"/>
      <c r="O96" s="7"/>
      <c r="P96" s="7"/>
      <c r="Q96" s="7"/>
      <c r="R96" s="7"/>
      <c r="S96" s="7"/>
      <c r="T96" s="7"/>
      <c r="U96" s="1" t="s">
        <v>1116</v>
      </c>
    </row>
    <row r="97" spans="1:23" x14ac:dyDescent="0.25">
      <c r="A97" s="76">
        <v>3</v>
      </c>
      <c r="B97" s="76" t="s">
        <v>54</v>
      </c>
      <c r="C97" s="76">
        <v>2000</v>
      </c>
      <c r="D97" s="76" t="str">
        <f t="shared" si="6"/>
        <v>A00N</v>
      </c>
      <c r="E97" s="76" t="s">
        <v>65</v>
      </c>
      <c r="F97" s="77" t="s">
        <v>67</v>
      </c>
      <c r="G97" s="78">
        <v>0.88524779322134639</v>
      </c>
      <c r="H97" s="79"/>
      <c r="I97" s="79"/>
      <c r="J97" s="3" t="str">
        <f t="shared" si="5"/>
        <v/>
      </c>
      <c r="K97" s="7"/>
      <c r="L97" s="7"/>
      <c r="M97" s="7"/>
      <c r="N97" s="7"/>
      <c r="O97" s="7"/>
      <c r="P97" s="7"/>
      <c r="Q97" s="7"/>
      <c r="R97" s="7"/>
      <c r="S97" s="7"/>
      <c r="T97" s="7"/>
      <c r="U97" s="1" t="s">
        <v>1116</v>
      </c>
      <c r="W97" s="1">
        <v>2859408</v>
      </c>
    </row>
    <row r="98" spans="1:23" x14ac:dyDescent="0.25">
      <c r="A98" s="76">
        <v>3</v>
      </c>
      <c r="B98" s="76" t="s">
        <v>54</v>
      </c>
      <c r="C98" s="76">
        <v>2000</v>
      </c>
      <c r="D98" s="76" t="str">
        <f t="shared" si="6"/>
        <v>A00N</v>
      </c>
      <c r="E98" s="76" t="s">
        <v>65</v>
      </c>
      <c r="F98" s="77" t="s">
        <v>68</v>
      </c>
      <c r="G98" s="78">
        <v>0.80754017980863435</v>
      </c>
      <c r="H98" s="79">
        <v>36931</v>
      </c>
      <c r="I98" s="79"/>
      <c r="J98" s="3">
        <f t="shared" si="5"/>
        <v>-101</v>
      </c>
      <c r="K98" s="7"/>
      <c r="L98" s="7"/>
      <c r="M98" s="7"/>
      <c r="N98" s="7"/>
      <c r="O98" s="7"/>
      <c r="P98" s="7"/>
      <c r="Q98" s="7"/>
      <c r="R98" s="7"/>
      <c r="S98" s="7"/>
      <c r="T98" s="7"/>
      <c r="U98" s="1" t="s">
        <v>1116</v>
      </c>
      <c r="W98" s="1">
        <v>943886</v>
      </c>
    </row>
    <row r="99" spans="1:23" x14ac:dyDescent="0.25">
      <c r="A99" s="76">
        <v>3</v>
      </c>
      <c r="B99" s="76" t="s">
        <v>54</v>
      </c>
      <c r="C99" s="76">
        <v>2000</v>
      </c>
      <c r="D99" s="76" t="str">
        <f t="shared" si="6"/>
        <v>A00N</v>
      </c>
      <c r="E99" s="76" t="s">
        <v>65</v>
      </c>
      <c r="F99" s="77" t="s">
        <v>69</v>
      </c>
      <c r="G99" s="78">
        <v>0.84792645232864372</v>
      </c>
      <c r="H99" s="79">
        <v>36936</v>
      </c>
      <c r="I99" s="79"/>
      <c r="J99" s="3">
        <f t="shared" si="5"/>
        <v>-101</v>
      </c>
      <c r="K99" s="7"/>
      <c r="L99" s="7"/>
      <c r="M99" s="7"/>
      <c r="N99" s="7"/>
      <c r="O99" s="7"/>
      <c r="P99" s="7"/>
      <c r="Q99" s="7"/>
      <c r="R99" s="7"/>
      <c r="S99" s="7"/>
      <c r="T99" s="7"/>
      <c r="U99" s="1" t="s">
        <v>1116</v>
      </c>
      <c r="W99" s="1">
        <v>1253841</v>
      </c>
    </row>
    <row r="100" spans="1:23" x14ac:dyDescent="0.25">
      <c r="A100" s="76">
        <v>3</v>
      </c>
      <c r="B100" s="76" t="s">
        <v>54</v>
      </c>
      <c r="C100" s="76">
        <v>2000</v>
      </c>
      <c r="D100" s="76" t="str">
        <f t="shared" si="6"/>
        <v>A00N</v>
      </c>
      <c r="E100" s="76" t="s">
        <v>65</v>
      </c>
      <c r="F100" s="77" t="s">
        <v>70</v>
      </c>
      <c r="G100" s="78">
        <v>0.80441582789573685</v>
      </c>
      <c r="H100" s="79"/>
      <c r="I100" s="79"/>
      <c r="J100" s="3" t="str">
        <f t="shared" si="5"/>
        <v/>
      </c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1">
        <v>1956</v>
      </c>
      <c r="W100" s="1">
        <v>1030698</v>
      </c>
    </row>
    <row r="101" spans="1:23" x14ac:dyDescent="0.25">
      <c r="A101" s="76">
        <v>3</v>
      </c>
      <c r="B101" s="76" t="s">
        <v>54</v>
      </c>
      <c r="C101" s="76">
        <v>2000</v>
      </c>
      <c r="D101" s="76" t="str">
        <f t="shared" si="6"/>
        <v>A00N</v>
      </c>
      <c r="E101" s="76" t="s">
        <v>65</v>
      </c>
      <c r="F101" s="77" t="s">
        <v>71</v>
      </c>
      <c r="G101" s="78">
        <v>0.89425449393209311</v>
      </c>
      <c r="H101" s="79"/>
      <c r="I101" s="79"/>
      <c r="J101" s="3" t="str">
        <f t="shared" si="5"/>
        <v/>
      </c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1" t="s">
        <v>1116</v>
      </c>
      <c r="W101" s="1">
        <v>1205081</v>
      </c>
    </row>
    <row r="102" spans="1:23" x14ac:dyDescent="0.25">
      <c r="A102" s="76">
        <v>3</v>
      </c>
      <c r="B102" s="76" t="s">
        <v>54</v>
      </c>
      <c r="C102" s="76">
        <v>2000</v>
      </c>
      <c r="D102" s="76" t="str">
        <f t="shared" si="6"/>
        <v>A00N</v>
      </c>
      <c r="E102" s="76" t="s">
        <v>65</v>
      </c>
      <c r="F102" s="77" t="s">
        <v>72</v>
      </c>
      <c r="G102" s="78">
        <v>0.80493537632487944</v>
      </c>
      <c r="H102" s="79"/>
      <c r="I102" s="79"/>
      <c r="J102" s="3" t="str">
        <f t="shared" si="5"/>
        <v/>
      </c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1" t="s">
        <v>1116</v>
      </c>
      <c r="W102" s="1">
        <v>1352024</v>
      </c>
    </row>
    <row r="103" spans="1:23" x14ac:dyDescent="0.25">
      <c r="A103" s="76">
        <v>3</v>
      </c>
      <c r="B103" s="76" t="s">
        <v>54</v>
      </c>
      <c r="C103" s="76">
        <v>2000</v>
      </c>
      <c r="D103" s="76" t="str">
        <f t="shared" si="6"/>
        <v>A00N</v>
      </c>
      <c r="E103" s="76" t="s">
        <v>65</v>
      </c>
      <c r="F103" s="77" t="s">
        <v>73</v>
      </c>
      <c r="G103" s="78">
        <v>0.75925774348892938</v>
      </c>
      <c r="H103" s="79"/>
      <c r="I103" s="79"/>
      <c r="J103" s="3" t="str">
        <f t="shared" si="5"/>
        <v/>
      </c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1" t="s">
        <v>1116</v>
      </c>
      <c r="W103" s="1">
        <v>2008475</v>
      </c>
    </row>
    <row r="104" spans="1:23" x14ac:dyDescent="0.25">
      <c r="A104" s="76">
        <v>3</v>
      </c>
      <c r="B104" s="76" t="s">
        <v>54</v>
      </c>
      <c r="C104" s="76">
        <v>2000</v>
      </c>
      <c r="D104" s="76" t="str">
        <f t="shared" si="6"/>
        <v>A00N</v>
      </c>
      <c r="E104" s="76" t="s">
        <v>65</v>
      </c>
      <c r="F104" s="77" t="s">
        <v>74</v>
      </c>
      <c r="G104" s="78">
        <v>0.87036953417794649</v>
      </c>
      <c r="H104" s="79"/>
      <c r="I104" s="79"/>
      <c r="J104" s="3" t="str">
        <f t="shared" si="5"/>
        <v/>
      </c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1">
        <v>134</v>
      </c>
      <c r="W104" s="1">
        <v>3425101</v>
      </c>
    </row>
    <row r="105" spans="1:23" x14ac:dyDescent="0.25">
      <c r="A105" s="76">
        <v>3</v>
      </c>
      <c r="B105" s="76" t="s">
        <v>54</v>
      </c>
      <c r="C105" s="76">
        <v>2000</v>
      </c>
      <c r="D105" s="76" t="str">
        <f t="shared" si="6"/>
        <v>A00N</v>
      </c>
      <c r="E105" s="76" t="s">
        <v>65</v>
      </c>
      <c r="F105" s="77" t="s">
        <v>75</v>
      </c>
      <c r="G105" s="78">
        <v>0.80833010007326123</v>
      </c>
      <c r="H105" s="79"/>
      <c r="I105" s="79"/>
      <c r="J105" s="3" t="str">
        <f t="shared" si="5"/>
        <v/>
      </c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1">
        <v>1</v>
      </c>
      <c r="W105" s="1">
        <v>310824</v>
      </c>
    </row>
    <row r="106" spans="1:23" x14ac:dyDescent="0.25">
      <c r="A106" s="76">
        <v>3</v>
      </c>
      <c r="B106" s="76" t="s">
        <v>54</v>
      </c>
      <c r="C106" s="76">
        <v>2000</v>
      </c>
      <c r="D106" s="76" t="str">
        <f>LEFT(F106,4)</f>
        <v>A00N</v>
      </c>
      <c r="E106" s="76" t="s">
        <v>65</v>
      </c>
      <c r="F106" s="77" t="s">
        <v>502</v>
      </c>
      <c r="G106" s="78">
        <v>0.77603645408205901</v>
      </c>
      <c r="H106" s="79">
        <v>36927</v>
      </c>
      <c r="I106" s="79">
        <v>42203</v>
      </c>
      <c r="J106" s="3">
        <f t="shared" si="5"/>
        <v>14</v>
      </c>
      <c r="K106" s="7">
        <v>-1.1070608883488542E-2</v>
      </c>
      <c r="L106" s="7">
        <v>-1.0402593893541701E-2</v>
      </c>
      <c r="M106" s="7">
        <v>-1.3264753654575245E-2</v>
      </c>
      <c r="N106" s="7">
        <v>-8.7956698240866382E-3</v>
      </c>
      <c r="O106" s="7">
        <v>-1.0000000000002229E-2</v>
      </c>
      <c r="P106" s="7">
        <v>-7.2499999999996567E-2</v>
      </c>
      <c r="Q106" s="7">
        <v>-0.43500000000000227</v>
      </c>
      <c r="R106" s="7">
        <v>-0.99499999999999889</v>
      </c>
      <c r="S106" s="7">
        <v>-0.99499999999999889</v>
      </c>
      <c r="T106" s="7">
        <v>-1</v>
      </c>
      <c r="U106" s="1">
        <v>3366</v>
      </c>
      <c r="W106" s="1">
        <v>820571</v>
      </c>
    </row>
    <row r="107" spans="1:23" x14ac:dyDescent="0.25">
      <c r="A107" s="76">
        <v>3</v>
      </c>
      <c r="B107" s="76" t="s">
        <v>54</v>
      </c>
      <c r="C107" s="76">
        <v>2000</v>
      </c>
      <c r="D107" s="76" t="str">
        <f>LEFT(F107,4)</f>
        <v>A00N</v>
      </c>
      <c r="E107" s="76" t="s">
        <v>65</v>
      </c>
      <c r="F107" s="77" t="s">
        <v>504</v>
      </c>
      <c r="G107" s="78">
        <v>0.82316245603780491</v>
      </c>
      <c r="H107" s="79">
        <v>36900</v>
      </c>
      <c r="I107" s="79">
        <v>42203</v>
      </c>
      <c r="J107" s="3">
        <f t="shared" si="5"/>
        <v>14</v>
      </c>
      <c r="K107" s="7">
        <v>1.5255839071149246E-2</v>
      </c>
      <c r="L107" s="7">
        <v>3.7827614158327805E-3</v>
      </c>
      <c r="M107" s="7">
        <v>9.4748240389885829E-4</v>
      </c>
      <c r="N107" s="7">
        <v>6.7658998646713542E-4</v>
      </c>
      <c r="O107" s="7">
        <v>5.0000000000012257E-3</v>
      </c>
      <c r="P107" s="7">
        <v>-1.4999999999997682E-2</v>
      </c>
      <c r="Q107" s="7">
        <v>-0.30749999999999889</v>
      </c>
      <c r="R107" s="7">
        <v>-0.85250000000000337</v>
      </c>
      <c r="S107" s="7">
        <v>-0.99499999999999889</v>
      </c>
      <c r="T107" s="7">
        <v>-1</v>
      </c>
      <c r="U107" s="1">
        <v>781</v>
      </c>
      <c r="W107" s="1">
        <v>818399</v>
      </c>
    </row>
    <row r="108" spans="1:23" x14ac:dyDescent="0.25">
      <c r="A108" s="76">
        <v>3</v>
      </c>
      <c r="B108" s="76" t="s">
        <v>54</v>
      </c>
      <c r="C108" s="76">
        <v>2000</v>
      </c>
      <c r="D108" s="76" t="str">
        <f t="shared" ref="D108:D117" si="7">LEFT(F108,4)</f>
        <v>A00N</v>
      </c>
      <c r="E108" s="76" t="s">
        <v>65</v>
      </c>
      <c r="F108" s="77" t="s">
        <v>764</v>
      </c>
      <c r="G108" s="78">
        <v>0.78484040485523288</v>
      </c>
      <c r="H108" s="79">
        <v>42198</v>
      </c>
      <c r="I108" s="79">
        <v>42198</v>
      </c>
      <c r="J108" s="3" t="str">
        <f t="shared" si="5"/>
        <v/>
      </c>
      <c r="K108" s="7">
        <v>8.7064676616914749E-3</v>
      </c>
      <c r="L108" s="7">
        <v>1.0749999999999815E-2</v>
      </c>
      <c r="M108" s="7">
        <v>-7.2645290581164756E-3</v>
      </c>
      <c r="N108" s="7">
        <v>-2.5050100200402214E-3</v>
      </c>
      <c r="O108" s="7">
        <v>5.5000000000001048E-2</v>
      </c>
      <c r="P108" s="7">
        <v>-0.125</v>
      </c>
      <c r="Q108" s="7">
        <v>-0.40500000000000114</v>
      </c>
      <c r="R108" s="7">
        <v>-1</v>
      </c>
      <c r="S108" s="7">
        <v>-1</v>
      </c>
      <c r="T108" s="7">
        <v>-1</v>
      </c>
      <c r="U108" s="1">
        <v>2101</v>
      </c>
      <c r="W108" s="1">
        <v>3415791</v>
      </c>
    </row>
    <row r="109" spans="1:23" x14ac:dyDescent="0.25">
      <c r="A109" s="76">
        <v>3</v>
      </c>
      <c r="B109" s="76" t="s">
        <v>54</v>
      </c>
      <c r="C109" s="76">
        <v>2000</v>
      </c>
      <c r="D109" s="76" t="str">
        <f t="shared" si="7"/>
        <v>A00N</v>
      </c>
      <c r="E109" s="76" t="s">
        <v>65</v>
      </c>
      <c r="F109" s="77" t="s">
        <v>765</v>
      </c>
      <c r="G109" s="78">
        <v>0.78297904094382775</v>
      </c>
      <c r="H109" s="79">
        <v>42198</v>
      </c>
      <c r="I109" s="79">
        <v>42198</v>
      </c>
      <c r="J109" s="3" t="str">
        <f t="shared" si="5"/>
        <v/>
      </c>
      <c r="K109" s="7">
        <v>-9.9502487562186381E-4</v>
      </c>
      <c r="L109" s="7">
        <v>-6.2500000000003109E-3</v>
      </c>
      <c r="M109" s="7">
        <v>-1.1272545090180164E-2</v>
      </c>
      <c r="N109" s="7">
        <v>-1.4278557114228319E-2</v>
      </c>
      <c r="O109" s="7">
        <v>-5.7500000000000329E-2</v>
      </c>
      <c r="P109" s="7">
        <v>-3.0000000000001137E-2</v>
      </c>
      <c r="Q109" s="7">
        <v>-0.36999999999999889</v>
      </c>
      <c r="R109" s="7">
        <v>-1</v>
      </c>
      <c r="S109" s="7">
        <v>-1</v>
      </c>
      <c r="T109" s="7">
        <v>-1</v>
      </c>
      <c r="U109" s="1">
        <v>2255</v>
      </c>
      <c r="W109" s="1">
        <v>3415831</v>
      </c>
    </row>
    <row r="110" spans="1:23" x14ac:dyDescent="0.25">
      <c r="A110" s="76">
        <v>3</v>
      </c>
      <c r="B110" s="76" t="s">
        <v>54</v>
      </c>
      <c r="C110" s="76">
        <v>2000</v>
      </c>
      <c r="D110" s="76" t="str">
        <f t="shared" si="7"/>
        <v>A00N</v>
      </c>
      <c r="E110" s="76" t="s">
        <v>65</v>
      </c>
      <c r="F110" s="77" t="s">
        <v>766</v>
      </c>
      <c r="G110" s="78">
        <v>0</v>
      </c>
      <c r="H110" s="79">
        <v>42198</v>
      </c>
      <c r="I110" s="79">
        <v>42198</v>
      </c>
      <c r="J110" s="3" t="str">
        <f t="shared" si="5"/>
        <v/>
      </c>
      <c r="K110" s="7">
        <v>-1</v>
      </c>
      <c r="L110" s="7">
        <v>-1</v>
      </c>
      <c r="M110" s="7">
        <v>-1</v>
      </c>
      <c r="N110" s="7">
        <v>-1</v>
      </c>
      <c r="O110" s="7">
        <v>-1</v>
      </c>
      <c r="P110" s="7">
        <v>-1</v>
      </c>
      <c r="Q110" s="7">
        <v>-1</v>
      </c>
      <c r="R110" s="7">
        <v>-1</v>
      </c>
      <c r="S110" s="7">
        <v>-1</v>
      </c>
      <c r="T110" s="7">
        <v>-1</v>
      </c>
      <c r="U110" s="1">
        <v>632</v>
      </c>
      <c r="W110" s="1">
        <v>3415724</v>
      </c>
    </row>
    <row r="111" spans="1:23" x14ac:dyDescent="0.25">
      <c r="A111" s="76">
        <v>3</v>
      </c>
      <c r="B111" s="76" t="s">
        <v>54</v>
      </c>
      <c r="C111" s="76">
        <v>2000</v>
      </c>
      <c r="D111" s="76" t="str">
        <f t="shared" si="7"/>
        <v>A00N</v>
      </c>
      <c r="E111" s="76" t="s">
        <v>65</v>
      </c>
      <c r="F111" s="77" t="s">
        <v>767</v>
      </c>
      <c r="G111" s="78">
        <v>0.82641588186597104</v>
      </c>
      <c r="H111" s="79">
        <v>42198</v>
      </c>
      <c r="I111" s="79">
        <v>42198</v>
      </c>
      <c r="J111" s="3" t="str">
        <f t="shared" si="5"/>
        <v/>
      </c>
      <c r="K111" s="7">
        <v>-1.2686567164179596E-2</v>
      </c>
      <c r="L111" s="7">
        <v>-2.2499999999999742E-3</v>
      </c>
      <c r="M111" s="7">
        <v>-1.5030060120240329E-2</v>
      </c>
      <c r="N111" s="7">
        <v>-6.0120240480963094E-3</v>
      </c>
      <c r="O111" s="7">
        <v>0</v>
      </c>
      <c r="P111" s="7">
        <v>-2.5000000000000022E-2</v>
      </c>
      <c r="Q111" s="7">
        <v>-0.1649999999999977</v>
      </c>
      <c r="R111" s="7">
        <v>-0.95</v>
      </c>
      <c r="S111" s="7">
        <v>-1</v>
      </c>
      <c r="T111" s="7">
        <v>-1</v>
      </c>
      <c r="U111" s="1">
        <v>1794</v>
      </c>
      <c r="W111" s="1">
        <v>3415856</v>
      </c>
    </row>
    <row r="112" spans="1:23" x14ac:dyDescent="0.25">
      <c r="A112" s="76">
        <v>3</v>
      </c>
      <c r="B112" s="76" t="s">
        <v>54</v>
      </c>
      <c r="C112" s="76">
        <v>2000</v>
      </c>
      <c r="D112" s="76" t="str">
        <f t="shared" si="7"/>
        <v>A00N</v>
      </c>
      <c r="E112" s="76" t="s">
        <v>65</v>
      </c>
      <c r="F112" s="77" t="s">
        <v>768</v>
      </c>
      <c r="G112" s="78">
        <v>0.77507965352346508</v>
      </c>
      <c r="H112" s="79">
        <v>42198</v>
      </c>
      <c r="I112" s="79">
        <v>42198</v>
      </c>
      <c r="J112" s="3" t="str">
        <f t="shared" si="5"/>
        <v/>
      </c>
      <c r="K112" s="7">
        <v>6.9651741293532687E-3</v>
      </c>
      <c r="L112" s="7">
        <v>0</v>
      </c>
      <c r="M112" s="7">
        <v>-8.7675350701401644E-3</v>
      </c>
      <c r="N112" s="7">
        <v>-1.352705410821653E-2</v>
      </c>
      <c r="O112" s="7">
        <v>-6.25E-2</v>
      </c>
      <c r="P112" s="7">
        <v>3.5000000000002363E-2</v>
      </c>
      <c r="Q112" s="7">
        <v>-0.56000000000000227</v>
      </c>
      <c r="R112" s="7">
        <v>-1</v>
      </c>
      <c r="S112" s="7">
        <v>-1</v>
      </c>
      <c r="T112" s="7">
        <v>-1</v>
      </c>
      <c r="U112" s="1">
        <v>2270</v>
      </c>
      <c r="W112" s="1">
        <v>3415864</v>
      </c>
    </row>
    <row r="113" spans="1:23" x14ac:dyDescent="0.25">
      <c r="A113" s="76">
        <v>3</v>
      </c>
      <c r="B113" s="76" t="s">
        <v>54</v>
      </c>
      <c r="C113" s="76">
        <v>2000</v>
      </c>
      <c r="D113" s="76" t="str">
        <f t="shared" si="7"/>
        <v>A00N</v>
      </c>
      <c r="E113" s="76" t="s">
        <v>65</v>
      </c>
      <c r="F113" s="77" t="s">
        <v>769</v>
      </c>
      <c r="G113" s="78">
        <v>0.80100905250426313</v>
      </c>
      <c r="H113" s="79">
        <v>42198</v>
      </c>
      <c r="I113" s="79">
        <v>42198</v>
      </c>
      <c r="J113" s="3" t="str">
        <f t="shared" si="5"/>
        <v/>
      </c>
      <c r="K113" s="7">
        <v>4.2288557213931988E-3</v>
      </c>
      <c r="L113" s="7">
        <v>-1.2499999999999734E-3</v>
      </c>
      <c r="M113" s="7">
        <v>-6.0120240480959763E-3</v>
      </c>
      <c r="N113" s="7">
        <v>-8.7675350701407195E-3</v>
      </c>
      <c r="O113" s="7">
        <v>-7.4999999999988409E-3</v>
      </c>
      <c r="P113" s="7">
        <v>-0.12999999999999545</v>
      </c>
      <c r="Q113" s="7">
        <v>-0.20500000000000684</v>
      </c>
      <c r="R113" s="7">
        <v>-0.87999999999999545</v>
      </c>
      <c r="S113" s="7">
        <v>-1</v>
      </c>
      <c r="T113" s="7">
        <v>-1</v>
      </c>
      <c r="U113" s="1">
        <v>2996</v>
      </c>
      <c r="W113" s="1">
        <v>3415732</v>
      </c>
    </row>
    <row r="114" spans="1:23" x14ac:dyDescent="0.25">
      <c r="A114" s="76">
        <v>3</v>
      </c>
      <c r="B114" s="76" t="s">
        <v>54</v>
      </c>
      <c r="C114" s="76">
        <v>2000</v>
      </c>
      <c r="D114" s="76" t="str">
        <f t="shared" si="7"/>
        <v>A00N</v>
      </c>
      <c r="E114" s="76" t="s">
        <v>65</v>
      </c>
      <c r="F114" s="77" t="s">
        <v>770</v>
      </c>
      <c r="G114" s="78">
        <v>0.78433923283282969</v>
      </c>
      <c r="H114" s="79">
        <v>36781</v>
      </c>
      <c r="I114" s="79">
        <v>42198</v>
      </c>
      <c r="J114" s="3">
        <f t="shared" si="5"/>
        <v>15</v>
      </c>
      <c r="K114" s="7">
        <v>2.7363184079605141E-3</v>
      </c>
      <c r="L114" s="7">
        <v>-8.5000000000001741E-3</v>
      </c>
      <c r="M114" s="7">
        <v>-1.0020040080160886E-3</v>
      </c>
      <c r="N114" s="7">
        <v>-1.5030060120240329E-2</v>
      </c>
      <c r="O114" s="7">
        <v>3.7500000000000089E-2</v>
      </c>
      <c r="P114" s="7">
        <v>-5.0000000000000044E-2</v>
      </c>
      <c r="Q114" s="7">
        <v>-0.50500000000000111</v>
      </c>
      <c r="R114" s="7">
        <v>-1</v>
      </c>
      <c r="S114" s="7">
        <v>-1</v>
      </c>
      <c r="T114" s="7">
        <v>-1</v>
      </c>
      <c r="U114" s="1">
        <v>3335</v>
      </c>
      <c r="W114" s="1">
        <v>3415716</v>
      </c>
    </row>
    <row r="115" spans="1:23" x14ac:dyDescent="0.25">
      <c r="A115" s="76">
        <v>3</v>
      </c>
      <c r="B115" s="76" t="s">
        <v>54</v>
      </c>
      <c r="C115" s="76">
        <v>2000</v>
      </c>
      <c r="D115" s="76" t="str">
        <f t="shared" si="7"/>
        <v>A00N</v>
      </c>
      <c r="E115" s="76" t="s">
        <v>65</v>
      </c>
      <c r="F115" s="77" t="s">
        <v>771</v>
      </c>
      <c r="G115" s="78">
        <v>0.78775232664657668</v>
      </c>
      <c r="H115" s="79">
        <v>42198</v>
      </c>
      <c r="I115" s="79">
        <v>42198</v>
      </c>
      <c r="J115" s="3" t="str">
        <f t="shared" si="5"/>
        <v/>
      </c>
      <c r="K115" s="7">
        <v>4.7263681592042417E-3</v>
      </c>
      <c r="L115" s="7">
        <v>8.2499999999998685E-3</v>
      </c>
      <c r="M115" s="7">
        <v>-1.1022044088176419E-2</v>
      </c>
      <c r="N115" s="7">
        <v>-1.2024048096192397E-2</v>
      </c>
      <c r="O115" s="7">
        <v>-4.9999999999996714E-3</v>
      </c>
      <c r="P115" s="7">
        <v>-2.5000000000000022E-2</v>
      </c>
      <c r="Q115" s="7">
        <v>-0.45500000000000118</v>
      </c>
      <c r="R115" s="7">
        <v>-0.99499999999999889</v>
      </c>
      <c r="S115" s="7">
        <v>-1</v>
      </c>
      <c r="T115" s="7">
        <v>-1</v>
      </c>
      <c r="U115" s="1">
        <v>1585</v>
      </c>
      <c r="W115" s="1">
        <v>3415821</v>
      </c>
    </row>
    <row r="116" spans="1:23" x14ac:dyDescent="0.25">
      <c r="A116" s="76">
        <v>3</v>
      </c>
      <c r="B116" s="76" t="s">
        <v>54</v>
      </c>
      <c r="C116" s="76">
        <v>2000</v>
      </c>
      <c r="D116" s="76" t="str">
        <f t="shared" si="7"/>
        <v>A00N</v>
      </c>
      <c r="E116" s="76" t="s">
        <v>65</v>
      </c>
      <c r="F116" s="77" t="s">
        <v>772</v>
      </c>
      <c r="G116" s="78">
        <v>0.70293147160215952</v>
      </c>
      <c r="H116" s="79">
        <v>36781</v>
      </c>
      <c r="I116" s="79">
        <v>42198</v>
      </c>
      <c r="J116" s="3">
        <f t="shared" si="5"/>
        <v>15</v>
      </c>
      <c r="K116" s="7">
        <v>-1.7412935323383061E-2</v>
      </c>
      <c r="L116" s="7">
        <v>-2.7749999999999719E-2</v>
      </c>
      <c r="M116" s="7">
        <v>-1.528056112224474E-2</v>
      </c>
      <c r="N116" s="7">
        <v>-2.6302605210420382E-2</v>
      </c>
      <c r="O116" s="7">
        <v>2.000000000000024E-2</v>
      </c>
      <c r="P116" s="7">
        <v>-0.10500000000000109</v>
      </c>
      <c r="Q116" s="7">
        <v>-0.99499999999999889</v>
      </c>
      <c r="R116" s="7">
        <v>-1</v>
      </c>
      <c r="S116" s="7">
        <v>-1</v>
      </c>
      <c r="T116" s="7">
        <v>-1</v>
      </c>
      <c r="U116" s="1">
        <v>2221</v>
      </c>
      <c r="W116" s="1">
        <v>3415678</v>
      </c>
    </row>
    <row r="117" spans="1:23" x14ac:dyDescent="0.25">
      <c r="A117" s="76">
        <v>3</v>
      </c>
      <c r="B117" s="76" t="s">
        <v>54</v>
      </c>
      <c r="C117" s="76">
        <v>2000</v>
      </c>
      <c r="D117" s="76" t="str">
        <f t="shared" si="7"/>
        <v>A00N</v>
      </c>
      <c r="E117" s="76" t="s">
        <v>65</v>
      </c>
      <c r="F117" s="77" t="s">
        <v>773</v>
      </c>
      <c r="G117" s="78">
        <v>0.78492480537044274</v>
      </c>
      <c r="H117" s="79">
        <v>42198</v>
      </c>
      <c r="I117" s="79">
        <v>42198</v>
      </c>
      <c r="J117" s="3" t="str">
        <f t="shared" si="5"/>
        <v/>
      </c>
      <c r="K117" s="7">
        <v>-4.9751243781094301E-3</v>
      </c>
      <c r="L117" s="7">
        <v>-8.9999999999997859E-3</v>
      </c>
      <c r="M117" s="7">
        <v>-1.127254509018083E-2</v>
      </c>
      <c r="N117" s="7">
        <v>-2.5300601202404738E-2</v>
      </c>
      <c r="O117" s="7">
        <v>3.2499999999998863E-2</v>
      </c>
      <c r="P117" s="7">
        <v>-3.4999999999996589E-2</v>
      </c>
      <c r="Q117" s="7">
        <v>-0.50500000000000111</v>
      </c>
      <c r="R117" s="7">
        <v>-1</v>
      </c>
      <c r="S117" s="7">
        <v>-1</v>
      </c>
      <c r="T117" s="7">
        <v>-1</v>
      </c>
      <c r="U117" s="1">
        <v>2738</v>
      </c>
      <c r="W117" s="1">
        <v>3415775</v>
      </c>
    </row>
    <row r="118" spans="1:23" x14ac:dyDescent="0.25">
      <c r="A118" s="76">
        <v>3</v>
      </c>
      <c r="B118" s="76" t="s">
        <v>54</v>
      </c>
      <c r="C118" s="76">
        <v>2000</v>
      </c>
      <c r="D118" s="76" t="str">
        <f t="shared" ref="D118:D127" si="8">LEFT(F118,4)</f>
        <v>A00N</v>
      </c>
      <c r="E118" s="76" t="s">
        <v>65</v>
      </c>
      <c r="F118" s="77" t="s">
        <v>870</v>
      </c>
      <c r="G118" s="78">
        <v>0.7929628587844193</v>
      </c>
      <c r="H118" s="79">
        <v>38493</v>
      </c>
      <c r="I118" s="79">
        <v>42145</v>
      </c>
      <c r="J118" s="3">
        <f t="shared" si="5"/>
        <v>10</v>
      </c>
      <c r="K118" s="7">
        <v>-8.6870026525199484E-2</v>
      </c>
      <c r="L118" s="7">
        <v>1.3386880856762762E-3</v>
      </c>
      <c r="M118" s="7">
        <v>-6.6889632106958974E-4</v>
      </c>
      <c r="N118" s="7">
        <v>-2.6737967914450822E-3</v>
      </c>
      <c r="O118" s="7">
        <v>-7.4999999999988409E-3</v>
      </c>
      <c r="P118" s="7">
        <v>-4.7499999999996545E-2</v>
      </c>
      <c r="Q118" s="7">
        <v>-0.34000000000000341</v>
      </c>
      <c r="R118" s="7">
        <v>-0.99250000000000116</v>
      </c>
      <c r="S118" s="7">
        <v>-0.99749999999999661</v>
      </c>
      <c r="T118" s="7">
        <v>-1</v>
      </c>
      <c r="U118" s="1">
        <v>4553</v>
      </c>
      <c r="W118" s="1">
        <v>875562</v>
      </c>
    </row>
    <row r="119" spans="1:23" x14ac:dyDescent="0.25">
      <c r="A119" s="76">
        <v>3</v>
      </c>
      <c r="B119" s="76" t="s">
        <v>54</v>
      </c>
      <c r="C119" s="76">
        <v>2000</v>
      </c>
      <c r="D119" s="76" t="str">
        <f t="shared" si="8"/>
        <v>A00N</v>
      </c>
      <c r="E119" s="76" t="s">
        <v>65</v>
      </c>
      <c r="F119" s="77" t="s">
        <v>871</v>
      </c>
      <c r="G119" s="78">
        <v>0.81714648181552607</v>
      </c>
      <c r="H119" s="79">
        <v>36781</v>
      </c>
      <c r="I119" s="79">
        <v>42198</v>
      </c>
      <c r="J119" s="3">
        <f t="shared" si="5"/>
        <v>15</v>
      </c>
      <c r="K119" s="7">
        <v>-9.0848806366046864E-2</v>
      </c>
      <c r="L119" s="7">
        <v>-3.3467202141908015E-3</v>
      </c>
      <c r="M119" s="7">
        <v>-4.6822742474904588E-3</v>
      </c>
      <c r="N119" s="7">
        <v>-6.0160427807498529E-3</v>
      </c>
      <c r="O119" s="7">
        <v>0</v>
      </c>
      <c r="P119" s="7">
        <v>-1.9999999999998908E-2</v>
      </c>
      <c r="Q119" s="7">
        <v>-0.20500000000000118</v>
      </c>
      <c r="R119" s="7">
        <v>-0.98999999999999777</v>
      </c>
      <c r="S119" s="7">
        <v>-0.99499999999999889</v>
      </c>
      <c r="T119" s="7">
        <v>-1</v>
      </c>
      <c r="U119" s="1">
        <v>1417</v>
      </c>
      <c r="W119" s="1">
        <v>3420841</v>
      </c>
    </row>
    <row r="120" spans="1:23" x14ac:dyDescent="0.25">
      <c r="A120" s="76">
        <v>3</v>
      </c>
      <c r="B120" s="76" t="s">
        <v>54</v>
      </c>
      <c r="C120" s="76">
        <v>2000</v>
      </c>
      <c r="D120" s="76" t="str">
        <f t="shared" si="8"/>
        <v>A00N</v>
      </c>
      <c r="E120" s="76" t="s">
        <v>65</v>
      </c>
      <c r="F120" s="77" t="s">
        <v>872</v>
      </c>
      <c r="G120" s="78">
        <v>0.8099095370399918</v>
      </c>
      <c r="H120" s="79">
        <v>36781</v>
      </c>
      <c r="I120" s="79">
        <v>42198</v>
      </c>
      <c r="J120" s="3">
        <f t="shared" si="5"/>
        <v>15</v>
      </c>
      <c r="K120" s="7">
        <v>-9.6153846153846478E-2</v>
      </c>
      <c r="L120" s="7">
        <v>-7.3627844712184087E-3</v>
      </c>
      <c r="M120" s="7">
        <v>-1.1371237458192796E-2</v>
      </c>
      <c r="N120" s="7">
        <v>-1.336898395721986E-2</v>
      </c>
      <c r="O120" s="7">
        <v>-1.0000000000002229E-2</v>
      </c>
      <c r="P120" s="7">
        <v>-3.9999999999997704E-2</v>
      </c>
      <c r="Q120" s="7">
        <v>-0.19250000000000111</v>
      </c>
      <c r="R120" s="7">
        <v>-0.98999999999999777</v>
      </c>
      <c r="S120" s="7">
        <v>-0.99750000000000227</v>
      </c>
      <c r="T120" s="7">
        <v>-1</v>
      </c>
      <c r="U120" s="1">
        <v>2450</v>
      </c>
      <c r="W120" s="1">
        <v>3420876</v>
      </c>
    </row>
    <row r="121" spans="1:23" ht="12.75" customHeight="1" x14ac:dyDescent="0.25">
      <c r="A121" s="76">
        <v>3</v>
      </c>
      <c r="B121" s="76" t="s">
        <v>54</v>
      </c>
      <c r="C121" s="76">
        <v>2000</v>
      </c>
      <c r="D121" s="76" t="str">
        <f t="shared" si="8"/>
        <v>A00N</v>
      </c>
      <c r="E121" s="76" t="s">
        <v>65</v>
      </c>
      <c r="F121" s="77" t="s">
        <v>873</v>
      </c>
      <c r="G121" s="78">
        <v>0.80578821408403334</v>
      </c>
      <c r="H121" s="79">
        <v>36781</v>
      </c>
      <c r="I121" s="79">
        <v>42198</v>
      </c>
      <c r="J121" s="3">
        <f t="shared" si="5"/>
        <v>15</v>
      </c>
      <c r="K121" s="7">
        <v>-9.3501326259947115E-2</v>
      </c>
      <c r="L121" s="7">
        <v>-6.6934404283801596E-3</v>
      </c>
      <c r="M121" s="7">
        <v>-8.6956521739127712E-3</v>
      </c>
      <c r="N121" s="7">
        <v>-1.1363636363636465E-2</v>
      </c>
      <c r="O121" s="7">
        <v>-7.4999999999988409E-3</v>
      </c>
      <c r="P121" s="7">
        <v>-4.2500000000001092E-2</v>
      </c>
      <c r="Q121" s="7">
        <v>-0.23000000000000109</v>
      </c>
      <c r="R121" s="7">
        <v>-0.98999999999999777</v>
      </c>
      <c r="S121" s="7">
        <v>-0.99750000000000227</v>
      </c>
      <c r="T121" s="7">
        <v>-1</v>
      </c>
      <c r="U121" s="1">
        <v>2357</v>
      </c>
      <c r="W121" s="1">
        <v>3420892</v>
      </c>
    </row>
    <row r="122" spans="1:23" x14ac:dyDescent="0.25">
      <c r="A122" s="76">
        <v>3</v>
      </c>
      <c r="B122" s="76" t="s">
        <v>54</v>
      </c>
      <c r="C122" s="76">
        <v>2000</v>
      </c>
      <c r="D122" s="76" t="str">
        <f t="shared" si="8"/>
        <v>A00N</v>
      </c>
      <c r="E122" s="76" t="s">
        <v>65</v>
      </c>
      <c r="F122" s="77" t="s">
        <v>874</v>
      </c>
      <c r="G122" s="78">
        <v>0.80521363894625297</v>
      </c>
      <c r="H122" s="79">
        <v>36781</v>
      </c>
      <c r="I122" s="79">
        <v>42198</v>
      </c>
      <c r="J122" s="3">
        <f t="shared" si="5"/>
        <v>15</v>
      </c>
      <c r="K122" s="7">
        <v>-9.3501326259946671E-2</v>
      </c>
      <c r="L122" s="7">
        <v>-8.0321285140557697E-3</v>
      </c>
      <c r="M122" s="7">
        <v>-6.0200668896327469E-3</v>
      </c>
      <c r="N122" s="7">
        <v>-8.6898395721928257E-3</v>
      </c>
      <c r="O122" s="7">
        <v>-5.0000000000011147E-3</v>
      </c>
      <c r="P122" s="7">
        <v>-3.7499999999999978E-2</v>
      </c>
      <c r="Q122" s="7">
        <v>-0.25</v>
      </c>
      <c r="R122" s="7">
        <v>-0.9924999999999955</v>
      </c>
      <c r="S122" s="7">
        <v>-0.99750000000000227</v>
      </c>
      <c r="T122" s="7">
        <v>-1</v>
      </c>
      <c r="U122" s="1">
        <v>3034</v>
      </c>
      <c r="W122" s="1">
        <v>3420884</v>
      </c>
    </row>
    <row r="123" spans="1:23" x14ac:dyDescent="0.25">
      <c r="A123" s="76">
        <v>3</v>
      </c>
      <c r="B123" s="76" t="s">
        <v>54</v>
      </c>
      <c r="C123" s="76">
        <v>2000</v>
      </c>
      <c r="D123" s="76" t="str">
        <f t="shared" si="8"/>
        <v>A00N</v>
      </c>
      <c r="E123" s="76" t="s">
        <v>65</v>
      </c>
      <c r="F123" s="77" t="s">
        <v>875</v>
      </c>
      <c r="G123" s="78">
        <v>0.82014852601729027</v>
      </c>
      <c r="H123" s="79">
        <v>36927</v>
      </c>
      <c r="I123" s="79">
        <v>42203</v>
      </c>
      <c r="J123" s="3">
        <f t="shared" si="5"/>
        <v>14</v>
      </c>
      <c r="K123" s="7">
        <v>-7.4933687002652571E-2</v>
      </c>
      <c r="L123" s="7">
        <v>8.7014725568947959E-3</v>
      </c>
      <c r="M123" s="7">
        <v>2.6755852842810235E-3</v>
      </c>
      <c r="N123" s="7">
        <v>1.0695187165775444E-2</v>
      </c>
      <c r="O123" s="7">
        <v>9.9999999999993427E-3</v>
      </c>
      <c r="P123" s="7">
        <v>-1.7499999999999738E-2</v>
      </c>
      <c r="Q123" s="7">
        <v>-0.22999999999999976</v>
      </c>
      <c r="R123" s="7">
        <v>-0.99000000000000055</v>
      </c>
      <c r="S123" s="7">
        <v>-0.99749999999999939</v>
      </c>
      <c r="T123" s="7">
        <v>-1</v>
      </c>
      <c r="U123" s="1">
        <v>2135</v>
      </c>
      <c r="W123" s="1">
        <v>819611</v>
      </c>
    </row>
    <row r="124" spans="1:23" x14ac:dyDescent="0.25">
      <c r="A124" s="76">
        <v>3</v>
      </c>
      <c r="B124" s="76" t="s">
        <v>54</v>
      </c>
      <c r="C124" s="76">
        <v>2000</v>
      </c>
      <c r="D124" s="76" t="str">
        <f t="shared" si="8"/>
        <v>A00N</v>
      </c>
      <c r="E124" s="76" t="s">
        <v>65</v>
      </c>
      <c r="F124" s="77" t="s">
        <v>876</v>
      </c>
      <c r="G124" s="78">
        <v>0.83813132031065551</v>
      </c>
      <c r="H124" s="79">
        <v>36915</v>
      </c>
      <c r="I124" s="79">
        <v>42200</v>
      </c>
      <c r="J124" s="3">
        <f t="shared" si="5"/>
        <v>14</v>
      </c>
      <c r="K124" s="7">
        <v>-9.2838196286472496E-2</v>
      </c>
      <c r="L124" s="7">
        <v>-4.6854082998656343E-3</v>
      </c>
      <c r="M124" s="7">
        <v>-6.6889632107023367E-3</v>
      </c>
      <c r="N124" s="7">
        <v>-6.6844919786102075E-3</v>
      </c>
      <c r="O124" s="7">
        <v>-2.4999999999977263E-3</v>
      </c>
      <c r="P124" s="7">
        <v>-2.2500000000002296E-2</v>
      </c>
      <c r="Q124" s="7">
        <v>-0.13749999999999996</v>
      </c>
      <c r="R124" s="7">
        <v>-0.79249999999999543</v>
      </c>
      <c r="S124" s="7">
        <v>-0.99750000000000227</v>
      </c>
      <c r="T124" s="7">
        <v>-1</v>
      </c>
      <c r="U124" s="1">
        <v>2740</v>
      </c>
      <c r="W124" s="1">
        <v>1754981</v>
      </c>
    </row>
    <row r="125" spans="1:23" x14ac:dyDescent="0.25">
      <c r="A125" s="76">
        <v>3</v>
      </c>
      <c r="B125" s="76" t="s">
        <v>54</v>
      </c>
      <c r="C125" s="76">
        <v>2000</v>
      </c>
      <c r="D125" s="76" t="str">
        <f t="shared" si="8"/>
        <v>A00N</v>
      </c>
      <c r="E125" s="76" t="s">
        <v>65</v>
      </c>
      <c r="F125" s="77" t="s">
        <v>877</v>
      </c>
      <c r="G125" s="78">
        <v>0.85222769052067959</v>
      </c>
      <c r="H125" s="79">
        <v>36899</v>
      </c>
      <c r="I125" s="79">
        <v>42200</v>
      </c>
      <c r="J125" s="3">
        <f t="shared" si="5"/>
        <v>14</v>
      </c>
      <c r="K125" s="7">
        <v>-6.9628647214854511E-2</v>
      </c>
      <c r="L125" s="7">
        <v>1.9410977242302341E-2</v>
      </c>
      <c r="M125" s="7">
        <v>2.006688963210701E-2</v>
      </c>
      <c r="N125" s="7">
        <v>1.9385026737968047E-2</v>
      </c>
      <c r="O125" s="7">
        <v>3.2499999999998863E-2</v>
      </c>
      <c r="P125" s="7">
        <v>1.0000000000002229E-2</v>
      </c>
      <c r="Q125" s="7">
        <v>-0.11750000000000116</v>
      </c>
      <c r="R125" s="7">
        <v>-0.98000000000000109</v>
      </c>
      <c r="S125" s="7">
        <v>-0.94749999999999657</v>
      </c>
      <c r="T125" s="7">
        <v>-1</v>
      </c>
      <c r="U125" s="1">
        <v>4225</v>
      </c>
      <c r="W125" s="1">
        <v>2195232</v>
      </c>
    </row>
    <row r="126" spans="1:23" x14ac:dyDescent="0.25">
      <c r="A126" s="76">
        <v>3</v>
      </c>
      <c r="B126" s="76" t="s">
        <v>54</v>
      </c>
      <c r="C126" s="76">
        <v>2000</v>
      </c>
      <c r="D126" s="76" t="str">
        <f t="shared" si="8"/>
        <v>A00N</v>
      </c>
      <c r="E126" s="76" t="s">
        <v>65</v>
      </c>
      <c r="F126" s="77" t="s">
        <v>878</v>
      </c>
      <c r="G126" s="78">
        <v>0.81263888550632513</v>
      </c>
      <c r="H126" s="79">
        <v>36958</v>
      </c>
      <c r="I126" s="79">
        <v>42203</v>
      </c>
      <c r="J126" s="3">
        <f t="shared" si="5"/>
        <v>14</v>
      </c>
      <c r="K126" s="7">
        <v>-8.3554376657824725E-2</v>
      </c>
      <c r="L126" s="7">
        <v>4.6854082998657454E-3</v>
      </c>
      <c r="M126" s="7">
        <v>2.6755852842814676E-3</v>
      </c>
      <c r="N126" s="7">
        <v>1.0026737967913979E-2</v>
      </c>
      <c r="O126" s="7">
        <v>5.0000000000001155E-3</v>
      </c>
      <c r="P126" s="7">
        <v>-2.9999999999999694E-2</v>
      </c>
      <c r="Q126" s="7">
        <v>-0.25</v>
      </c>
      <c r="R126" s="7">
        <v>-0.99250000000000038</v>
      </c>
      <c r="S126" s="7">
        <v>-0.99750000000000016</v>
      </c>
      <c r="T126" s="7">
        <v>-1</v>
      </c>
      <c r="U126" s="1">
        <v>4737</v>
      </c>
      <c r="W126" s="1">
        <v>818062</v>
      </c>
    </row>
    <row r="127" spans="1:23" x14ac:dyDescent="0.25">
      <c r="A127" s="76">
        <v>3</v>
      </c>
      <c r="B127" s="76" t="s">
        <v>54</v>
      </c>
      <c r="C127" s="76">
        <v>2000</v>
      </c>
      <c r="D127" s="76" t="str">
        <f t="shared" si="8"/>
        <v>A00N</v>
      </c>
      <c r="E127" s="76" t="s">
        <v>65</v>
      </c>
      <c r="F127" s="77" t="s">
        <v>879</v>
      </c>
      <c r="G127" s="78">
        <v>0.80456082822833852</v>
      </c>
      <c r="H127" s="79">
        <v>36781</v>
      </c>
      <c r="I127" s="79">
        <v>42198</v>
      </c>
      <c r="J127" s="3">
        <f t="shared" si="5"/>
        <v>15</v>
      </c>
      <c r="K127" s="7">
        <v>-9.1511936339522593E-2</v>
      </c>
      <c r="L127" s="7">
        <v>-4.0160642570282734E-3</v>
      </c>
      <c r="M127" s="7">
        <v>-6.688963210703891E-3</v>
      </c>
      <c r="N127" s="7">
        <v>-9.3582887700535133E-3</v>
      </c>
      <c r="O127" s="7">
        <v>-1.2499999999999956E-2</v>
      </c>
      <c r="P127" s="7">
        <v>-3.9999999999999813E-2</v>
      </c>
      <c r="Q127" s="7">
        <v>-0.24000000000000055</v>
      </c>
      <c r="R127" s="7">
        <v>-0.9899999999999991</v>
      </c>
      <c r="S127" s="7">
        <v>-0.99750000000000083</v>
      </c>
      <c r="T127" s="7">
        <v>-1</v>
      </c>
      <c r="U127" s="1">
        <v>1289</v>
      </c>
      <c r="W127" s="1">
        <v>3419657</v>
      </c>
    </row>
    <row r="128" spans="1:23" x14ac:dyDescent="0.25">
      <c r="A128" s="76">
        <v>3</v>
      </c>
      <c r="B128" s="76" t="s">
        <v>54</v>
      </c>
      <c r="C128" s="76">
        <v>2000</v>
      </c>
      <c r="D128" s="76" t="str">
        <f t="shared" ref="D128:D135" si="9">LEFT(F128,4)</f>
        <v>A00N</v>
      </c>
      <c r="E128" s="76" t="s">
        <v>65</v>
      </c>
      <c r="F128" s="77" t="s">
        <v>899</v>
      </c>
      <c r="G128" s="78">
        <v>0.82843370871781297</v>
      </c>
      <c r="H128" s="79">
        <v>42139</v>
      </c>
      <c r="I128" s="79">
        <v>42139</v>
      </c>
      <c r="J128" s="3" t="str">
        <f t="shared" si="5"/>
        <v/>
      </c>
      <c r="K128" s="7">
        <v>1.7550965303090305E-3</v>
      </c>
      <c r="L128" s="7">
        <v>-1.017639077340593E-2</v>
      </c>
      <c r="M128" s="7">
        <v>1.3559322033900312E-3</v>
      </c>
      <c r="N128" s="7">
        <v>-8.8195386702848433E-3</v>
      </c>
      <c r="O128" s="7">
        <v>5.5000000000001048E-2</v>
      </c>
      <c r="P128" s="7">
        <v>-3.2500000000004525E-2</v>
      </c>
      <c r="Q128" s="7">
        <v>-0.22249999999999659</v>
      </c>
      <c r="R128" s="7">
        <v>-0.99000000000000343</v>
      </c>
      <c r="S128" s="7">
        <v>-1</v>
      </c>
      <c r="T128" s="7">
        <v>-1</v>
      </c>
      <c r="U128" s="1">
        <v>0</v>
      </c>
      <c r="W128" s="1">
        <v>1233092</v>
      </c>
    </row>
    <row r="129" spans="1:23" x14ac:dyDescent="0.25">
      <c r="A129" s="76">
        <v>3</v>
      </c>
      <c r="B129" s="76" t="s">
        <v>54</v>
      </c>
      <c r="C129" s="76">
        <v>2000</v>
      </c>
      <c r="D129" s="76" t="str">
        <f t="shared" si="9"/>
        <v>A00N</v>
      </c>
      <c r="E129" s="76" t="s">
        <v>65</v>
      </c>
      <c r="F129" s="77" t="s">
        <v>900</v>
      </c>
      <c r="G129" s="78">
        <v>0.61629505734291312</v>
      </c>
      <c r="H129" s="79">
        <v>36796</v>
      </c>
      <c r="I129" s="79">
        <v>36796</v>
      </c>
      <c r="J129" s="3" t="str">
        <f t="shared" si="5"/>
        <v/>
      </c>
      <c r="K129" s="7">
        <v>-1.2420683137572053E-2</v>
      </c>
      <c r="L129" s="7">
        <v>-2.442333785617401E-2</v>
      </c>
      <c r="M129" s="7">
        <v>-2.5084745762712135E-2</v>
      </c>
      <c r="N129" s="7">
        <v>-2.3066485753052923E-2</v>
      </c>
      <c r="O129" s="7">
        <v>-3.7499999999999978E-2</v>
      </c>
      <c r="P129" s="7">
        <v>-0.58249999999999891</v>
      </c>
      <c r="Q129" s="7">
        <v>-0.7</v>
      </c>
      <c r="R129" s="7">
        <v>-0.9375</v>
      </c>
      <c r="S129" s="7">
        <v>-0.99749999999999939</v>
      </c>
      <c r="T129" s="7">
        <v>-1</v>
      </c>
      <c r="W129" s="1">
        <v>1855182</v>
      </c>
    </row>
    <row r="130" spans="1:23" x14ac:dyDescent="0.25">
      <c r="A130" s="76">
        <v>3</v>
      </c>
      <c r="B130" s="76" t="s">
        <v>54</v>
      </c>
      <c r="C130" s="76">
        <v>2000</v>
      </c>
      <c r="D130" s="76" t="str">
        <f t="shared" si="9"/>
        <v>A00N</v>
      </c>
      <c r="E130" s="76" t="s">
        <v>65</v>
      </c>
      <c r="F130" s="77" t="s">
        <v>901</v>
      </c>
      <c r="G130" s="78">
        <v>0.44433444345023521</v>
      </c>
      <c r="H130" s="79">
        <v>42185</v>
      </c>
      <c r="I130" s="79">
        <v>42185</v>
      </c>
      <c r="J130" s="3" t="str">
        <f t="shared" si="5"/>
        <v/>
      </c>
      <c r="K130" s="7">
        <v>-4.3472390981504017E-2</v>
      </c>
      <c r="L130" s="7">
        <v>-5.0881953867028651E-2</v>
      </c>
      <c r="M130" s="7">
        <v>-5.6271186440677634E-2</v>
      </c>
      <c r="N130" s="7">
        <v>-8.7516960651289E-2</v>
      </c>
      <c r="O130" s="7">
        <v>-0.13500000000000223</v>
      </c>
      <c r="P130" s="7">
        <v>-0.99499999999999889</v>
      </c>
      <c r="Q130" s="7">
        <v>-0.99499999999999889</v>
      </c>
      <c r="R130" s="7">
        <v>-0.99499999999999889</v>
      </c>
      <c r="S130" s="7">
        <v>-1</v>
      </c>
      <c r="T130" s="7">
        <v>-1</v>
      </c>
      <c r="U130" s="1">
        <v>4550</v>
      </c>
      <c r="W130" s="1">
        <v>825921</v>
      </c>
    </row>
    <row r="131" spans="1:23" x14ac:dyDescent="0.25">
      <c r="A131" s="76">
        <v>3</v>
      </c>
      <c r="B131" s="76" t="s">
        <v>54</v>
      </c>
      <c r="C131" s="76">
        <v>2000</v>
      </c>
      <c r="D131" s="76" t="str">
        <f t="shared" si="9"/>
        <v>A00N</v>
      </c>
      <c r="E131" s="76" t="s">
        <v>65</v>
      </c>
      <c r="F131" s="77" t="s">
        <v>902</v>
      </c>
      <c r="G131" s="78">
        <v>0.82153464069658833</v>
      </c>
      <c r="H131" s="79">
        <v>36978</v>
      </c>
      <c r="I131" s="79">
        <v>42160</v>
      </c>
      <c r="J131" s="3">
        <f t="shared" si="5"/>
        <v>14</v>
      </c>
      <c r="K131" s="7">
        <v>-1.5795868772782717E-2</v>
      </c>
      <c r="L131" s="7">
        <v>-2.0352781546812415E-2</v>
      </c>
      <c r="M131" s="7">
        <v>9.4915254237293301E-3</v>
      </c>
      <c r="N131" s="7">
        <v>-1.3568521031206981E-2</v>
      </c>
      <c r="O131" s="7">
        <v>7.4999999999989519E-3</v>
      </c>
      <c r="P131" s="7">
        <v>-2.5000000000033884E-3</v>
      </c>
      <c r="Q131" s="7">
        <v>-0.46499999999999775</v>
      </c>
      <c r="R131" s="7">
        <v>-0.65</v>
      </c>
      <c r="S131" s="7">
        <v>-0.94499999999999884</v>
      </c>
      <c r="T131" s="7">
        <v>-1</v>
      </c>
      <c r="U131" s="1">
        <v>1755</v>
      </c>
      <c r="W131" s="1">
        <v>2301491</v>
      </c>
    </row>
    <row r="132" spans="1:23" x14ac:dyDescent="0.25">
      <c r="A132" s="76">
        <v>3</v>
      </c>
      <c r="B132" s="76" t="s">
        <v>54</v>
      </c>
      <c r="C132" s="76">
        <v>2000</v>
      </c>
      <c r="D132" s="76" t="str">
        <f t="shared" si="9"/>
        <v>A00N</v>
      </c>
      <c r="E132" s="76" t="s">
        <v>65</v>
      </c>
      <c r="F132" s="77" t="s">
        <v>903</v>
      </c>
      <c r="G132" s="78">
        <v>0.8166537265729602</v>
      </c>
      <c r="H132" s="79">
        <v>42163</v>
      </c>
      <c r="I132" s="79">
        <v>42163</v>
      </c>
      <c r="J132" s="3" t="str">
        <f t="shared" si="5"/>
        <v/>
      </c>
      <c r="K132" s="7">
        <v>3.2806804374240661E-2</v>
      </c>
      <c r="L132" s="7">
        <v>2.9172320217096592E-2</v>
      </c>
      <c r="M132" s="7">
        <v>2.7118644067795739E-2</v>
      </c>
      <c r="N132" s="7">
        <v>3.1207598371777445E-2</v>
      </c>
      <c r="O132" s="7">
        <v>3.0000000000001137E-2</v>
      </c>
      <c r="P132" s="7">
        <v>-9.9999999999965672E-3</v>
      </c>
      <c r="Q132" s="7">
        <v>-0.39000000000000346</v>
      </c>
      <c r="R132" s="7">
        <v>-0.98750000000000004</v>
      </c>
      <c r="S132" s="7">
        <v>-0.99749999999999661</v>
      </c>
      <c r="T132" s="7">
        <v>-1</v>
      </c>
      <c r="U132" s="1">
        <v>3575</v>
      </c>
      <c r="W132" s="1">
        <v>1644939</v>
      </c>
    </row>
    <row r="133" spans="1:23" x14ac:dyDescent="0.25">
      <c r="A133" s="76">
        <v>3</v>
      </c>
      <c r="B133" s="76" t="s">
        <v>54</v>
      </c>
      <c r="C133" s="76">
        <v>2000</v>
      </c>
      <c r="D133" s="76" t="str">
        <f t="shared" si="9"/>
        <v>A00N</v>
      </c>
      <c r="E133" s="76" t="s">
        <v>65</v>
      </c>
      <c r="F133" s="77" t="s">
        <v>904</v>
      </c>
      <c r="G133" s="78">
        <v>0.81073758007756713</v>
      </c>
      <c r="H133" s="79">
        <v>37441</v>
      </c>
      <c r="I133" s="79">
        <v>42152</v>
      </c>
      <c r="J133" s="3">
        <f t="shared" ref="J133:J196" si="10">IF(YEAR(I133)-YEAR(H133)=0,"",YEAR(I133)-YEAR(H133))</f>
        <v>13</v>
      </c>
      <c r="K133" s="7">
        <v>2.1331173214527377E-2</v>
      </c>
      <c r="L133" s="7">
        <v>1.9674355495250762E-2</v>
      </c>
      <c r="M133" s="7">
        <v>3.6610169491525957E-2</v>
      </c>
      <c r="N133" s="7">
        <v>3.5278154681139151E-2</v>
      </c>
      <c r="O133" s="7">
        <v>2.4999999999999911E-2</v>
      </c>
      <c r="P133" s="7">
        <v>-4.2500000000001092E-2</v>
      </c>
      <c r="Q133" s="7">
        <v>-0.38749999999999996</v>
      </c>
      <c r="R133" s="7">
        <v>-0.94499999999999884</v>
      </c>
      <c r="S133" s="7">
        <v>-1</v>
      </c>
      <c r="T133" s="7">
        <v>-1</v>
      </c>
      <c r="U133" s="1">
        <v>3101</v>
      </c>
      <c r="W133" s="1">
        <v>1652291</v>
      </c>
    </row>
    <row r="134" spans="1:23" x14ac:dyDescent="0.25">
      <c r="A134" s="76">
        <v>3</v>
      </c>
      <c r="B134" s="76" t="s">
        <v>54</v>
      </c>
      <c r="C134" s="76">
        <v>2000</v>
      </c>
      <c r="D134" s="76" t="str">
        <f t="shared" si="9"/>
        <v>A00N</v>
      </c>
      <c r="E134" s="76" t="s">
        <v>65</v>
      </c>
      <c r="F134" s="77" t="s">
        <v>905</v>
      </c>
      <c r="G134" s="78">
        <v>0.86651885500401371</v>
      </c>
      <c r="H134" s="79">
        <v>36964</v>
      </c>
      <c r="I134" s="79">
        <v>37928</v>
      </c>
      <c r="J134" s="3">
        <f t="shared" si="10"/>
        <v>2</v>
      </c>
      <c r="K134" s="7">
        <v>3.1051707843934295E-3</v>
      </c>
      <c r="L134" s="7">
        <v>1.3568521031204206E-3</v>
      </c>
      <c r="M134" s="7">
        <v>2.0338983050847137E-3</v>
      </c>
      <c r="N134" s="7">
        <v>2.2204460492503131E-16</v>
      </c>
      <c r="O134" s="7">
        <v>7.4999999999989519E-3</v>
      </c>
      <c r="P134" s="7">
        <v>2.5000000000006128E-3</v>
      </c>
      <c r="Q134" s="7">
        <v>-9.7499999999999476E-2</v>
      </c>
      <c r="R134" s="7">
        <v>-0.66500000000000059</v>
      </c>
      <c r="S134" s="7">
        <v>-0.99749999999999939</v>
      </c>
      <c r="T134" s="7">
        <v>-1</v>
      </c>
      <c r="U134" s="1">
        <v>558</v>
      </c>
      <c r="W134" s="1">
        <v>30031</v>
      </c>
    </row>
    <row r="135" spans="1:23" x14ac:dyDescent="0.25">
      <c r="A135" s="76">
        <v>3</v>
      </c>
      <c r="B135" s="76" t="s">
        <v>54</v>
      </c>
      <c r="C135" s="76">
        <v>2000</v>
      </c>
      <c r="D135" s="76" t="str">
        <f t="shared" si="9"/>
        <v>A00N</v>
      </c>
      <c r="E135" s="76" t="s">
        <v>65</v>
      </c>
      <c r="F135" s="77" t="s">
        <v>906</v>
      </c>
      <c r="G135" s="78">
        <v>0.83543839587801794</v>
      </c>
      <c r="H135" s="79">
        <v>42139</v>
      </c>
      <c r="I135" s="79">
        <v>42139</v>
      </c>
      <c r="J135" s="3" t="str">
        <f t="shared" si="10"/>
        <v/>
      </c>
      <c r="K135" s="7">
        <v>4.0502227622396525E-4</v>
      </c>
      <c r="L135" s="7">
        <v>6.6613381477509392E-16</v>
      </c>
      <c r="M135" s="7">
        <v>6.7796610169423843E-4</v>
      </c>
      <c r="N135" s="7">
        <v>5.4274084124832367E-3</v>
      </c>
      <c r="O135" s="7">
        <v>7.4999999999989519E-3</v>
      </c>
      <c r="P135" s="7">
        <v>-9.9999999999965672E-3</v>
      </c>
      <c r="Q135" s="7">
        <v>-0.14000000000000346</v>
      </c>
      <c r="R135" s="7">
        <v>-0.98</v>
      </c>
      <c r="S135" s="7">
        <v>-0.99750000000000005</v>
      </c>
      <c r="T135" s="7">
        <v>-1</v>
      </c>
      <c r="U135" s="1">
        <v>3088</v>
      </c>
      <c r="W135" s="1">
        <v>954667</v>
      </c>
    </row>
    <row r="136" spans="1:23" x14ac:dyDescent="0.25">
      <c r="A136" s="76">
        <v>3</v>
      </c>
      <c r="B136" s="76" t="s">
        <v>54</v>
      </c>
      <c r="C136" s="76">
        <v>1999</v>
      </c>
      <c r="D136" s="76" t="str">
        <f t="shared" si="6"/>
        <v>A99S</v>
      </c>
      <c r="E136" s="76" t="s">
        <v>1296</v>
      </c>
      <c r="F136" s="77" t="s">
        <v>76</v>
      </c>
      <c r="G136" s="78">
        <v>0.75974515928419051</v>
      </c>
      <c r="H136" s="79"/>
      <c r="I136" s="79"/>
      <c r="J136" s="3" t="str">
        <f t="shared" si="10"/>
        <v/>
      </c>
      <c r="K136" s="7"/>
      <c r="L136" s="7"/>
      <c r="M136" s="7"/>
      <c r="N136" s="7"/>
      <c r="O136" s="7"/>
      <c r="P136" s="7"/>
      <c r="Q136" s="7"/>
      <c r="R136" s="7"/>
      <c r="S136" s="7"/>
      <c r="T136" s="7"/>
      <c r="U136" s="1">
        <v>3577</v>
      </c>
      <c r="W136" s="1">
        <v>3335161</v>
      </c>
    </row>
    <row r="137" spans="1:23" x14ac:dyDescent="0.25">
      <c r="A137" s="76">
        <v>3</v>
      </c>
      <c r="B137" s="76" t="s">
        <v>54</v>
      </c>
      <c r="C137" s="76">
        <v>1999</v>
      </c>
      <c r="D137" s="76" t="str">
        <f t="shared" si="6"/>
        <v>A99S</v>
      </c>
      <c r="E137" s="76" t="s">
        <v>1296</v>
      </c>
      <c r="F137" s="77" t="s">
        <v>77</v>
      </c>
      <c r="G137" s="78">
        <v>0.90183984765112957</v>
      </c>
      <c r="H137" s="79">
        <v>36544</v>
      </c>
      <c r="I137" s="79">
        <v>42187</v>
      </c>
      <c r="J137" s="3">
        <f t="shared" si="10"/>
        <v>15</v>
      </c>
      <c r="U137" s="1" t="s">
        <v>1116</v>
      </c>
      <c r="W137" s="1">
        <v>3335089</v>
      </c>
    </row>
    <row r="138" spans="1:23" x14ac:dyDescent="0.25">
      <c r="A138" s="76">
        <v>3</v>
      </c>
      <c r="B138" s="76" t="s">
        <v>54</v>
      </c>
      <c r="C138" s="76">
        <v>1999</v>
      </c>
      <c r="D138" s="76" t="str">
        <f t="shared" si="6"/>
        <v>A99S</v>
      </c>
      <c r="E138" s="76" t="s">
        <v>1296</v>
      </c>
      <c r="F138" s="77" t="s">
        <v>78</v>
      </c>
      <c r="G138" s="78">
        <v>0.9596605841858058</v>
      </c>
      <c r="H138" s="79">
        <v>36535</v>
      </c>
      <c r="I138" s="79">
        <v>42065</v>
      </c>
      <c r="J138" s="3">
        <f t="shared" si="10"/>
        <v>15</v>
      </c>
      <c r="U138" s="1" t="s">
        <v>1116</v>
      </c>
      <c r="W138" s="1">
        <v>2075271</v>
      </c>
    </row>
    <row r="139" spans="1:23" x14ac:dyDescent="0.25">
      <c r="A139" s="76">
        <v>3</v>
      </c>
      <c r="B139" s="76" t="s">
        <v>54</v>
      </c>
      <c r="C139" s="76">
        <v>1999</v>
      </c>
      <c r="D139" s="76" t="str">
        <f t="shared" si="6"/>
        <v>A99S</v>
      </c>
      <c r="E139" s="76" t="s">
        <v>1296</v>
      </c>
      <c r="F139" s="77" t="s">
        <v>79</v>
      </c>
      <c r="G139" s="78">
        <v>0.64951071444471664</v>
      </c>
      <c r="H139" s="79">
        <v>36567</v>
      </c>
      <c r="I139" s="79">
        <v>36577</v>
      </c>
      <c r="J139" s="3" t="str">
        <f t="shared" si="10"/>
        <v/>
      </c>
      <c r="U139" s="1" t="s">
        <v>1116</v>
      </c>
      <c r="W139" s="1">
        <v>2193851</v>
      </c>
    </row>
    <row r="140" spans="1:23" x14ac:dyDescent="0.25">
      <c r="A140" s="76">
        <v>3</v>
      </c>
      <c r="B140" s="76" t="s">
        <v>54</v>
      </c>
      <c r="C140" s="76">
        <v>1999</v>
      </c>
      <c r="D140" s="76" t="str">
        <f t="shared" si="6"/>
        <v>A99S</v>
      </c>
      <c r="E140" s="76" t="s">
        <v>1296</v>
      </c>
      <c r="F140" s="77" t="s">
        <v>80</v>
      </c>
      <c r="G140" s="78">
        <v>0.84120070077980214</v>
      </c>
      <c r="H140" s="79">
        <v>36549</v>
      </c>
      <c r="I140" s="79">
        <v>42066</v>
      </c>
      <c r="J140" s="3">
        <f t="shared" si="10"/>
        <v>15</v>
      </c>
      <c r="U140" s="1">
        <v>2581</v>
      </c>
      <c r="W140" s="1">
        <v>56472</v>
      </c>
    </row>
    <row r="141" spans="1:23" x14ac:dyDescent="0.25">
      <c r="A141" s="76">
        <v>3</v>
      </c>
      <c r="B141" s="76" t="s">
        <v>54</v>
      </c>
      <c r="C141" s="76">
        <v>1999</v>
      </c>
      <c r="D141" s="76" t="str">
        <f t="shared" si="6"/>
        <v>A99S</v>
      </c>
      <c r="E141" s="76" t="s">
        <v>1296</v>
      </c>
      <c r="F141" s="77" t="s">
        <v>81</v>
      </c>
      <c r="G141" s="78">
        <v>0.93543085904392109</v>
      </c>
      <c r="H141" s="79">
        <v>37580</v>
      </c>
      <c r="I141" s="79">
        <v>42018</v>
      </c>
      <c r="J141" s="3">
        <f t="shared" si="10"/>
        <v>13</v>
      </c>
      <c r="U141" s="1">
        <v>1258</v>
      </c>
      <c r="W141" s="1">
        <v>3338762</v>
      </c>
    </row>
    <row r="142" spans="1:23" x14ac:dyDescent="0.25">
      <c r="A142" s="76">
        <v>3</v>
      </c>
      <c r="B142" s="76" t="s">
        <v>54</v>
      </c>
      <c r="C142" s="76">
        <v>1999</v>
      </c>
      <c r="D142" s="76" t="str">
        <f t="shared" si="6"/>
        <v>A99S</v>
      </c>
      <c r="E142" s="76" t="s">
        <v>1296</v>
      </c>
      <c r="F142" s="77" t="s">
        <v>82</v>
      </c>
      <c r="G142" s="78">
        <v>0.11356593186523012</v>
      </c>
      <c r="H142" s="79">
        <v>37526</v>
      </c>
      <c r="I142" s="79">
        <v>37706</v>
      </c>
      <c r="J142" s="3">
        <f t="shared" si="10"/>
        <v>1</v>
      </c>
      <c r="U142" s="1">
        <v>2183</v>
      </c>
      <c r="W142" s="1">
        <v>268054</v>
      </c>
    </row>
    <row r="143" spans="1:23" x14ac:dyDescent="0.25">
      <c r="A143" s="76">
        <v>3</v>
      </c>
      <c r="B143" s="76" t="s">
        <v>54</v>
      </c>
      <c r="C143" s="76">
        <v>1999</v>
      </c>
      <c r="D143" s="76" t="str">
        <f t="shared" si="6"/>
        <v>A99S</v>
      </c>
      <c r="E143" s="76" t="s">
        <v>1296</v>
      </c>
      <c r="F143" s="77" t="s">
        <v>83</v>
      </c>
      <c r="G143" s="78">
        <v>0.92039933704824994</v>
      </c>
      <c r="H143" s="79">
        <v>37578</v>
      </c>
      <c r="I143" s="79">
        <v>39122</v>
      </c>
      <c r="J143" s="3">
        <f t="shared" si="10"/>
        <v>5</v>
      </c>
      <c r="U143" s="1" t="s">
        <v>1116</v>
      </c>
      <c r="W143" s="1">
        <v>2246971</v>
      </c>
    </row>
    <row r="144" spans="1:23" x14ac:dyDescent="0.25">
      <c r="A144" s="76">
        <v>3</v>
      </c>
      <c r="B144" s="76" t="s">
        <v>54</v>
      </c>
      <c r="C144" s="76">
        <v>1999</v>
      </c>
      <c r="D144" s="76" t="str">
        <f t="shared" si="6"/>
        <v>A99S</v>
      </c>
      <c r="E144" s="76" t="s">
        <v>1296</v>
      </c>
      <c r="F144" s="77" t="s">
        <v>84</v>
      </c>
      <c r="G144" s="78">
        <v>0.70238859971589829</v>
      </c>
      <c r="H144" s="79">
        <v>36224</v>
      </c>
      <c r="I144" s="79">
        <v>36571</v>
      </c>
      <c r="J144" s="3">
        <f t="shared" si="10"/>
        <v>1</v>
      </c>
      <c r="U144" s="1">
        <v>120</v>
      </c>
      <c r="W144" s="1">
        <v>2177821</v>
      </c>
    </row>
    <row r="145" spans="1:23" x14ac:dyDescent="0.25">
      <c r="A145" s="76">
        <v>3</v>
      </c>
      <c r="B145" s="76" t="s">
        <v>54</v>
      </c>
      <c r="C145" s="76">
        <v>1999</v>
      </c>
      <c r="D145" s="76" t="str">
        <f t="shared" si="6"/>
        <v>A99S</v>
      </c>
      <c r="E145" s="76" t="s">
        <v>1296</v>
      </c>
      <c r="F145" s="77" t="s">
        <v>85</v>
      </c>
      <c r="G145" s="78">
        <v>0.83835255495471539</v>
      </c>
      <c r="H145" s="79">
        <v>36956</v>
      </c>
      <c r="I145" s="79">
        <v>37174</v>
      </c>
      <c r="J145" s="3" t="str">
        <f t="shared" si="10"/>
        <v/>
      </c>
      <c r="U145" s="1" t="s">
        <v>1116</v>
      </c>
      <c r="W145" s="1">
        <v>3338754</v>
      </c>
    </row>
    <row r="146" spans="1:23" x14ac:dyDescent="0.25">
      <c r="A146" s="76">
        <v>3</v>
      </c>
      <c r="B146" s="76" t="s">
        <v>54</v>
      </c>
      <c r="C146" s="76">
        <v>1999</v>
      </c>
      <c r="D146" s="76" t="str">
        <f t="shared" ref="D146:D153" si="11">LEFT(F146,4)</f>
        <v>A99S</v>
      </c>
      <c r="E146" s="76" t="s">
        <v>1296</v>
      </c>
      <c r="F146" s="77" t="s">
        <v>419</v>
      </c>
      <c r="G146" s="78">
        <v>0.78771718287366965</v>
      </c>
      <c r="H146" s="79">
        <v>37651</v>
      </c>
      <c r="I146" s="79">
        <v>42277</v>
      </c>
      <c r="J146" s="3">
        <f t="shared" si="10"/>
        <v>12</v>
      </c>
      <c r="K146" s="7">
        <v>8.8928412627797826E-4</v>
      </c>
      <c r="L146" s="7">
        <v>8.0213903743315829E-3</v>
      </c>
      <c r="M146" s="7">
        <v>1.7889087656530744E-3</v>
      </c>
      <c r="N146" s="7">
        <v>0</v>
      </c>
      <c r="O146" s="7">
        <v>-1.6666666666671492E-3</v>
      </c>
      <c r="P146" s="7">
        <v>-3.6666666666667402E-2</v>
      </c>
      <c r="Q146" s="7">
        <v>-0.28666666666666551</v>
      </c>
      <c r="R146" s="7">
        <v>-0.9916666666666667</v>
      </c>
      <c r="S146" s="7">
        <v>-0.9916666666666667</v>
      </c>
      <c r="T146" s="7">
        <v>-1</v>
      </c>
      <c r="U146" s="1">
        <v>1625</v>
      </c>
      <c r="W146" s="1">
        <v>3775437</v>
      </c>
    </row>
    <row r="147" spans="1:23" x14ac:dyDescent="0.25">
      <c r="A147" s="76">
        <v>3</v>
      </c>
      <c r="B147" s="76" t="s">
        <v>54</v>
      </c>
      <c r="C147" s="76">
        <v>1999</v>
      </c>
      <c r="D147" s="76" t="str">
        <f t="shared" si="11"/>
        <v>A99S</v>
      </c>
      <c r="E147" s="76" t="s">
        <v>1296</v>
      </c>
      <c r="F147" s="77" t="s">
        <v>420</v>
      </c>
      <c r="G147" s="78">
        <v>0.83759622935022127</v>
      </c>
      <c r="H147" s="79">
        <v>37651</v>
      </c>
      <c r="I147" s="79">
        <v>42277</v>
      </c>
      <c r="J147" s="3">
        <f t="shared" si="10"/>
        <v>12</v>
      </c>
      <c r="K147" s="7">
        <v>2.2232103156958782E-2</v>
      </c>
      <c r="L147" s="7">
        <v>1.7825311942959221E-2</v>
      </c>
      <c r="M147" s="7">
        <v>1.8336314847942292E-2</v>
      </c>
      <c r="N147" s="7">
        <v>1.6666666666666607E-2</v>
      </c>
      <c r="O147" s="7">
        <v>-3.3333333333323001E-3</v>
      </c>
      <c r="P147" s="7">
        <v>-1.0000000000000342E-2</v>
      </c>
      <c r="Q147" s="7">
        <v>-5.333333333333401E-2</v>
      </c>
      <c r="R147" s="7">
        <v>-0.65833333333333333</v>
      </c>
      <c r="S147" s="7">
        <v>-0.9916666666666667</v>
      </c>
      <c r="T147" s="7">
        <v>-1</v>
      </c>
      <c r="U147" s="1">
        <v>1779</v>
      </c>
      <c r="W147" s="1">
        <v>3774821</v>
      </c>
    </row>
    <row r="148" spans="1:23" x14ac:dyDescent="0.25">
      <c r="A148" s="76">
        <v>3</v>
      </c>
      <c r="B148" s="76" t="s">
        <v>54</v>
      </c>
      <c r="C148" s="76">
        <v>1999</v>
      </c>
      <c r="D148" s="76" t="str">
        <f t="shared" si="11"/>
        <v>A99S</v>
      </c>
      <c r="E148" s="76" t="s">
        <v>1296</v>
      </c>
      <c r="F148" s="77" t="s">
        <v>421</v>
      </c>
      <c r="G148" s="78">
        <v>0.78015343284098493</v>
      </c>
      <c r="H148" s="79">
        <v>37651</v>
      </c>
      <c r="I148" s="79">
        <v>42277</v>
      </c>
      <c r="J148" s="3">
        <f t="shared" si="10"/>
        <v>12</v>
      </c>
      <c r="K148" s="7">
        <v>-6.2249888839484013E-3</v>
      </c>
      <c r="L148" s="7">
        <v>-9.3582887700537354E-3</v>
      </c>
      <c r="M148" s="7">
        <v>-7.1556350626119647E-3</v>
      </c>
      <c r="N148" s="7">
        <v>-6.6666666666643781E-3</v>
      </c>
      <c r="O148" s="7">
        <v>-5.0000000000031131E-3</v>
      </c>
      <c r="P148" s="7">
        <v>-6.8333333333331026E-2</v>
      </c>
      <c r="Q148" s="7">
        <v>-0.2400000000000001</v>
      </c>
      <c r="R148" s="7">
        <v>-0.99333333333333329</v>
      </c>
      <c r="S148" s="7">
        <v>-0.99333333333333329</v>
      </c>
      <c r="T148" s="7">
        <v>-1</v>
      </c>
      <c r="U148" s="1">
        <v>1779</v>
      </c>
      <c r="W148" s="1">
        <v>3775445</v>
      </c>
    </row>
    <row r="149" spans="1:23" x14ac:dyDescent="0.25">
      <c r="A149" s="76">
        <v>3</v>
      </c>
      <c r="B149" s="76" t="s">
        <v>54</v>
      </c>
      <c r="C149" s="76">
        <v>1999</v>
      </c>
      <c r="D149" s="76" t="str">
        <f t="shared" si="11"/>
        <v>A99S</v>
      </c>
      <c r="E149" s="76" t="s">
        <v>1296</v>
      </c>
      <c r="F149" s="77" t="s">
        <v>422</v>
      </c>
      <c r="G149" s="78">
        <v>0.77431604082442884</v>
      </c>
      <c r="H149" s="79">
        <v>37648</v>
      </c>
      <c r="I149" s="79">
        <v>42278</v>
      </c>
      <c r="J149" s="3">
        <f t="shared" si="10"/>
        <v>12</v>
      </c>
      <c r="K149" s="7">
        <v>-2.0898176967541482E-2</v>
      </c>
      <c r="L149" s="7">
        <v>-2.4064171122994638E-2</v>
      </c>
      <c r="M149" s="7">
        <v>-2.5044722719141377E-2</v>
      </c>
      <c r="N149" s="7">
        <v>-4.3333333333331781E-2</v>
      </c>
      <c r="O149" s="7">
        <v>-6.6666666666682639E-3</v>
      </c>
      <c r="P149" s="7">
        <v>-7.6666666666665106E-2</v>
      </c>
      <c r="Q149" s="7">
        <v>-0.19500000000000084</v>
      </c>
      <c r="R149" s="7">
        <v>-0.99000000000000155</v>
      </c>
      <c r="S149" s="7">
        <v>-0.994999999999997</v>
      </c>
      <c r="T149" s="7">
        <v>-1</v>
      </c>
      <c r="U149" s="1">
        <v>3303</v>
      </c>
      <c r="W149" s="1">
        <v>3833429</v>
      </c>
    </row>
    <row r="150" spans="1:23" x14ac:dyDescent="0.25">
      <c r="A150" s="76">
        <v>3</v>
      </c>
      <c r="B150" s="76" t="s">
        <v>54</v>
      </c>
      <c r="C150" s="76">
        <v>1999</v>
      </c>
      <c r="D150" s="76" t="str">
        <f t="shared" si="11"/>
        <v>A99S</v>
      </c>
      <c r="E150" s="76" t="s">
        <v>1296</v>
      </c>
      <c r="F150" s="77" t="s">
        <v>423</v>
      </c>
      <c r="G150" s="78">
        <v>0.78366031504245881</v>
      </c>
      <c r="H150" s="79">
        <v>37819</v>
      </c>
      <c r="I150" s="79">
        <v>42277</v>
      </c>
      <c r="J150" s="3">
        <f t="shared" si="10"/>
        <v>12</v>
      </c>
      <c r="K150" s="7">
        <v>-2.2676745220097883E-2</v>
      </c>
      <c r="L150" s="7">
        <v>-1.6488413547236846E-2</v>
      </c>
      <c r="M150" s="7">
        <v>-3.5778175313060379E-3</v>
      </c>
      <c r="N150" s="7">
        <v>4.9999999999992273E-3</v>
      </c>
      <c r="O150" s="7">
        <v>1.6666666666671492E-3</v>
      </c>
      <c r="P150" s="7">
        <v>-2.1666666666665946E-2</v>
      </c>
      <c r="Q150" s="7">
        <v>-0.375</v>
      </c>
      <c r="R150" s="7">
        <v>-0.99333333333333373</v>
      </c>
      <c r="S150" s="7">
        <v>-0.99333333333333373</v>
      </c>
      <c r="T150" s="7">
        <v>-1</v>
      </c>
      <c r="U150" s="1">
        <v>1540</v>
      </c>
      <c r="W150" s="1">
        <v>3774805</v>
      </c>
    </row>
    <row r="151" spans="1:23" x14ac:dyDescent="0.25">
      <c r="A151" s="76">
        <v>3</v>
      </c>
      <c r="B151" s="76" t="s">
        <v>54</v>
      </c>
      <c r="C151" s="76">
        <v>1999</v>
      </c>
      <c r="D151" s="76" t="str">
        <f t="shared" si="11"/>
        <v>A99S</v>
      </c>
      <c r="E151" s="76" t="s">
        <v>1296</v>
      </c>
      <c r="F151" s="77" t="s">
        <v>424</v>
      </c>
      <c r="G151" s="78">
        <v>0.82103077461503382</v>
      </c>
      <c r="H151" s="79">
        <v>37651</v>
      </c>
      <c r="I151" s="79">
        <v>42277</v>
      </c>
      <c r="J151" s="3">
        <f t="shared" si="10"/>
        <v>12</v>
      </c>
      <c r="K151" s="7">
        <v>6.2249888839482903E-3</v>
      </c>
      <c r="L151" s="7">
        <v>-4.9019607843138191E-3</v>
      </c>
      <c r="M151" s="7">
        <v>5.8139534883723254E-3</v>
      </c>
      <c r="N151" s="7">
        <v>1.6666666666664831E-3</v>
      </c>
      <c r="O151" s="7">
        <v>-1.6666666666665941E-3</v>
      </c>
      <c r="P151" s="7">
        <v>-3.3333333333331883E-3</v>
      </c>
      <c r="Q151" s="7">
        <v>-6.0000000000000275E-2</v>
      </c>
      <c r="R151" s="7">
        <v>-0.85833333333333339</v>
      </c>
      <c r="S151" s="7">
        <v>-0.9916666666666667</v>
      </c>
      <c r="T151" s="7">
        <v>-1</v>
      </c>
      <c r="U151" s="1">
        <v>1699</v>
      </c>
      <c r="W151" s="1">
        <v>3774864</v>
      </c>
    </row>
    <row r="152" spans="1:23" x14ac:dyDescent="0.25">
      <c r="A152" s="76">
        <v>3</v>
      </c>
      <c r="B152" s="76" t="s">
        <v>54</v>
      </c>
      <c r="C152" s="76">
        <v>1999</v>
      </c>
      <c r="D152" s="76" t="str">
        <f t="shared" si="11"/>
        <v>A99S</v>
      </c>
      <c r="E152" s="76" t="s">
        <v>1296</v>
      </c>
      <c r="F152" s="77" t="s">
        <v>425</v>
      </c>
      <c r="G152" s="78">
        <v>0.85133075749284914</v>
      </c>
      <c r="H152" s="79">
        <v>38147</v>
      </c>
      <c r="I152" s="79">
        <v>42277</v>
      </c>
      <c r="J152" s="3">
        <f t="shared" si="10"/>
        <v>11</v>
      </c>
      <c r="K152" s="7">
        <v>2.667852378835045E-3</v>
      </c>
      <c r="L152" s="7">
        <v>4.4563279857401383E-4</v>
      </c>
      <c r="M152" s="7">
        <v>3.5778175313050387E-3</v>
      </c>
      <c r="N152" s="7">
        <v>3.3333333333340764E-3</v>
      </c>
      <c r="O152" s="7">
        <v>1.6666666666689256E-3</v>
      </c>
      <c r="P152" s="7">
        <v>-2.1666666666668943E-2</v>
      </c>
      <c r="Q152" s="7">
        <v>-8.333333333333337E-2</v>
      </c>
      <c r="R152" s="7">
        <v>-0.34499999999999986</v>
      </c>
      <c r="S152" s="7">
        <v>-0.9900000000000001</v>
      </c>
      <c r="T152" s="7">
        <v>-1</v>
      </c>
      <c r="U152" s="1">
        <v>913</v>
      </c>
      <c r="W152" s="1">
        <v>3775356</v>
      </c>
    </row>
    <row r="153" spans="1:23" x14ac:dyDescent="0.25">
      <c r="A153" s="76">
        <v>3</v>
      </c>
      <c r="B153" s="76" t="s">
        <v>54</v>
      </c>
      <c r="C153" s="76">
        <v>1999</v>
      </c>
      <c r="D153" s="76" t="str">
        <f t="shared" si="11"/>
        <v>A99S</v>
      </c>
      <c r="E153" s="76" t="s">
        <v>1296</v>
      </c>
      <c r="F153" s="77" t="s">
        <v>426</v>
      </c>
      <c r="G153" s="78">
        <v>0.78370070547897153</v>
      </c>
      <c r="H153" s="79">
        <v>37769</v>
      </c>
      <c r="I153" s="79">
        <v>42278</v>
      </c>
      <c r="J153" s="3">
        <f t="shared" si="10"/>
        <v>12</v>
      </c>
      <c r="K153" s="7">
        <v>-4.4464206313924448E-3</v>
      </c>
      <c r="L153" s="7">
        <v>-1.4705882352940569E-2</v>
      </c>
      <c r="M153" s="7">
        <v>-6.2611806797855385E-3</v>
      </c>
      <c r="N153" s="7">
        <v>-1.1666666666666936E-2</v>
      </c>
      <c r="O153" s="7">
        <v>-6.6666666666662655E-3</v>
      </c>
      <c r="P153" s="7">
        <v>-6.833333333333369E-2</v>
      </c>
      <c r="Q153" s="7">
        <v>-0.1733333333333329</v>
      </c>
      <c r="R153" s="7">
        <v>-0.99333333333333373</v>
      </c>
      <c r="S153" s="7">
        <v>-0.99499999999999977</v>
      </c>
      <c r="T153" s="7">
        <v>-1</v>
      </c>
      <c r="U153" s="1">
        <v>2444</v>
      </c>
      <c r="W153" s="1">
        <v>3833437</v>
      </c>
    </row>
    <row r="154" spans="1:23" x14ac:dyDescent="0.25">
      <c r="A154" s="76">
        <v>3</v>
      </c>
      <c r="B154" s="76" t="s">
        <v>54</v>
      </c>
      <c r="C154" s="76">
        <v>2005</v>
      </c>
      <c r="D154" s="76" t="str">
        <f t="shared" si="6"/>
        <v>A05S</v>
      </c>
      <c r="E154" s="76" t="s">
        <v>96</v>
      </c>
      <c r="F154" s="77" t="s">
        <v>86</v>
      </c>
      <c r="G154" s="78">
        <v>0.91876026807622235</v>
      </c>
      <c r="H154" s="79">
        <v>36538</v>
      </c>
      <c r="I154" s="79">
        <v>42027</v>
      </c>
      <c r="J154" s="3">
        <f t="shared" si="10"/>
        <v>15</v>
      </c>
      <c r="U154" s="1" t="s">
        <v>1116</v>
      </c>
      <c r="W154" s="1">
        <v>1360418</v>
      </c>
    </row>
    <row r="155" spans="1:23" x14ac:dyDescent="0.25">
      <c r="A155" s="76">
        <v>3</v>
      </c>
      <c r="B155" s="76" t="s">
        <v>54</v>
      </c>
      <c r="C155" s="76">
        <v>2005</v>
      </c>
      <c r="D155" s="76" t="str">
        <f t="shared" si="6"/>
        <v>A05S</v>
      </c>
      <c r="E155" s="76" t="s">
        <v>96</v>
      </c>
      <c r="F155" s="77" t="s">
        <v>87</v>
      </c>
      <c r="G155" s="78">
        <v>0.84518498742264891</v>
      </c>
      <c r="H155" s="79">
        <v>38803</v>
      </c>
      <c r="I155" s="79">
        <v>42062</v>
      </c>
      <c r="J155" s="3">
        <f t="shared" si="10"/>
        <v>9</v>
      </c>
      <c r="U155" s="1" t="s">
        <v>1116</v>
      </c>
      <c r="W155" s="1">
        <v>4484495</v>
      </c>
    </row>
    <row r="156" spans="1:23" x14ac:dyDescent="0.25">
      <c r="A156" s="76">
        <v>3</v>
      </c>
      <c r="B156" s="76" t="s">
        <v>54</v>
      </c>
      <c r="C156" s="76">
        <v>2005</v>
      </c>
      <c r="D156" s="76" t="str">
        <f t="shared" si="6"/>
        <v>A05S</v>
      </c>
      <c r="E156" s="76" t="s">
        <v>96</v>
      </c>
      <c r="F156" s="77" t="s">
        <v>88</v>
      </c>
      <c r="G156" s="78">
        <v>0.89038142650407348</v>
      </c>
      <c r="H156" s="79">
        <v>38540</v>
      </c>
      <c r="I156" s="79">
        <v>42047</v>
      </c>
      <c r="J156" s="3">
        <f t="shared" si="10"/>
        <v>10</v>
      </c>
      <c r="U156" s="1" t="s">
        <v>1116</v>
      </c>
      <c r="W156" s="1">
        <v>2051729</v>
      </c>
    </row>
    <row r="157" spans="1:23" x14ac:dyDescent="0.25">
      <c r="A157" s="76">
        <v>3</v>
      </c>
      <c r="B157" s="76" t="s">
        <v>54</v>
      </c>
      <c r="C157" s="76">
        <v>2005</v>
      </c>
      <c r="D157" s="76" t="str">
        <f t="shared" si="6"/>
        <v>A05S</v>
      </c>
      <c r="E157" s="76" t="s">
        <v>96</v>
      </c>
      <c r="F157" s="77" t="s">
        <v>89</v>
      </c>
      <c r="G157" s="78">
        <v>0.85908518958000279</v>
      </c>
      <c r="H157" s="79">
        <v>38553</v>
      </c>
      <c r="I157" s="79">
        <v>42060</v>
      </c>
      <c r="J157" s="3">
        <f t="shared" si="10"/>
        <v>10</v>
      </c>
      <c r="U157" s="1" t="s">
        <v>1116</v>
      </c>
      <c r="W157" s="1">
        <v>2024721</v>
      </c>
    </row>
    <row r="158" spans="1:23" x14ac:dyDescent="0.25">
      <c r="A158" s="76">
        <v>3</v>
      </c>
      <c r="B158" s="76" t="s">
        <v>54</v>
      </c>
      <c r="C158" s="76">
        <v>2005</v>
      </c>
      <c r="D158" s="76" t="str">
        <f t="shared" si="6"/>
        <v>A05S</v>
      </c>
      <c r="E158" s="76" t="s">
        <v>96</v>
      </c>
      <c r="F158" s="77" t="s">
        <v>90</v>
      </c>
      <c r="G158" s="78">
        <v>0.91953076386057353</v>
      </c>
      <c r="H158" s="79">
        <v>38496</v>
      </c>
      <c r="I158" s="79">
        <v>42059</v>
      </c>
      <c r="J158" s="3">
        <f t="shared" si="10"/>
        <v>10</v>
      </c>
      <c r="U158" s="1" t="s">
        <v>1116</v>
      </c>
      <c r="W158" s="1">
        <v>4500059</v>
      </c>
    </row>
    <row r="159" spans="1:23" x14ac:dyDescent="0.25">
      <c r="A159" s="76">
        <v>3</v>
      </c>
      <c r="B159" s="76" t="s">
        <v>54</v>
      </c>
      <c r="C159" s="76">
        <v>2005</v>
      </c>
      <c r="D159" s="76" t="str">
        <f t="shared" si="6"/>
        <v>A05S</v>
      </c>
      <c r="E159" s="76" t="s">
        <v>96</v>
      </c>
      <c r="F159" s="77" t="s">
        <v>91</v>
      </c>
      <c r="G159" s="78">
        <v>0.90902178326089689</v>
      </c>
      <c r="H159" s="79">
        <v>38684</v>
      </c>
      <c r="I159" s="79">
        <v>39383</v>
      </c>
      <c r="J159" s="3">
        <f t="shared" si="10"/>
        <v>2</v>
      </c>
      <c r="U159" s="1" t="s">
        <v>1116</v>
      </c>
      <c r="W159" s="1">
        <v>2841967</v>
      </c>
    </row>
    <row r="160" spans="1:23" x14ac:dyDescent="0.25">
      <c r="A160" s="76">
        <v>3</v>
      </c>
      <c r="B160" s="76" t="s">
        <v>54</v>
      </c>
      <c r="C160" s="76">
        <v>2005</v>
      </c>
      <c r="D160" s="76" t="str">
        <f t="shared" si="6"/>
        <v>A05S</v>
      </c>
      <c r="E160" s="76" t="s">
        <v>96</v>
      </c>
      <c r="F160" s="77" t="s">
        <v>92</v>
      </c>
      <c r="G160" s="78">
        <v>0.92204032078121856</v>
      </c>
      <c r="H160" s="79">
        <v>38433</v>
      </c>
      <c r="I160" s="79">
        <v>42072</v>
      </c>
      <c r="J160" s="3">
        <f t="shared" si="10"/>
        <v>10</v>
      </c>
      <c r="U160" s="1" t="s">
        <v>1116</v>
      </c>
      <c r="W160" s="1">
        <v>2079232</v>
      </c>
    </row>
    <row r="161" spans="1:23" x14ac:dyDescent="0.25">
      <c r="A161" s="76">
        <v>3</v>
      </c>
      <c r="B161" s="76" t="s">
        <v>54</v>
      </c>
      <c r="C161" s="76">
        <v>2005</v>
      </c>
      <c r="D161" s="76" t="str">
        <f t="shared" si="6"/>
        <v>A05S</v>
      </c>
      <c r="E161" s="76" t="s">
        <v>96</v>
      </c>
      <c r="F161" s="77" t="s">
        <v>93</v>
      </c>
      <c r="G161" s="78">
        <v>0.8670859464977545</v>
      </c>
      <c r="H161" s="79">
        <v>38475</v>
      </c>
      <c r="I161" s="79">
        <v>42059</v>
      </c>
      <c r="J161" s="3">
        <f t="shared" si="10"/>
        <v>10</v>
      </c>
      <c r="U161" s="1" t="s">
        <v>1116</v>
      </c>
      <c r="W161" s="1">
        <v>1585061</v>
      </c>
    </row>
    <row r="162" spans="1:23" x14ac:dyDescent="0.25">
      <c r="A162" s="76">
        <v>3</v>
      </c>
      <c r="B162" s="76" t="s">
        <v>54</v>
      </c>
      <c r="C162" s="76">
        <v>2005</v>
      </c>
      <c r="D162" s="76" t="str">
        <f t="shared" si="6"/>
        <v>A05S</v>
      </c>
      <c r="E162" s="76" t="s">
        <v>96</v>
      </c>
      <c r="F162" s="77" t="s">
        <v>94</v>
      </c>
      <c r="G162" s="78">
        <v>0.88773944118355874</v>
      </c>
      <c r="H162" s="79">
        <v>38526</v>
      </c>
      <c r="I162" s="79">
        <v>39758</v>
      </c>
      <c r="J162" s="3">
        <f t="shared" si="10"/>
        <v>3</v>
      </c>
      <c r="U162" s="1" t="s">
        <v>1116</v>
      </c>
      <c r="W162" s="1">
        <v>4525868</v>
      </c>
    </row>
    <row r="163" spans="1:23" x14ac:dyDescent="0.25">
      <c r="A163" s="76">
        <v>3</v>
      </c>
      <c r="B163" s="76" t="s">
        <v>54</v>
      </c>
      <c r="C163" s="76">
        <v>2005</v>
      </c>
      <c r="D163" s="76" t="str">
        <f t="shared" si="6"/>
        <v>A05S</v>
      </c>
      <c r="E163" s="76" t="s">
        <v>96</v>
      </c>
      <c r="F163" s="77" t="s">
        <v>95</v>
      </c>
      <c r="G163" s="78">
        <v>0.9955633428078734</v>
      </c>
      <c r="H163" s="79">
        <v>38520</v>
      </c>
      <c r="I163" s="79">
        <v>42060</v>
      </c>
      <c r="J163" s="3">
        <f t="shared" si="10"/>
        <v>10</v>
      </c>
      <c r="U163" s="1" t="s">
        <v>1116</v>
      </c>
      <c r="W163" s="1">
        <v>3489825</v>
      </c>
    </row>
    <row r="164" spans="1:23" x14ac:dyDescent="0.25">
      <c r="A164" s="76">
        <v>3</v>
      </c>
      <c r="B164" s="76" t="s">
        <v>54</v>
      </c>
      <c r="C164" s="76">
        <v>2005</v>
      </c>
      <c r="D164" s="76" t="str">
        <f t="shared" si="6"/>
        <v>A05S</v>
      </c>
      <c r="E164" s="76" t="s">
        <v>96</v>
      </c>
      <c r="F164" s="77" t="s">
        <v>325</v>
      </c>
      <c r="G164" s="78">
        <v>0.8808480065857538</v>
      </c>
      <c r="H164" s="79">
        <v>38433</v>
      </c>
      <c r="I164" s="79">
        <v>42062</v>
      </c>
      <c r="J164" s="3">
        <f t="shared" si="10"/>
        <v>10</v>
      </c>
      <c r="U164" s="1">
        <v>805</v>
      </c>
      <c r="W164" s="1">
        <v>2399504</v>
      </c>
    </row>
    <row r="165" spans="1:23" x14ac:dyDescent="0.25">
      <c r="A165" s="76">
        <v>3</v>
      </c>
      <c r="B165" s="76" t="s">
        <v>54</v>
      </c>
      <c r="C165" s="76">
        <v>2005</v>
      </c>
      <c r="D165" s="76" t="str">
        <f t="shared" si="6"/>
        <v>A05S</v>
      </c>
      <c r="E165" s="76" t="s">
        <v>96</v>
      </c>
      <c r="F165" s="77" t="s">
        <v>326</v>
      </c>
      <c r="G165" s="78">
        <v>0.78568465132673504</v>
      </c>
      <c r="H165" s="79">
        <v>38394</v>
      </c>
      <c r="I165" s="79">
        <v>41624</v>
      </c>
      <c r="J165" s="3">
        <f t="shared" si="10"/>
        <v>8</v>
      </c>
      <c r="U165" s="1">
        <v>3445</v>
      </c>
      <c r="W165" s="1">
        <v>2396416</v>
      </c>
    </row>
    <row r="166" spans="1:23" x14ac:dyDescent="0.25">
      <c r="A166" s="76">
        <v>3</v>
      </c>
      <c r="B166" s="76" t="s">
        <v>54</v>
      </c>
      <c r="C166" s="76">
        <v>2005</v>
      </c>
      <c r="D166" s="76" t="str">
        <f t="shared" si="6"/>
        <v>A05S</v>
      </c>
      <c r="E166" s="76" t="s">
        <v>96</v>
      </c>
      <c r="F166" s="77" t="s">
        <v>327</v>
      </c>
      <c r="G166" s="78">
        <v>0.90072544435573554</v>
      </c>
      <c r="H166" s="79">
        <v>38393</v>
      </c>
      <c r="I166" s="79">
        <v>41624</v>
      </c>
      <c r="J166" s="3">
        <f t="shared" si="10"/>
        <v>8</v>
      </c>
      <c r="U166" s="1">
        <v>1071</v>
      </c>
      <c r="W166" s="1">
        <v>2394677</v>
      </c>
    </row>
    <row r="167" spans="1:23" x14ac:dyDescent="0.25">
      <c r="A167" s="76">
        <v>3</v>
      </c>
      <c r="B167" s="76" t="s">
        <v>54</v>
      </c>
      <c r="C167" s="76">
        <v>2005</v>
      </c>
      <c r="D167" s="76" t="str">
        <f t="shared" si="6"/>
        <v>A05S</v>
      </c>
      <c r="E167" s="76" t="s">
        <v>96</v>
      </c>
      <c r="F167" s="77" t="s">
        <v>328</v>
      </c>
      <c r="G167" s="78">
        <v>0.90952424700511125</v>
      </c>
      <c r="H167" s="79">
        <v>38387</v>
      </c>
      <c r="I167" s="79">
        <v>41625</v>
      </c>
      <c r="J167" s="3">
        <f t="shared" si="10"/>
        <v>8</v>
      </c>
      <c r="U167" s="1">
        <v>1316</v>
      </c>
      <c r="W167" s="1">
        <v>4217896</v>
      </c>
    </row>
    <row r="168" spans="1:23" x14ac:dyDescent="0.25">
      <c r="A168" s="76">
        <v>3</v>
      </c>
      <c r="B168" s="76" t="s">
        <v>54</v>
      </c>
      <c r="C168" s="76">
        <v>2005</v>
      </c>
      <c r="D168" s="76" t="str">
        <f t="shared" si="6"/>
        <v>A05S</v>
      </c>
      <c r="E168" s="76" t="s">
        <v>96</v>
      </c>
      <c r="F168" s="77" t="s">
        <v>329</v>
      </c>
      <c r="G168" s="78">
        <v>0.84241575724670603</v>
      </c>
      <c r="H168" s="79">
        <v>38468</v>
      </c>
      <c r="I168" s="79">
        <v>41606</v>
      </c>
      <c r="J168" s="3">
        <f t="shared" si="10"/>
        <v>8</v>
      </c>
      <c r="U168" s="1">
        <v>2242</v>
      </c>
      <c r="W168" s="1">
        <v>4552661</v>
      </c>
    </row>
    <row r="169" spans="1:23" x14ac:dyDescent="0.25">
      <c r="A169" s="76">
        <v>3</v>
      </c>
      <c r="B169" s="76" t="s">
        <v>54</v>
      </c>
      <c r="C169" s="76">
        <v>2005</v>
      </c>
      <c r="D169" s="76" t="str">
        <f t="shared" si="6"/>
        <v>A05S</v>
      </c>
      <c r="E169" s="76" t="s">
        <v>96</v>
      </c>
      <c r="F169" s="77" t="s">
        <v>330</v>
      </c>
      <c r="G169" s="78">
        <v>0.88881146303000491</v>
      </c>
      <c r="H169" s="79">
        <v>38565</v>
      </c>
      <c r="I169" s="79">
        <v>41606</v>
      </c>
      <c r="J169" s="3">
        <f t="shared" si="10"/>
        <v>8</v>
      </c>
      <c r="U169" s="1">
        <v>1574</v>
      </c>
      <c r="W169" s="1">
        <v>2389941</v>
      </c>
    </row>
    <row r="170" spans="1:23" x14ac:dyDescent="0.25">
      <c r="A170" s="76">
        <v>3</v>
      </c>
      <c r="B170" s="76" t="s">
        <v>54</v>
      </c>
      <c r="C170" s="76">
        <v>2005</v>
      </c>
      <c r="D170" s="76" t="str">
        <f t="shared" si="6"/>
        <v>A05S</v>
      </c>
      <c r="E170" s="76" t="s">
        <v>96</v>
      </c>
      <c r="F170" s="77" t="s">
        <v>331</v>
      </c>
      <c r="G170" s="78">
        <v>0.79552812260285199</v>
      </c>
      <c r="H170" s="79">
        <v>38384</v>
      </c>
      <c r="I170" s="79">
        <v>41624</v>
      </c>
      <c r="J170" s="3">
        <f t="shared" si="10"/>
        <v>8</v>
      </c>
      <c r="U170" s="1">
        <v>1850</v>
      </c>
      <c r="W170" s="1">
        <v>2422141</v>
      </c>
    </row>
    <row r="171" spans="1:23" x14ac:dyDescent="0.25">
      <c r="A171" s="76">
        <v>3</v>
      </c>
      <c r="B171" s="76" t="s">
        <v>54</v>
      </c>
      <c r="C171" s="76">
        <v>2005</v>
      </c>
      <c r="D171" s="76" t="str">
        <f t="shared" si="6"/>
        <v>A05S</v>
      </c>
      <c r="E171" s="76" t="s">
        <v>96</v>
      </c>
      <c r="F171" s="77" t="s">
        <v>332</v>
      </c>
      <c r="G171" s="78">
        <v>0.94857228598256127</v>
      </c>
      <c r="H171" s="79">
        <v>38408</v>
      </c>
      <c r="I171" s="79">
        <v>41624</v>
      </c>
      <c r="J171" s="3">
        <f t="shared" si="10"/>
        <v>8</v>
      </c>
      <c r="K171" s="7"/>
      <c r="L171" s="7"/>
      <c r="M171" s="7"/>
      <c r="N171" s="7"/>
      <c r="O171" s="7"/>
      <c r="P171" s="7"/>
      <c r="Q171" s="7"/>
      <c r="R171" s="7"/>
      <c r="S171" s="7"/>
      <c r="T171" s="7"/>
      <c r="U171" s="1">
        <v>1304</v>
      </c>
      <c r="W171" s="1">
        <v>4319176</v>
      </c>
    </row>
    <row r="172" spans="1:23" x14ac:dyDescent="0.25">
      <c r="A172" s="76">
        <v>3</v>
      </c>
      <c r="B172" s="76" t="s">
        <v>54</v>
      </c>
      <c r="C172" s="76">
        <v>2005</v>
      </c>
      <c r="D172" s="76" t="str">
        <f t="shared" si="6"/>
        <v>A05S</v>
      </c>
      <c r="E172" s="76" t="s">
        <v>96</v>
      </c>
      <c r="F172" s="77" t="s">
        <v>333</v>
      </c>
      <c r="G172" s="78">
        <v>0.62205872912894433</v>
      </c>
      <c r="H172" s="79">
        <v>38488</v>
      </c>
      <c r="I172" s="79">
        <v>41647</v>
      </c>
      <c r="J172" s="3">
        <f t="shared" si="10"/>
        <v>9</v>
      </c>
      <c r="K172" s="7"/>
      <c r="L172" s="7"/>
      <c r="M172" s="7"/>
      <c r="N172" s="7"/>
      <c r="O172" s="7"/>
      <c r="P172" s="7"/>
      <c r="Q172" s="7"/>
      <c r="R172" s="7"/>
      <c r="S172" s="7"/>
      <c r="T172" s="7"/>
      <c r="U172" s="1">
        <v>5462</v>
      </c>
      <c r="W172" s="1">
        <v>2361477</v>
      </c>
    </row>
    <row r="173" spans="1:23" x14ac:dyDescent="0.25">
      <c r="A173" s="76">
        <v>3</v>
      </c>
      <c r="B173" s="76" t="s">
        <v>54</v>
      </c>
      <c r="C173" s="76">
        <v>2005</v>
      </c>
      <c r="D173" s="76" t="str">
        <f t="shared" si="6"/>
        <v>A05S</v>
      </c>
      <c r="E173" s="76" t="s">
        <v>96</v>
      </c>
      <c r="F173" s="77" t="s">
        <v>334</v>
      </c>
      <c r="G173" s="78">
        <v>0.87967533997272529</v>
      </c>
      <c r="H173" s="79">
        <v>39136</v>
      </c>
      <c r="I173" s="79">
        <v>41627</v>
      </c>
      <c r="J173" s="3">
        <f t="shared" si="10"/>
        <v>6</v>
      </c>
      <c r="K173" s="7"/>
      <c r="L173" s="7"/>
      <c r="M173" s="7"/>
      <c r="N173" s="7"/>
      <c r="O173" s="7"/>
      <c r="P173" s="7"/>
      <c r="Q173" s="7"/>
      <c r="R173" s="7"/>
      <c r="S173" s="7"/>
      <c r="T173" s="7"/>
      <c r="U173" s="1">
        <v>1672</v>
      </c>
      <c r="W173" s="1">
        <v>2404516</v>
      </c>
    </row>
    <row r="174" spans="1:23" x14ac:dyDescent="0.25">
      <c r="A174" s="76">
        <v>3</v>
      </c>
      <c r="B174" s="76" t="s">
        <v>54</v>
      </c>
      <c r="C174" s="76">
        <v>2005</v>
      </c>
      <c r="D174" s="76" t="str">
        <f t="shared" si="6"/>
        <v>A05S</v>
      </c>
      <c r="E174" s="76" t="s">
        <v>96</v>
      </c>
      <c r="F174" s="77" t="s">
        <v>335</v>
      </c>
      <c r="G174" s="78">
        <v>0.81905121945362103</v>
      </c>
      <c r="H174" s="79">
        <v>38418</v>
      </c>
      <c r="I174" s="79">
        <v>41655</v>
      </c>
      <c r="J174" s="3">
        <f t="shared" si="10"/>
        <v>9</v>
      </c>
      <c r="K174" s="7"/>
      <c r="L174" s="7"/>
      <c r="M174" s="7"/>
      <c r="N174" s="7"/>
      <c r="O174" s="7"/>
      <c r="P174" s="7"/>
      <c r="Q174" s="7"/>
      <c r="R174" s="7"/>
      <c r="S174" s="7"/>
      <c r="T174" s="7"/>
      <c r="U174" s="1">
        <v>2094</v>
      </c>
      <c r="W174" s="1">
        <v>2419211</v>
      </c>
    </row>
    <row r="175" spans="1:23" x14ac:dyDescent="0.25">
      <c r="A175" s="76">
        <v>3</v>
      </c>
      <c r="B175" s="76" t="s">
        <v>54</v>
      </c>
      <c r="C175" s="76">
        <v>2005</v>
      </c>
      <c r="D175" s="76" t="str">
        <f t="shared" si="6"/>
        <v>A05S</v>
      </c>
      <c r="E175" s="76" t="s">
        <v>96</v>
      </c>
      <c r="F175" s="77" t="s">
        <v>336</v>
      </c>
      <c r="G175" s="78">
        <v>0.58654389333333334</v>
      </c>
      <c r="H175" s="79">
        <v>38407</v>
      </c>
      <c r="I175" s="79">
        <v>41655</v>
      </c>
      <c r="J175" s="3">
        <f t="shared" si="10"/>
        <v>9</v>
      </c>
      <c r="K175" s="7"/>
      <c r="L175" s="7"/>
      <c r="M175" s="7"/>
      <c r="N175" s="7"/>
      <c r="O175" s="7"/>
      <c r="P175" s="7"/>
      <c r="Q175" s="7"/>
      <c r="R175" s="7"/>
      <c r="S175" s="7"/>
      <c r="T175" s="7"/>
      <c r="U175" s="1" t="s">
        <v>1116</v>
      </c>
      <c r="W175" s="1">
        <v>2425475</v>
      </c>
    </row>
    <row r="176" spans="1:23" x14ac:dyDescent="0.25">
      <c r="A176" s="76">
        <v>3</v>
      </c>
      <c r="B176" s="76" t="s">
        <v>54</v>
      </c>
      <c r="C176" s="76">
        <v>2005</v>
      </c>
      <c r="D176" s="76" t="str">
        <f t="shared" si="6"/>
        <v>A05S</v>
      </c>
      <c r="E176" s="76" t="s">
        <v>96</v>
      </c>
      <c r="F176" s="77" t="s">
        <v>337</v>
      </c>
      <c r="G176" s="78">
        <v>0.8915045199999998</v>
      </c>
      <c r="H176" s="79">
        <v>38397</v>
      </c>
      <c r="I176" s="79">
        <v>40395</v>
      </c>
      <c r="J176" s="3">
        <f t="shared" si="10"/>
        <v>5</v>
      </c>
      <c r="K176" s="7"/>
      <c r="L176" s="7"/>
      <c r="M176" s="7"/>
      <c r="N176" s="7"/>
      <c r="O176" s="7"/>
      <c r="P176" s="7"/>
      <c r="Q176" s="7"/>
      <c r="R176" s="7"/>
      <c r="S176" s="7"/>
      <c r="T176" s="7"/>
      <c r="U176" s="1">
        <v>464</v>
      </c>
      <c r="W176" s="1">
        <v>2425521</v>
      </c>
    </row>
    <row r="177" spans="1:23" x14ac:dyDescent="0.25">
      <c r="A177" s="76">
        <v>3</v>
      </c>
      <c r="B177" s="76" t="s">
        <v>54</v>
      </c>
      <c r="C177" s="76">
        <v>2005</v>
      </c>
      <c r="D177" s="76" t="str">
        <f>LEFT(F177,4)</f>
        <v>A05S</v>
      </c>
      <c r="E177" s="76" t="s">
        <v>96</v>
      </c>
      <c r="F177" s="77" t="s">
        <v>1307</v>
      </c>
      <c r="G177" s="78">
        <v>0.99942176043700426</v>
      </c>
      <c r="H177" s="79">
        <v>38554</v>
      </c>
      <c r="I177" s="79">
        <v>38554</v>
      </c>
      <c r="J177" s="3" t="str">
        <f t="shared" si="10"/>
        <v/>
      </c>
      <c r="K177" s="7">
        <v>1.6199999999999992E-2</v>
      </c>
      <c r="L177" s="7">
        <v>1.8418418418418625E-2</v>
      </c>
      <c r="M177" s="7">
        <v>1.8637274549098137E-2</v>
      </c>
      <c r="N177" s="7">
        <v>2.3246492985971923E-2</v>
      </c>
      <c r="O177" s="7">
        <v>3.799999999999959E-2</v>
      </c>
      <c r="P177" s="7">
        <v>4.5725646123258468E-2</v>
      </c>
      <c r="Q177" s="7">
        <v>3.799999999999959E-2</v>
      </c>
      <c r="R177" s="7">
        <v>-3.6000000000001364E-2</v>
      </c>
      <c r="S177" s="7">
        <v>-0.17200000000000271</v>
      </c>
      <c r="T177" s="7">
        <v>-1</v>
      </c>
      <c r="U177" s="1" t="s">
        <v>1116</v>
      </c>
      <c r="W177" s="1">
        <v>2730804</v>
      </c>
    </row>
    <row r="178" spans="1:23" x14ac:dyDescent="0.25">
      <c r="A178" s="76">
        <v>3</v>
      </c>
      <c r="B178" s="76" t="s">
        <v>54</v>
      </c>
      <c r="C178" s="76">
        <v>2005</v>
      </c>
      <c r="D178" s="76" t="str">
        <f t="shared" ref="D178:D186" si="12">LEFT(F178,4)</f>
        <v>A05S</v>
      </c>
      <c r="E178" s="76" t="s">
        <v>96</v>
      </c>
      <c r="F178" s="77" t="s">
        <v>995</v>
      </c>
      <c r="G178" s="78">
        <v>0.5562551090433121</v>
      </c>
      <c r="H178" s="79">
        <v>38448</v>
      </c>
      <c r="I178" s="79">
        <v>42203</v>
      </c>
      <c r="J178" s="3">
        <f t="shared" si="10"/>
        <v>10</v>
      </c>
      <c r="K178" s="7">
        <v>8.0000000000000071E-3</v>
      </c>
      <c r="L178" s="7">
        <v>7.5075075075072828E-3</v>
      </c>
      <c r="M178" s="7">
        <v>8.1162324649299844E-3</v>
      </c>
      <c r="N178" s="7">
        <v>8.4168336673344779E-3</v>
      </c>
      <c r="O178" s="7">
        <v>-0.745999999999998</v>
      </c>
      <c r="P178" s="7">
        <v>-1</v>
      </c>
      <c r="Q178" s="7">
        <v>1.399999999999868E-2</v>
      </c>
      <c r="R178" s="7">
        <v>-7.0000000000004503E-2</v>
      </c>
      <c r="S178" s="7">
        <v>-0.21799999999999498</v>
      </c>
      <c r="T178" s="7">
        <v>-1</v>
      </c>
      <c r="U178" s="1">
        <v>2176</v>
      </c>
      <c r="W178" s="1">
        <v>4501251</v>
      </c>
    </row>
    <row r="179" spans="1:23" x14ac:dyDescent="0.25">
      <c r="A179" s="76">
        <v>3</v>
      </c>
      <c r="B179" s="76" t="s">
        <v>54</v>
      </c>
      <c r="C179" s="76">
        <v>2005</v>
      </c>
      <c r="D179" s="76" t="str">
        <f t="shared" si="12"/>
        <v>A05S</v>
      </c>
      <c r="E179" s="76" t="s">
        <v>96</v>
      </c>
      <c r="F179" s="77" t="s">
        <v>996</v>
      </c>
      <c r="G179" s="78">
        <v>0.82043497662861664</v>
      </c>
      <c r="H179" s="79">
        <v>38566</v>
      </c>
      <c r="I179" s="79">
        <v>42170</v>
      </c>
      <c r="J179" s="3">
        <f t="shared" si="10"/>
        <v>10</v>
      </c>
      <c r="K179" s="7">
        <v>9.9000000000000199E-3</v>
      </c>
      <c r="L179" s="7">
        <v>9.0090090090086949E-3</v>
      </c>
      <c r="M179" s="7">
        <v>7.7154308617233269E-3</v>
      </c>
      <c r="N179" s="7">
        <v>2.2044088176353949E-3</v>
      </c>
      <c r="O179" s="7">
        <v>6.0000000000002274E-3</v>
      </c>
      <c r="P179" s="7">
        <v>-2.3856858846919238E-2</v>
      </c>
      <c r="Q179" s="7">
        <v>-0.23000000000000109</v>
      </c>
      <c r="R179" s="7">
        <v>-1</v>
      </c>
      <c r="S179" s="7">
        <v>-1</v>
      </c>
      <c r="T179" s="7">
        <v>-1</v>
      </c>
      <c r="U179" s="1">
        <v>1408</v>
      </c>
      <c r="W179" s="1">
        <v>3316491</v>
      </c>
    </row>
    <row r="180" spans="1:23" x14ac:dyDescent="0.25">
      <c r="A180" s="76">
        <v>3</v>
      </c>
      <c r="B180" s="76" t="s">
        <v>54</v>
      </c>
      <c r="C180" s="76">
        <v>2005</v>
      </c>
      <c r="D180" s="76" t="str">
        <f t="shared" si="12"/>
        <v>A05S</v>
      </c>
      <c r="E180" s="76" t="s">
        <v>96</v>
      </c>
      <c r="F180" s="77" t="s">
        <v>997</v>
      </c>
      <c r="G180" s="78">
        <v>0.97228381888621496</v>
      </c>
      <c r="H180" s="79"/>
      <c r="I180" s="79"/>
      <c r="J180" s="3" t="str">
        <f t="shared" si="10"/>
        <v/>
      </c>
      <c r="K180" s="7">
        <v>-7.1000000000001062E-3</v>
      </c>
      <c r="L180" s="7">
        <v>-8.5085085085084833E-3</v>
      </c>
      <c r="M180" s="7">
        <v>-7.9158316633264336E-3</v>
      </c>
      <c r="N180" s="7">
        <v>-5.9619238476953829E-2</v>
      </c>
      <c r="O180" s="7">
        <v>4.0000000000006697E-3</v>
      </c>
      <c r="P180" s="7">
        <v>1.391650099403452E-2</v>
      </c>
      <c r="Q180" s="7">
        <v>9.9999999999993427E-3</v>
      </c>
      <c r="R180" s="7">
        <v>-3.9999999999997704E-2</v>
      </c>
      <c r="S180" s="7">
        <v>-0.12199999999999989</v>
      </c>
      <c r="T180" s="7">
        <v>-1</v>
      </c>
      <c r="U180" s="1">
        <v>854</v>
      </c>
      <c r="W180" s="1">
        <v>4602341</v>
      </c>
    </row>
    <row r="181" spans="1:23" x14ac:dyDescent="0.25">
      <c r="A181" s="76">
        <v>3</v>
      </c>
      <c r="B181" s="76" t="s">
        <v>54</v>
      </c>
      <c r="C181" s="76">
        <v>2005</v>
      </c>
      <c r="D181" s="76" t="str">
        <f t="shared" si="12"/>
        <v>A05S</v>
      </c>
      <c r="E181" s="76" t="s">
        <v>96</v>
      </c>
      <c r="F181" s="77" t="s">
        <v>998</v>
      </c>
      <c r="G181" s="78">
        <v>0.7041107517948183</v>
      </c>
      <c r="H181" s="79">
        <v>42137</v>
      </c>
      <c r="I181" s="79">
        <v>42137</v>
      </c>
      <c r="J181" s="3" t="str">
        <f t="shared" si="10"/>
        <v/>
      </c>
      <c r="K181" s="7">
        <v>-3.3999999999997366E-3</v>
      </c>
      <c r="L181" s="7">
        <v>-4.304304304304396E-3</v>
      </c>
      <c r="M181" s="7">
        <v>-2.2044088176350618E-3</v>
      </c>
      <c r="N181" s="7">
        <v>-3.9078156312628565E-3</v>
      </c>
      <c r="O181" s="7">
        <v>-4.9999999999998934E-3</v>
      </c>
      <c r="P181" s="7">
        <v>-9.542743538767462E-2</v>
      </c>
      <c r="Q181" s="7">
        <v>-0.99599999999999933</v>
      </c>
      <c r="R181" s="7">
        <v>-1</v>
      </c>
      <c r="S181" s="7">
        <v>-1</v>
      </c>
      <c r="T181" s="7">
        <v>-1</v>
      </c>
      <c r="U181" s="1">
        <v>8849</v>
      </c>
      <c r="W181" s="1">
        <v>2796082</v>
      </c>
    </row>
    <row r="182" spans="1:23" x14ac:dyDescent="0.25">
      <c r="A182" s="76">
        <v>3</v>
      </c>
      <c r="B182" s="76" t="s">
        <v>54</v>
      </c>
      <c r="C182" s="76">
        <v>2005</v>
      </c>
      <c r="D182" s="76" t="str">
        <f t="shared" si="12"/>
        <v>A05S</v>
      </c>
      <c r="E182" s="76" t="s">
        <v>96</v>
      </c>
      <c r="F182" s="77" t="s">
        <v>999</v>
      </c>
      <c r="G182" s="78">
        <v>0.97595221825773137</v>
      </c>
      <c r="H182" s="79">
        <v>38448</v>
      </c>
      <c r="I182" s="79">
        <v>42203</v>
      </c>
      <c r="J182" s="3">
        <f t="shared" si="10"/>
        <v>10</v>
      </c>
      <c r="K182" s="7">
        <v>1.2499999999999956E-2</v>
      </c>
      <c r="L182" s="7">
        <v>1.0210210210209292E-2</v>
      </c>
      <c r="M182" s="7">
        <v>1.0521042084168375E-2</v>
      </c>
      <c r="N182" s="7">
        <v>8.0160320641284866E-3</v>
      </c>
      <c r="O182" s="7">
        <v>1.9999999999998908E-2</v>
      </c>
      <c r="P182" s="7">
        <v>2.3856858846913909E-2</v>
      </c>
      <c r="Q182" s="7">
        <v>1.2000000000000455E-2</v>
      </c>
      <c r="R182" s="7">
        <v>-6.9999999999993179E-2</v>
      </c>
      <c r="S182" s="7">
        <v>-0.27400000000000091</v>
      </c>
      <c r="T182" s="7">
        <v>-1</v>
      </c>
      <c r="U182" s="1">
        <v>3475</v>
      </c>
      <c r="W182" s="1">
        <v>4504631</v>
      </c>
    </row>
    <row r="183" spans="1:23" x14ac:dyDescent="0.25">
      <c r="A183" s="76">
        <v>3</v>
      </c>
      <c r="B183" s="76" t="s">
        <v>54</v>
      </c>
      <c r="C183" s="76">
        <v>2005</v>
      </c>
      <c r="D183" s="76" t="str">
        <f t="shared" si="12"/>
        <v>A05S</v>
      </c>
      <c r="E183" s="76" t="s">
        <v>96</v>
      </c>
      <c r="F183" s="77" t="s">
        <v>1000</v>
      </c>
      <c r="G183" s="78">
        <v>0.90660237429432911</v>
      </c>
      <c r="H183" s="79">
        <v>42152</v>
      </c>
      <c r="I183" s="79">
        <v>42152</v>
      </c>
      <c r="J183" s="3" t="str">
        <f t="shared" si="10"/>
        <v/>
      </c>
      <c r="K183" s="7">
        <v>2.9000000000001247E-3</v>
      </c>
      <c r="L183" s="7">
        <v>1.4014014014009923E-3</v>
      </c>
      <c r="M183" s="7">
        <v>3.3066132264529813E-3</v>
      </c>
      <c r="N183" s="7">
        <v>-9.018036072143687E-4</v>
      </c>
      <c r="O183" s="7">
        <v>1.6999999999998794E-2</v>
      </c>
      <c r="P183" s="7">
        <v>1.3916500994040293E-2</v>
      </c>
      <c r="Q183" s="7">
        <v>-4.3999999999999817E-2</v>
      </c>
      <c r="R183" s="7">
        <v>-0.29200000000000159</v>
      </c>
      <c r="S183" s="7">
        <v>-0.97400000000000087</v>
      </c>
      <c r="T183" s="7">
        <v>-1</v>
      </c>
      <c r="U183" s="1">
        <v>7816</v>
      </c>
      <c r="W183" s="1">
        <v>1790854</v>
      </c>
    </row>
    <row r="184" spans="1:23" x14ac:dyDescent="0.25">
      <c r="A184" s="76">
        <v>3</v>
      </c>
      <c r="B184" s="76" t="s">
        <v>54</v>
      </c>
      <c r="C184" s="76">
        <v>2005</v>
      </c>
      <c r="D184" s="76" t="str">
        <f t="shared" si="12"/>
        <v>A05S</v>
      </c>
      <c r="E184" s="76" t="s">
        <v>96</v>
      </c>
      <c r="F184" s="77" t="s">
        <v>1001</v>
      </c>
      <c r="G184" s="78">
        <v>0.89865032925698607</v>
      </c>
      <c r="H184" s="79">
        <v>42100</v>
      </c>
      <c r="I184" s="79">
        <v>42203</v>
      </c>
      <c r="J184" s="3" t="str">
        <f t="shared" si="10"/>
        <v/>
      </c>
      <c r="K184" s="7">
        <v>-4.1999999999998705E-3</v>
      </c>
      <c r="L184" s="7">
        <v>-7.5075075075078379E-3</v>
      </c>
      <c r="M184" s="7">
        <v>-7.7154308617231049E-3</v>
      </c>
      <c r="N184" s="7">
        <v>-7.2144288577156157E-3</v>
      </c>
      <c r="O184" s="7">
        <v>5.0000000000012257E-3</v>
      </c>
      <c r="P184" s="7">
        <v>1.3916500994028969E-2</v>
      </c>
      <c r="Q184" s="7">
        <v>-5.7999999999992724E-2</v>
      </c>
      <c r="R184" s="7">
        <v>-0.30000000000000004</v>
      </c>
      <c r="S184" s="7">
        <v>-0.98600000000000132</v>
      </c>
      <c r="T184" s="7">
        <v>-1</v>
      </c>
      <c r="U184" s="1">
        <v>3591</v>
      </c>
      <c r="W184" s="1">
        <v>4500849</v>
      </c>
    </row>
    <row r="185" spans="1:23" x14ac:dyDescent="0.25">
      <c r="A185" s="76">
        <v>3</v>
      </c>
      <c r="B185" s="76" t="s">
        <v>54</v>
      </c>
      <c r="C185" s="76">
        <v>2005</v>
      </c>
      <c r="D185" s="76" t="str">
        <f t="shared" si="12"/>
        <v>A05S</v>
      </c>
      <c r="E185" s="76" t="s">
        <v>96</v>
      </c>
      <c r="F185" s="77" t="s">
        <v>1002</v>
      </c>
      <c r="G185" s="78">
        <v>0.89590323792048454</v>
      </c>
      <c r="H185" s="79">
        <v>38405</v>
      </c>
      <c r="I185" s="79">
        <v>42203</v>
      </c>
      <c r="J185" s="3">
        <f t="shared" si="10"/>
        <v>10</v>
      </c>
      <c r="K185" s="7">
        <v>-1.5999999999999348E-3</v>
      </c>
      <c r="L185" s="7">
        <v>-4.8048048048049408E-3</v>
      </c>
      <c r="M185" s="7">
        <v>-3.8076152304606925E-3</v>
      </c>
      <c r="N185" s="7">
        <v>-4.3086172344688478E-3</v>
      </c>
      <c r="O185" s="7">
        <v>-3.0000000000001137E-3</v>
      </c>
      <c r="P185" s="7">
        <v>-9.9403578528819425E-3</v>
      </c>
      <c r="Q185" s="7">
        <v>-4.7999999999998932E-2</v>
      </c>
      <c r="R185" s="7">
        <v>-0.26800000000000068</v>
      </c>
      <c r="S185" s="7">
        <v>-0.97799999999999732</v>
      </c>
      <c r="T185" s="7">
        <v>-1</v>
      </c>
      <c r="U185" s="1">
        <v>2318</v>
      </c>
      <c r="W185" s="1">
        <v>825204</v>
      </c>
    </row>
    <row r="186" spans="1:23" x14ac:dyDescent="0.25">
      <c r="A186" s="76">
        <v>3</v>
      </c>
      <c r="B186" s="76" t="s">
        <v>54</v>
      </c>
      <c r="C186" s="76">
        <v>2005</v>
      </c>
      <c r="D186" s="76" t="str">
        <f t="shared" si="12"/>
        <v>A05S</v>
      </c>
      <c r="E186" s="76" t="s">
        <v>96</v>
      </c>
      <c r="F186" s="77" t="s">
        <v>1003</v>
      </c>
      <c r="G186" s="78">
        <v>0.99307256573765512</v>
      </c>
      <c r="H186" s="79">
        <v>42151</v>
      </c>
      <c r="I186" s="79">
        <v>42151</v>
      </c>
      <c r="J186" s="3" t="str">
        <f t="shared" si="10"/>
        <v/>
      </c>
      <c r="K186" s="7">
        <v>2.5899999999999812E-2</v>
      </c>
      <c r="L186" s="7">
        <v>2.7127127127127171E-2</v>
      </c>
      <c r="M186" s="7">
        <v>2.1743486973948123E-2</v>
      </c>
      <c r="N186" s="7">
        <v>5.7114228456913718E-3</v>
      </c>
      <c r="O186" s="7">
        <v>1.7999999999994909E-2</v>
      </c>
      <c r="P186" s="7">
        <v>3.5785288270384852E-2</v>
      </c>
      <c r="Q186" s="7">
        <v>2.5999999999999135E-2</v>
      </c>
      <c r="R186" s="7">
        <v>-3.2000000000005024E-2</v>
      </c>
      <c r="S186" s="7">
        <v>-0.13999999999999768</v>
      </c>
      <c r="T186" s="7">
        <v>-1</v>
      </c>
      <c r="U186" s="1">
        <v>253</v>
      </c>
      <c r="W186" s="1">
        <v>4584902</v>
      </c>
    </row>
    <row r="187" spans="1:23" x14ac:dyDescent="0.25">
      <c r="A187" s="76">
        <v>3</v>
      </c>
      <c r="B187" s="76" t="s">
        <v>54</v>
      </c>
      <c r="C187" s="76">
        <v>2005</v>
      </c>
      <c r="D187" s="76" t="str">
        <f t="shared" ref="D187:D196" si="13">LEFT(F187,4)</f>
        <v>A05S</v>
      </c>
      <c r="E187" s="76" t="s">
        <v>96</v>
      </c>
      <c r="F187" s="77" t="s">
        <v>1089</v>
      </c>
      <c r="G187" s="78">
        <v>0.92308646408920336</v>
      </c>
      <c r="H187" s="79">
        <v>38432</v>
      </c>
      <c r="I187" s="79">
        <v>38432</v>
      </c>
      <c r="J187" s="3" t="str">
        <f t="shared" si="10"/>
        <v/>
      </c>
      <c r="K187" s="7">
        <v>-8.0862533692719341E-3</v>
      </c>
      <c r="L187" s="7">
        <v>1.0869565217391131E-2</v>
      </c>
      <c r="M187" s="7">
        <v>-4.0650406504064707E-3</v>
      </c>
      <c r="N187" s="7">
        <v>2.2357723577236532E-2</v>
      </c>
      <c r="O187" s="7">
        <v>1.7500000000001181E-2</v>
      </c>
      <c r="P187" s="7">
        <v>3.0000000000001137E-2</v>
      </c>
      <c r="Q187" s="7">
        <v>4.2499999999995541E-2</v>
      </c>
      <c r="R187" s="7">
        <v>-0.54499999999999882</v>
      </c>
      <c r="S187" s="7">
        <v>-0.65</v>
      </c>
      <c r="T187" s="7">
        <v>-1</v>
      </c>
      <c r="U187" s="1" t="s">
        <v>1116</v>
      </c>
      <c r="W187" s="1">
        <v>2972131</v>
      </c>
    </row>
    <row r="188" spans="1:23" x14ac:dyDescent="0.25">
      <c r="A188" s="76">
        <v>3</v>
      </c>
      <c r="B188" s="76" t="s">
        <v>54</v>
      </c>
      <c r="C188" s="76">
        <v>2005</v>
      </c>
      <c r="D188" s="76" t="str">
        <f t="shared" si="13"/>
        <v>A05S</v>
      </c>
      <c r="E188" s="76" t="s">
        <v>96</v>
      </c>
      <c r="F188" s="77" t="s">
        <v>1090</v>
      </c>
      <c r="G188" s="78">
        <v>0.86171951305133476</v>
      </c>
      <c r="H188" s="79">
        <v>38433</v>
      </c>
      <c r="I188" s="79">
        <v>42170</v>
      </c>
      <c r="J188" s="3">
        <f t="shared" si="10"/>
        <v>10</v>
      </c>
      <c r="K188" s="7">
        <v>-1.3477088948784521E-3</v>
      </c>
      <c r="L188" s="7">
        <v>4.7554347826077592E-3</v>
      </c>
      <c r="M188" s="7">
        <v>5.420054200542701E-3</v>
      </c>
      <c r="N188" s="7">
        <v>4.0650406504068037E-3</v>
      </c>
      <c r="O188" s="7">
        <v>5.0000000000012257E-3</v>
      </c>
      <c r="P188" s="7">
        <v>0</v>
      </c>
      <c r="Q188" s="7">
        <v>-0.23500000000000232</v>
      </c>
      <c r="R188" s="7">
        <v>-0.49499999999999889</v>
      </c>
      <c r="S188" s="7">
        <v>-0.99250000000000116</v>
      </c>
      <c r="T188" s="7">
        <v>-1</v>
      </c>
      <c r="U188" s="1">
        <v>2657</v>
      </c>
      <c r="W188" s="1">
        <v>3479129</v>
      </c>
    </row>
    <row r="189" spans="1:23" x14ac:dyDescent="0.25">
      <c r="A189" s="76">
        <v>3</v>
      </c>
      <c r="B189" s="76" t="s">
        <v>54</v>
      </c>
      <c r="C189" s="76">
        <v>2005</v>
      </c>
      <c r="D189" s="76" t="str">
        <f t="shared" si="13"/>
        <v>A05S</v>
      </c>
      <c r="E189" s="76" t="s">
        <v>96</v>
      </c>
      <c r="F189" s="77" t="s">
        <v>1091</v>
      </c>
      <c r="G189" s="78">
        <v>0.85767861840953374</v>
      </c>
      <c r="H189" s="79">
        <v>42145</v>
      </c>
      <c r="I189" s="79">
        <v>42145</v>
      </c>
      <c r="J189" s="3" t="str">
        <f t="shared" si="10"/>
        <v/>
      </c>
      <c r="K189" s="7">
        <v>-5.3908355795154739E-3</v>
      </c>
      <c r="L189" s="7">
        <v>-1.4945652173912971E-2</v>
      </c>
      <c r="M189" s="7">
        <v>1.084010840108407E-2</v>
      </c>
      <c r="N189" s="7">
        <v>-4.8780487804877759E-2</v>
      </c>
      <c r="O189" s="7">
        <v>-2.000000000000024E-2</v>
      </c>
      <c r="P189" s="7">
        <v>-2.2499999999999409E-2</v>
      </c>
      <c r="Q189" s="7">
        <v>-2.9999999999999694E-2</v>
      </c>
      <c r="R189" s="7">
        <v>-0.67249999999999943</v>
      </c>
      <c r="S189" s="7">
        <v>-0.99250000000000116</v>
      </c>
      <c r="T189" s="7">
        <v>-1</v>
      </c>
      <c r="U189" s="1">
        <v>2663</v>
      </c>
      <c r="W189" s="1">
        <v>2485681</v>
      </c>
    </row>
    <row r="190" spans="1:23" x14ac:dyDescent="0.25">
      <c r="A190" s="76">
        <v>3</v>
      </c>
      <c r="B190" s="76" t="s">
        <v>54</v>
      </c>
      <c r="C190" s="76">
        <v>2005</v>
      </c>
      <c r="D190" s="76" t="str">
        <f t="shared" si="13"/>
        <v>A05S</v>
      </c>
      <c r="E190" s="76" t="s">
        <v>96</v>
      </c>
      <c r="F190" s="77" t="s">
        <v>1092</v>
      </c>
      <c r="G190" s="78">
        <v>0.92681643089923182</v>
      </c>
      <c r="H190" s="79">
        <v>42177</v>
      </c>
      <c r="I190" s="79">
        <v>42177</v>
      </c>
      <c r="J190" s="3" t="str">
        <f t="shared" si="10"/>
        <v/>
      </c>
      <c r="K190" s="7">
        <v>-1.3477088948787297E-2</v>
      </c>
      <c r="L190" s="7">
        <v>5.4347826086960094E-3</v>
      </c>
      <c r="M190" s="7">
        <v>2.7100271002711285E-3</v>
      </c>
      <c r="N190" s="7">
        <v>-5.5511151231257827E-16</v>
      </c>
      <c r="O190" s="7">
        <v>4.9999999999983391E-3</v>
      </c>
      <c r="P190" s="7">
        <v>2.0000000000004459E-2</v>
      </c>
      <c r="Q190" s="7">
        <v>-7.0000000000004503E-2</v>
      </c>
      <c r="R190" s="7">
        <v>-0.38999999999999768</v>
      </c>
      <c r="S190" s="7">
        <v>-0.42250000000000232</v>
      </c>
      <c r="T190" s="7">
        <v>-1</v>
      </c>
      <c r="U190" s="1">
        <v>98</v>
      </c>
      <c r="W190" s="1">
        <v>4593626</v>
      </c>
    </row>
    <row r="191" spans="1:23" x14ac:dyDescent="0.25">
      <c r="A191" s="76">
        <v>3</v>
      </c>
      <c r="B191" s="76" t="s">
        <v>54</v>
      </c>
      <c r="C191" s="76">
        <v>2005</v>
      </c>
      <c r="D191" s="76" t="str">
        <f t="shared" si="13"/>
        <v>A05S</v>
      </c>
      <c r="E191" s="76" t="s">
        <v>96</v>
      </c>
      <c r="F191" s="77" t="s">
        <v>1093</v>
      </c>
      <c r="G191" s="78">
        <v>0.84258630696237702</v>
      </c>
      <c r="H191" s="79">
        <v>42145</v>
      </c>
      <c r="I191" s="79">
        <v>42145</v>
      </c>
      <c r="J191" s="3" t="str">
        <f t="shared" si="10"/>
        <v/>
      </c>
      <c r="K191" s="7">
        <v>-1.2803234501347793E-2</v>
      </c>
      <c r="L191" s="7">
        <v>6.7934782608698452E-3</v>
      </c>
      <c r="M191" s="7">
        <v>-5.420054200542257E-3</v>
      </c>
      <c r="N191" s="7">
        <v>-6.7750677506764889E-3</v>
      </c>
      <c r="O191" s="7">
        <v>1.7500000000001181E-2</v>
      </c>
      <c r="P191" s="7">
        <v>1.7500000000001181E-2</v>
      </c>
      <c r="Q191" s="7">
        <v>-0.13749999999999996</v>
      </c>
      <c r="R191" s="7">
        <v>-0.99250000000000116</v>
      </c>
      <c r="S191" s="7">
        <v>-0.99250000000000116</v>
      </c>
      <c r="T191" s="7">
        <v>-1</v>
      </c>
      <c r="U191" s="1">
        <v>7824</v>
      </c>
      <c r="W191" s="1">
        <v>164526</v>
      </c>
    </row>
    <row r="192" spans="1:23" x14ac:dyDescent="0.25">
      <c r="A192" s="76">
        <v>3</v>
      </c>
      <c r="B192" s="76" t="s">
        <v>54</v>
      </c>
      <c r="C192" s="76">
        <v>2005</v>
      </c>
      <c r="D192" s="76" t="str">
        <f t="shared" si="13"/>
        <v>A05S</v>
      </c>
      <c r="E192" s="76" t="s">
        <v>96</v>
      </c>
      <c r="F192" s="77" t="s">
        <v>1094</v>
      </c>
      <c r="G192" s="78">
        <v>0.90049554737072923</v>
      </c>
      <c r="H192" s="79">
        <v>38448</v>
      </c>
      <c r="I192" s="79">
        <v>42203</v>
      </c>
      <c r="J192" s="3">
        <f t="shared" si="10"/>
        <v>10</v>
      </c>
      <c r="K192" s="7">
        <v>4.7169811320753041E-3</v>
      </c>
      <c r="L192" s="7">
        <v>4.0760869565219515E-3</v>
      </c>
      <c r="M192" s="7">
        <v>3.387533875338633E-3</v>
      </c>
      <c r="N192" s="7">
        <v>2.7100271002711285E-3</v>
      </c>
      <c r="O192" s="7">
        <v>2.5000000000006128E-3</v>
      </c>
      <c r="P192" s="7">
        <v>1.5000000000000568E-2</v>
      </c>
      <c r="Q192" s="7">
        <v>-7.7500000000000568E-2</v>
      </c>
      <c r="R192" s="7">
        <v>-0.30749999999999889</v>
      </c>
      <c r="S192" s="7">
        <v>-0.94500000000000173</v>
      </c>
      <c r="T192" s="7">
        <v>-1</v>
      </c>
      <c r="U192" s="1">
        <v>4950</v>
      </c>
      <c r="W192" s="1">
        <v>4504021</v>
      </c>
    </row>
    <row r="193" spans="1:23" x14ac:dyDescent="0.25">
      <c r="A193" s="76">
        <v>3</v>
      </c>
      <c r="B193" s="76" t="s">
        <v>54</v>
      </c>
      <c r="C193" s="76">
        <v>2005</v>
      </c>
      <c r="D193" s="76" t="str">
        <f t="shared" si="13"/>
        <v>A05S</v>
      </c>
      <c r="E193" s="76" t="s">
        <v>96</v>
      </c>
      <c r="F193" s="77" t="s">
        <v>1095</v>
      </c>
      <c r="G193" s="78">
        <v>0.95371113779311101</v>
      </c>
      <c r="H193" s="79">
        <v>38504</v>
      </c>
      <c r="I193" s="79">
        <v>42156</v>
      </c>
      <c r="J193" s="3">
        <f t="shared" si="10"/>
        <v>10</v>
      </c>
      <c r="K193" s="7">
        <v>-1.6172506738544756E-2</v>
      </c>
      <c r="L193" s="7">
        <v>-8.1521739130433479E-3</v>
      </c>
      <c r="M193" s="7">
        <v>-9.4850948509481725E-3</v>
      </c>
      <c r="N193" s="7">
        <v>-8.807588075881001E-3</v>
      </c>
      <c r="O193" s="7">
        <v>-2.5000000000006128E-3</v>
      </c>
      <c r="P193" s="7">
        <v>2.5000000000006128E-3</v>
      </c>
      <c r="Q193" s="7">
        <v>1.2499999999999956E-2</v>
      </c>
      <c r="R193" s="7">
        <v>-1.7500000000001181E-2</v>
      </c>
      <c r="S193" s="7">
        <v>-0.45500000000000118</v>
      </c>
      <c r="T193" s="7">
        <v>-1</v>
      </c>
      <c r="U193" s="1">
        <v>0</v>
      </c>
      <c r="W193" s="1">
        <v>4494067</v>
      </c>
    </row>
    <row r="194" spans="1:23" x14ac:dyDescent="0.25">
      <c r="A194" s="76">
        <v>3</v>
      </c>
      <c r="B194" s="76" t="s">
        <v>54</v>
      </c>
      <c r="C194" s="76">
        <v>2005</v>
      </c>
      <c r="D194" s="76" t="str">
        <f t="shared" si="13"/>
        <v>A05S</v>
      </c>
      <c r="E194" s="76" t="s">
        <v>96</v>
      </c>
      <c r="F194" s="77" t="s">
        <v>1096</v>
      </c>
      <c r="G194" s="78">
        <v>0.91803645763202679</v>
      </c>
      <c r="H194" s="79">
        <v>42137</v>
      </c>
      <c r="I194" s="79">
        <v>42137</v>
      </c>
      <c r="J194" s="3" t="str">
        <f t="shared" si="10"/>
        <v/>
      </c>
      <c r="K194" s="7">
        <v>-1.1455525606468786E-2</v>
      </c>
      <c r="L194" s="7">
        <v>-6.1141304347809289E-3</v>
      </c>
      <c r="M194" s="7">
        <v>-5.4200542005420349E-3</v>
      </c>
      <c r="N194" s="7">
        <v>-4.7425474254739752E-3</v>
      </c>
      <c r="O194" s="7">
        <v>4.9999999999996714E-3</v>
      </c>
      <c r="P194" s="7">
        <v>9.9999999999993427E-3</v>
      </c>
      <c r="Q194" s="7">
        <v>-1.5000000000000568E-2</v>
      </c>
      <c r="R194" s="7">
        <v>-0.12999999999999834</v>
      </c>
      <c r="S194" s="7">
        <v>-0.94250000000000111</v>
      </c>
      <c r="T194" s="7">
        <v>-1</v>
      </c>
      <c r="U194" s="1">
        <v>3351</v>
      </c>
      <c r="W194" s="1">
        <v>413534</v>
      </c>
    </row>
    <row r="195" spans="1:23" x14ac:dyDescent="0.25">
      <c r="A195" s="76">
        <v>3</v>
      </c>
      <c r="B195" s="76" t="s">
        <v>54</v>
      </c>
      <c r="C195" s="76">
        <v>2005</v>
      </c>
      <c r="D195" s="76" t="str">
        <f t="shared" si="13"/>
        <v>A05S</v>
      </c>
      <c r="E195" s="76" t="s">
        <v>96</v>
      </c>
      <c r="F195" s="77" t="s">
        <v>1097</v>
      </c>
      <c r="G195" s="78">
        <v>0.97364666823966806</v>
      </c>
      <c r="H195" s="79">
        <v>38432</v>
      </c>
      <c r="I195" s="79">
        <v>38432</v>
      </c>
      <c r="J195" s="3" t="str">
        <f t="shared" si="10"/>
        <v/>
      </c>
      <c r="K195" s="7">
        <v>-8.0862533692727112E-3</v>
      </c>
      <c r="L195" s="7">
        <v>6.7934782608698452E-3</v>
      </c>
      <c r="M195" s="7">
        <v>4.0650406504068037E-3</v>
      </c>
      <c r="N195" s="7">
        <v>3.3875338753381889E-3</v>
      </c>
      <c r="O195" s="7">
        <v>9.9999999999966782E-3</v>
      </c>
      <c r="P195" s="7">
        <v>6.7500000000001226E-2</v>
      </c>
      <c r="Q195" s="7">
        <v>-1.7500000000001181E-2</v>
      </c>
      <c r="R195" s="7">
        <v>5.0000000000012257E-3</v>
      </c>
      <c r="S195" s="7">
        <v>-0.44999999999999996</v>
      </c>
      <c r="T195" s="7">
        <v>-1</v>
      </c>
      <c r="U195" s="1">
        <v>2514</v>
      </c>
      <c r="W195" s="1">
        <v>1856243</v>
      </c>
    </row>
    <row r="196" spans="1:23" x14ac:dyDescent="0.25">
      <c r="A196" s="76">
        <v>3</v>
      </c>
      <c r="B196" s="76" t="s">
        <v>54</v>
      </c>
      <c r="C196" s="76">
        <v>2005</v>
      </c>
      <c r="D196" s="76" t="str">
        <f t="shared" si="13"/>
        <v>A05S</v>
      </c>
      <c r="E196" s="76" t="s">
        <v>96</v>
      </c>
      <c r="F196" s="77" t="s">
        <v>1098</v>
      </c>
      <c r="G196" s="78">
        <v>0</v>
      </c>
      <c r="H196" s="79">
        <v>38399</v>
      </c>
      <c r="I196" s="79">
        <v>38399</v>
      </c>
      <c r="J196" s="3" t="str">
        <f t="shared" si="10"/>
        <v/>
      </c>
      <c r="K196" s="7">
        <v>-1</v>
      </c>
      <c r="L196" s="7">
        <v>-1</v>
      </c>
      <c r="M196" s="7">
        <v>-1</v>
      </c>
      <c r="N196" s="7">
        <v>-1</v>
      </c>
      <c r="O196" s="7">
        <v>-1</v>
      </c>
      <c r="P196" s="7">
        <v>-1</v>
      </c>
      <c r="Q196" s="7">
        <v>-1</v>
      </c>
      <c r="R196" s="7">
        <v>-1</v>
      </c>
      <c r="S196" s="7">
        <v>-1</v>
      </c>
      <c r="T196" s="7">
        <v>-1</v>
      </c>
      <c r="U196" s="1">
        <v>1190</v>
      </c>
      <c r="W196" s="1">
        <v>3600653</v>
      </c>
    </row>
    <row r="197" spans="1:23" x14ac:dyDescent="0.25">
      <c r="A197" s="76">
        <v>3</v>
      </c>
      <c r="B197" s="76" t="s">
        <v>54</v>
      </c>
      <c r="C197" s="76">
        <v>2002</v>
      </c>
      <c r="D197" s="76" t="str">
        <f t="shared" si="6"/>
        <v>A02N</v>
      </c>
      <c r="E197" s="76" t="s">
        <v>107</v>
      </c>
      <c r="F197" s="77" t="s">
        <v>97</v>
      </c>
      <c r="G197" s="78">
        <v>0.29465262406417125</v>
      </c>
      <c r="H197" s="79">
        <v>38511</v>
      </c>
      <c r="I197" s="79">
        <v>41320</v>
      </c>
      <c r="J197" s="3">
        <f t="shared" ref="J197:J260" si="14">IF(YEAR(I197)-YEAR(H197)=0,"",YEAR(I197)-YEAR(H197))</f>
        <v>8</v>
      </c>
      <c r="U197" s="1" t="s">
        <v>1116</v>
      </c>
      <c r="W197" s="1">
        <v>1472887</v>
      </c>
    </row>
    <row r="198" spans="1:23" x14ac:dyDescent="0.25">
      <c r="A198" s="76">
        <v>3</v>
      </c>
      <c r="B198" s="76" t="s">
        <v>54</v>
      </c>
      <c r="C198" s="76">
        <v>2002</v>
      </c>
      <c r="D198" s="76" t="str">
        <f t="shared" si="6"/>
        <v>A02N</v>
      </c>
      <c r="E198" s="76" t="s">
        <v>107</v>
      </c>
      <c r="F198" s="77" t="s">
        <v>98</v>
      </c>
      <c r="G198" s="78">
        <v>0</v>
      </c>
      <c r="H198" s="79">
        <v>37620</v>
      </c>
      <c r="I198" s="79">
        <v>42060</v>
      </c>
      <c r="J198" s="3">
        <f t="shared" si="14"/>
        <v>13</v>
      </c>
      <c r="U198" s="1" t="s">
        <v>1116</v>
      </c>
      <c r="W198" s="1">
        <v>995037</v>
      </c>
    </row>
    <row r="199" spans="1:23" x14ac:dyDescent="0.25">
      <c r="A199" s="76">
        <v>3</v>
      </c>
      <c r="B199" s="76" t="s">
        <v>54</v>
      </c>
      <c r="C199" s="76">
        <v>2002</v>
      </c>
      <c r="D199" s="76" t="str">
        <f t="shared" si="6"/>
        <v>A02N</v>
      </c>
      <c r="E199" s="76" t="s">
        <v>107</v>
      </c>
      <c r="F199" s="77" t="s">
        <v>99</v>
      </c>
      <c r="G199" s="78">
        <v>0.80241899910873449</v>
      </c>
      <c r="H199" s="79">
        <v>37515</v>
      </c>
      <c r="I199" s="79">
        <v>42023</v>
      </c>
      <c r="J199" s="3">
        <f t="shared" si="14"/>
        <v>13</v>
      </c>
      <c r="U199" s="1" t="s">
        <v>1116</v>
      </c>
      <c r="W199" s="37">
        <v>1786229</v>
      </c>
    </row>
    <row r="200" spans="1:23" x14ac:dyDescent="0.25">
      <c r="A200" s="76">
        <v>3</v>
      </c>
      <c r="B200" s="76" t="s">
        <v>54</v>
      </c>
      <c r="C200" s="76">
        <v>2002</v>
      </c>
      <c r="D200" s="76" t="str">
        <f t="shared" si="6"/>
        <v>A02N</v>
      </c>
      <c r="E200" s="76" t="s">
        <v>107</v>
      </c>
      <c r="F200" s="77" t="s">
        <v>100</v>
      </c>
      <c r="G200" s="78">
        <v>0.7781903869875223</v>
      </c>
      <c r="H200" s="79">
        <v>37607</v>
      </c>
      <c r="I200" s="79">
        <v>42059</v>
      </c>
      <c r="J200" s="3">
        <f t="shared" si="14"/>
        <v>13</v>
      </c>
      <c r="U200" s="1" t="s">
        <v>1116</v>
      </c>
      <c r="V200" s="38"/>
      <c r="W200" s="39">
        <v>1559184</v>
      </c>
    </row>
    <row r="201" spans="1:23" x14ac:dyDescent="0.25">
      <c r="A201" s="76">
        <v>3</v>
      </c>
      <c r="B201" s="76" t="s">
        <v>54</v>
      </c>
      <c r="C201" s="76">
        <v>2002</v>
      </c>
      <c r="D201" s="76" t="str">
        <f t="shared" si="6"/>
        <v>A02N</v>
      </c>
      <c r="E201" s="76" t="s">
        <v>107</v>
      </c>
      <c r="F201" s="77" t="s">
        <v>101</v>
      </c>
      <c r="G201" s="78">
        <v>0.82227691051693386</v>
      </c>
      <c r="H201" s="79">
        <v>37445</v>
      </c>
      <c r="I201" s="79">
        <v>42062</v>
      </c>
      <c r="J201" s="3">
        <f t="shared" si="14"/>
        <v>13</v>
      </c>
      <c r="U201" s="1" t="s">
        <v>1116</v>
      </c>
      <c r="V201" s="38"/>
      <c r="W201" s="39">
        <v>1748041</v>
      </c>
    </row>
    <row r="202" spans="1:23" x14ac:dyDescent="0.25">
      <c r="A202" s="76">
        <v>3</v>
      </c>
      <c r="B202" s="76" t="s">
        <v>54</v>
      </c>
      <c r="C202" s="76">
        <v>2002</v>
      </c>
      <c r="D202" s="76" t="str">
        <f t="shared" si="6"/>
        <v>A02N</v>
      </c>
      <c r="E202" s="76" t="s">
        <v>107</v>
      </c>
      <c r="F202" s="77" t="s">
        <v>102</v>
      </c>
      <c r="G202" s="78">
        <v>0.73791479340463462</v>
      </c>
      <c r="H202" s="79">
        <v>37481</v>
      </c>
      <c r="I202" s="79">
        <v>42023</v>
      </c>
      <c r="J202" s="3">
        <f t="shared" si="14"/>
        <v>13</v>
      </c>
      <c r="U202" s="1" t="s">
        <v>1116</v>
      </c>
      <c r="W202" s="1">
        <v>1585861</v>
      </c>
    </row>
    <row r="203" spans="1:23" x14ac:dyDescent="0.25">
      <c r="A203" s="76">
        <v>3</v>
      </c>
      <c r="B203" s="76" t="s">
        <v>54</v>
      </c>
      <c r="C203" s="76">
        <v>2002</v>
      </c>
      <c r="D203" s="76" t="str">
        <f t="shared" si="6"/>
        <v>A02N</v>
      </c>
      <c r="E203" s="76" t="s">
        <v>107</v>
      </c>
      <c r="F203" s="77" t="s">
        <v>103</v>
      </c>
      <c r="G203" s="78">
        <v>0.69488475454545462</v>
      </c>
      <c r="H203" s="79">
        <v>37407</v>
      </c>
      <c r="I203" s="79">
        <v>42061</v>
      </c>
      <c r="J203" s="3">
        <f t="shared" si="14"/>
        <v>13</v>
      </c>
      <c r="U203" s="1" t="s">
        <v>1116</v>
      </c>
      <c r="W203" s="1">
        <v>1240498</v>
      </c>
    </row>
    <row r="204" spans="1:23" x14ac:dyDescent="0.25">
      <c r="A204" s="76">
        <v>3</v>
      </c>
      <c r="B204" s="76" t="s">
        <v>54</v>
      </c>
      <c r="C204" s="76">
        <v>2002</v>
      </c>
      <c r="D204" s="76" t="str">
        <f t="shared" si="6"/>
        <v>A02N</v>
      </c>
      <c r="E204" s="76" t="s">
        <v>107</v>
      </c>
      <c r="F204" s="77" t="s">
        <v>104</v>
      </c>
      <c r="G204" s="78">
        <v>0.85886974028520502</v>
      </c>
      <c r="H204" s="79">
        <v>37516</v>
      </c>
      <c r="I204" s="79">
        <v>42060</v>
      </c>
      <c r="J204" s="3">
        <f t="shared" si="14"/>
        <v>13</v>
      </c>
      <c r="U204" s="1" t="s">
        <v>1116</v>
      </c>
      <c r="W204" s="1">
        <v>1968254</v>
      </c>
    </row>
    <row r="205" spans="1:23" x14ac:dyDescent="0.25">
      <c r="A205" s="76">
        <v>3</v>
      </c>
      <c r="B205" s="76" t="s">
        <v>54</v>
      </c>
      <c r="C205" s="76">
        <v>2002</v>
      </c>
      <c r="D205" s="76" t="str">
        <f t="shared" si="6"/>
        <v>A02N</v>
      </c>
      <c r="E205" s="76" t="s">
        <v>107</v>
      </c>
      <c r="F205" s="77" t="s">
        <v>105</v>
      </c>
      <c r="G205" s="78">
        <v>0.78181839340463433</v>
      </c>
      <c r="H205" s="79">
        <v>37469</v>
      </c>
      <c r="I205" s="79">
        <v>42017</v>
      </c>
      <c r="J205" s="3">
        <f t="shared" si="14"/>
        <v>13</v>
      </c>
      <c r="U205" s="1" t="s">
        <v>1116</v>
      </c>
      <c r="W205" s="1">
        <v>1211471</v>
      </c>
    </row>
    <row r="206" spans="1:23" x14ac:dyDescent="0.25">
      <c r="A206" s="76">
        <v>3</v>
      </c>
      <c r="B206" s="76" t="s">
        <v>54</v>
      </c>
      <c r="C206" s="76">
        <v>2002</v>
      </c>
      <c r="D206" s="76" t="str">
        <f t="shared" si="6"/>
        <v>A02N</v>
      </c>
      <c r="E206" s="76" t="s">
        <v>107</v>
      </c>
      <c r="F206" s="77" t="s">
        <v>106</v>
      </c>
      <c r="G206" s="78">
        <v>0.83342378377896642</v>
      </c>
      <c r="H206" s="79">
        <v>37452</v>
      </c>
      <c r="I206" s="79">
        <v>42062</v>
      </c>
      <c r="J206" s="3">
        <f t="shared" si="14"/>
        <v>13</v>
      </c>
      <c r="U206" s="1" t="s">
        <v>1116</v>
      </c>
      <c r="W206" s="1">
        <v>1615548</v>
      </c>
    </row>
    <row r="207" spans="1:23" x14ac:dyDescent="0.25">
      <c r="A207" s="76">
        <v>3</v>
      </c>
      <c r="B207" s="76" t="s">
        <v>54</v>
      </c>
      <c r="C207" s="76">
        <v>2002</v>
      </c>
      <c r="D207" s="76" t="str">
        <f t="shared" si="6"/>
        <v>A02N</v>
      </c>
      <c r="E207" s="76" t="s">
        <v>107</v>
      </c>
      <c r="F207" s="77" t="s">
        <v>108</v>
      </c>
      <c r="G207" s="78">
        <v>0.80297493621671379</v>
      </c>
      <c r="H207" s="79">
        <v>37538</v>
      </c>
      <c r="I207" s="79">
        <v>42062</v>
      </c>
      <c r="J207" s="3">
        <f t="shared" si="14"/>
        <v>13</v>
      </c>
      <c r="K207" s="7">
        <v>-2.6187305814469819E-2</v>
      </c>
      <c r="L207" s="7">
        <v>3.1555555555555559E-2</v>
      </c>
      <c r="M207" s="7">
        <v>3.698752228164004E-2</v>
      </c>
      <c r="N207" s="7">
        <v>2.1836007130124679E-2</v>
      </c>
      <c r="O207" s="7">
        <v>-1.6666666666689256E-3</v>
      </c>
      <c r="P207" s="7">
        <v>-4.6666666666665968E-2</v>
      </c>
      <c r="Q207" s="7">
        <v>-0.34833333333333105</v>
      </c>
      <c r="R207" s="7">
        <v>-0.99000000000000155</v>
      </c>
      <c r="S207" s="7">
        <v>-0.99666666666666592</v>
      </c>
      <c r="T207" s="7">
        <v>-1</v>
      </c>
      <c r="U207" s="1" t="s">
        <v>1116</v>
      </c>
      <c r="W207" s="1">
        <v>554121</v>
      </c>
    </row>
    <row r="208" spans="1:23" x14ac:dyDescent="0.25">
      <c r="A208" s="76">
        <v>3</v>
      </c>
      <c r="B208" s="76" t="s">
        <v>54</v>
      </c>
      <c r="C208" s="76">
        <v>2002</v>
      </c>
      <c r="D208" s="76" t="str">
        <f t="shared" si="6"/>
        <v>A02N</v>
      </c>
      <c r="E208" s="76" t="s">
        <v>107</v>
      </c>
      <c r="F208" s="77" t="s">
        <v>109</v>
      </c>
      <c r="G208" s="78">
        <v>0.83011942482702794</v>
      </c>
      <c r="H208" s="79">
        <v>37431</v>
      </c>
      <c r="I208" s="79">
        <v>42074</v>
      </c>
      <c r="J208" s="3">
        <f t="shared" si="14"/>
        <v>13</v>
      </c>
      <c r="K208" s="7">
        <v>-5.6813138038171451E-2</v>
      </c>
      <c r="L208" s="7">
        <v>5.333333333332968E-3</v>
      </c>
      <c r="M208" s="7">
        <v>1.3368983957219527E-2</v>
      </c>
      <c r="N208" s="7">
        <v>1.4260249554366666E-2</v>
      </c>
      <c r="O208" s="7">
        <v>8.3333333333333037E-3</v>
      </c>
      <c r="P208" s="7">
        <v>-2.0000000000000795E-2</v>
      </c>
      <c r="Q208" s="7">
        <v>-0.15499999999999914</v>
      </c>
      <c r="R208" s="7">
        <v>-0.98833333333333262</v>
      </c>
      <c r="S208" s="7">
        <v>-0.99666666666666592</v>
      </c>
      <c r="T208" s="7">
        <v>-1</v>
      </c>
      <c r="U208" s="1" t="s">
        <v>1116</v>
      </c>
      <c r="W208" s="1">
        <v>2255571</v>
      </c>
    </row>
    <row r="209" spans="1:23" x14ac:dyDescent="0.25">
      <c r="A209" s="76">
        <v>3</v>
      </c>
      <c r="B209" s="76" t="s">
        <v>54</v>
      </c>
      <c r="C209" s="76">
        <v>2002</v>
      </c>
      <c r="D209" s="76" t="str">
        <f t="shared" si="6"/>
        <v>A02N</v>
      </c>
      <c r="E209" s="76" t="s">
        <v>107</v>
      </c>
      <c r="F209" s="77" t="s">
        <v>110</v>
      </c>
      <c r="G209" s="78">
        <v>0.63792039701313286</v>
      </c>
      <c r="H209" s="79">
        <v>37589</v>
      </c>
      <c r="I209" s="79">
        <v>42080</v>
      </c>
      <c r="J209" s="3">
        <f t="shared" si="14"/>
        <v>13</v>
      </c>
      <c r="K209" s="7">
        <v>-5.9032401242787413E-2</v>
      </c>
      <c r="L209" s="7">
        <v>-4.4444444444445841E-3</v>
      </c>
      <c r="M209" s="7">
        <v>-1.2477718360071166E-2</v>
      </c>
      <c r="N209" s="7">
        <v>-1.5597147950089041E-2</v>
      </c>
      <c r="O209" s="7">
        <v>-8.5000000000000298E-2</v>
      </c>
      <c r="P209" s="7">
        <v>-0.28166666666666629</v>
      </c>
      <c r="Q209" s="7">
        <v>-0.99333333333333373</v>
      </c>
      <c r="R209" s="7">
        <v>-0.9916666666666667</v>
      </c>
      <c r="S209" s="7">
        <v>-0.99833333333333296</v>
      </c>
      <c r="T209" s="7">
        <v>-1</v>
      </c>
      <c r="U209" s="1" t="s">
        <v>1116</v>
      </c>
      <c r="W209" s="1">
        <v>1925105</v>
      </c>
    </row>
    <row r="210" spans="1:23" x14ac:dyDescent="0.25">
      <c r="A210" s="76">
        <v>3</v>
      </c>
      <c r="B210" s="76" t="s">
        <v>54</v>
      </c>
      <c r="C210" s="76">
        <v>2002</v>
      </c>
      <c r="D210" s="76" t="str">
        <f t="shared" ref="D210:D233" si="15">LEFT(F210,4)</f>
        <v>A02N</v>
      </c>
      <c r="E210" s="76" t="s">
        <v>107</v>
      </c>
      <c r="F210" s="77" t="s">
        <v>111</v>
      </c>
      <c r="G210" s="78">
        <v>0.84173652990759784</v>
      </c>
      <c r="H210" s="79">
        <v>37893</v>
      </c>
      <c r="I210" s="79">
        <v>37953</v>
      </c>
      <c r="J210" s="3" t="str">
        <f t="shared" si="14"/>
        <v/>
      </c>
      <c r="K210" s="7">
        <v>-3.8171327119396414E-2</v>
      </c>
      <c r="L210" s="7">
        <v>1.8222222222222362E-2</v>
      </c>
      <c r="M210" s="7">
        <v>9.8039215686271941E-3</v>
      </c>
      <c r="N210" s="7">
        <v>2.049910873440286E-2</v>
      </c>
      <c r="O210" s="7">
        <v>1.5000000000001457E-2</v>
      </c>
      <c r="P210" s="7">
        <v>-1.166666666666738E-2</v>
      </c>
      <c r="Q210" s="7">
        <v>-0.125</v>
      </c>
      <c r="R210" s="7">
        <v>-0.95500000000000307</v>
      </c>
      <c r="S210" s="7">
        <v>-0.99666666666666592</v>
      </c>
      <c r="T210" s="7">
        <v>-1</v>
      </c>
      <c r="U210" s="1" t="s">
        <v>1116</v>
      </c>
      <c r="W210" s="1">
        <v>3809421</v>
      </c>
    </row>
    <row r="211" spans="1:23" x14ac:dyDescent="0.25">
      <c r="A211" s="76">
        <v>3</v>
      </c>
      <c r="B211" s="76" t="s">
        <v>54</v>
      </c>
      <c r="C211" s="76">
        <v>2002</v>
      </c>
      <c r="D211" s="76" t="str">
        <f t="shared" si="15"/>
        <v>A02N</v>
      </c>
      <c r="E211" s="76" t="s">
        <v>107</v>
      </c>
      <c r="F211" s="77" t="s">
        <v>112</v>
      </c>
      <c r="G211" s="78">
        <v>0.66260761413872449</v>
      </c>
      <c r="H211" s="79">
        <v>37482</v>
      </c>
      <c r="I211" s="79">
        <v>42080</v>
      </c>
      <c r="J211" s="3">
        <f t="shared" si="14"/>
        <v>13</v>
      </c>
      <c r="K211" s="7">
        <v>-2.9738126941855847E-2</v>
      </c>
      <c r="L211" s="7">
        <v>3.8222222222221713E-2</v>
      </c>
      <c r="M211" s="7">
        <v>3.1194295900178748E-2</v>
      </c>
      <c r="N211" s="7">
        <v>1.4260249554366666E-2</v>
      </c>
      <c r="O211" s="7">
        <v>-2.4999999999998357E-2</v>
      </c>
      <c r="P211" s="7">
        <v>-0.27500000000000013</v>
      </c>
      <c r="Q211" s="7">
        <v>-0.995</v>
      </c>
      <c r="R211" s="7">
        <v>-0.99333333333333351</v>
      </c>
      <c r="S211" s="7">
        <v>-0.99833333333333318</v>
      </c>
      <c r="T211" s="7">
        <v>-1</v>
      </c>
      <c r="U211" s="1" t="s">
        <v>1116</v>
      </c>
      <c r="W211" s="1">
        <v>1696981</v>
      </c>
    </row>
    <row r="212" spans="1:23" x14ac:dyDescent="0.25">
      <c r="A212" s="76">
        <v>3</v>
      </c>
      <c r="B212" s="76" t="s">
        <v>54</v>
      </c>
      <c r="C212" s="76">
        <v>2002</v>
      </c>
      <c r="D212" s="76" t="str">
        <f t="shared" si="15"/>
        <v>A02N</v>
      </c>
      <c r="E212" s="76" t="s">
        <v>107</v>
      </c>
      <c r="F212" s="77" t="s">
        <v>113</v>
      </c>
      <c r="G212" s="78">
        <v>0.80421612021784372</v>
      </c>
      <c r="H212" s="79">
        <v>37470</v>
      </c>
      <c r="I212" s="79">
        <v>42060</v>
      </c>
      <c r="J212" s="3">
        <f t="shared" si="14"/>
        <v>13</v>
      </c>
      <c r="K212" s="7">
        <v>-6.0363959165557923E-2</v>
      </c>
      <c r="L212" s="7">
        <v>-4.8888888888888316E-3</v>
      </c>
      <c r="M212" s="7">
        <v>4.4563279857401383E-4</v>
      </c>
      <c r="N212" s="7">
        <v>5.3475935828877219E-3</v>
      </c>
      <c r="O212" s="7">
        <v>-1.6666666666671492E-3</v>
      </c>
      <c r="P212" s="7">
        <v>-3.8333333333332553E-2</v>
      </c>
      <c r="Q212" s="7">
        <v>-0.29000000000000159</v>
      </c>
      <c r="R212" s="7">
        <v>-0.98999999999999966</v>
      </c>
      <c r="S212" s="7">
        <v>-0.99833333333333296</v>
      </c>
      <c r="T212" s="7">
        <v>-1</v>
      </c>
      <c r="U212" s="1" t="s">
        <v>1116</v>
      </c>
      <c r="W212" s="1">
        <v>1900463</v>
      </c>
    </row>
    <row r="213" spans="1:23" x14ac:dyDescent="0.25">
      <c r="A213" s="76">
        <v>3</v>
      </c>
      <c r="B213" s="76" t="s">
        <v>54</v>
      </c>
      <c r="C213" s="76">
        <v>2002</v>
      </c>
      <c r="D213" s="76" t="str">
        <f t="shared" si="15"/>
        <v>A02N</v>
      </c>
      <c r="E213" s="76" t="s">
        <v>107</v>
      </c>
      <c r="F213" s="77" t="s">
        <v>114</v>
      </c>
      <c r="G213" s="78">
        <v>0.88385957742451526</v>
      </c>
      <c r="H213" s="79">
        <v>37491</v>
      </c>
      <c r="I213" s="79">
        <v>42074</v>
      </c>
      <c r="J213" s="3">
        <f t="shared" si="14"/>
        <v>13</v>
      </c>
      <c r="K213" s="7">
        <v>-5.2374611628939083E-2</v>
      </c>
      <c r="L213" s="7">
        <v>3.1111111111110645E-3</v>
      </c>
      <c r="M213" s="7">
        <v>6.6844919786095414E-3</v>
      </c>
      <c r="N213" s="7">
        <v>3.5650623885918886E-3</v>
      </c>
      <c r="O213" s="7">
        <v>4.9999999999992273E-3</v>
      </c>
      <c r="P213" s="7">
        <v>-6.6666666666662655E-3</v>
      </c>
      <c r="Q213" s="7">
        <v>-6.1666666666667425E-2</v>
      </c>
      <c r="R213" s="7">
        <v>-0.42500000000000004</v>
      </c>
      <c r="S213" s="7">
        <v>-0.99666666666666592</v>
      </c>
      <c r="T213" s="7">
        <v>-1</v>
      </c>
      <c r="U213" s="1" t="s">
        <v>1116</v>
      </c>
      <c r="W213" s="1">
        <v>1926748</v>
      </c>
    </row>
    <row r="214" spans="1:23" x14ac:dyDescent="0.25">
      <c r="A214" s="76">
        <v>3</v>
      </c>
      <c r="B214" s="76" t="s">
        <v>54</v>
      </c>
      <c r="C214" s="76">
        <v>2002</v>
      </c>
      <c r="D214" s="76" t="str">
        <f t="shared" si="15"/>
        <v>A02N</v>
      </c>
      <c r="E214" s="76" t="s">
        <v>107</v>
      </c>
      <c r="F214" s="77" t="s">
        <v>115</v>
      </c>
      <c r="G214" s="78">
        <v>0.8367103569505665</v>
      </c>
      <c r="H214" s="79">
        <v>37593</v>
      </c>
      <c r="I214" s="79">
        <v>42076</v>
      </c>
      <c r="J214" s="3">
        <f t="shared" si="14"/>
        <v>13</v>
      </c>
      <c r="K214" s="7">
        <v>-6.8353306702175098E-2</v>
      </c>
      <c r="L214" s="7">
        <v>-1.1999999999999678E-2</v>
      </c>
      <c r="M214" s="7">
        <v>-9.8039215686273051E-3</v>
      </c>
      <c r="N214" s="7">
        <v>3.5650623885910004E-3</v>
      </c>
      <c r="O214" s="7">
        <v>5.000000000003002E-3</v>
      </c>
      <c r="P214" s="7">
        <v>-6.6666666666682639E-3</v>
      </c>
      <c r="Q214" s="7">
        <v>-9.1666666666666563E-2</v>
      </c>
      <c r="R214" s="7">
        <v>-0.97999999999999921</v>
      </c>
      <c r="S214" s="7">
        <v>-0.99833333333333485</v>
      </c>
      <c r="T214" s="7">
        <v>-1</v>
      </c>
      <c r="U214" s="1" t="s">
        <v>1116</v>
      </c>
      <c r="W214" s="1">
        <v>3858022</v>
      </c>
    </row>
    <row r="215" spans="1:23" x14ac:dyDescent="0.25">
      <c r="A215" s="76">
        <v>3</v>
      </c>
      <c r="B215" s="76" t="s">
        <v>54</v>
      </c>
      <c r="C215" s="76">
        <v>2002</v>
      </c>
      <c r="D215" s="76" t="str">
        <f t="shared" si="15"/>
        <v>A02N</v>
      </c>
      <c r="E215" s="76" t="s">
        <v>107</v>
      </c>
      <c r="F215" s="77" t="s">
        <v>116</v>
      </c>
      <c r="G215" s="78">
        <v>0.72953579884669528</v>
      </c>
      <c r="H215" s="79">
        <v>37511</v>
      </c>
      <c r="I215" s="79">
        <v>42075</v>
      </c>
      <c r="J215" s="3">
        <f t="shared" si="14"/>
        <v>13</v>
      </c>
      <c r="K215" s="7">
        <v>-5.3706169551708816E-2</v>
      </c>
      <c r="L215" s="7">
        <v>2.666666666666595E-3</v>
      </c>
      <c r="M215" s="7">
        <v>6.2388591800357496E-3</v>
      </c>
      <c r="N215" s="7">
        <v>-2.2281639928699581E-3</v>
      </c>
      <c r="O215" s="7">
        <v>-1.166666666666738E-2</v>
      </c>
      <c r="P215" s="7">
        <v>-5.1666666666665195E-2</v>
      </c>
      <c r="Q215" s="7">
        <v>-0.86000000000000032</v>
      </c>
      <c r="R215" s="7">
        <v>-0.98999999999999966</v>
      </c>
      <c r="S215" s="7">
        <v>-0.99666666666666781</v>
      </c>
      <c r="T215" s="7">
        <v>-1</v>
      </c>
      <c r="U215" s="1" t="s">
        <v>1116</v>
      </c>
      <c r="W215" s="1">
        <v>1660179</v>
      </c>
    </row>
    <row r="216" spans="1:23" x14ac:dyDescent="0.25">
      <c r="A216" s="76">
        <v>3</v>
      </c>
      <c r="B216" s="76" t="s">
        <v>54</v>
      </c>
      <c r="C216" s="76">
        <v>2002</v>
      </c>
      <c r="D216" s="76" t="str">
        <f t="shared" si="15"/>
        <v>A02N</v>
      </c>
      <c r="E216" s="76" t="s">
        <v>107</v>
      </c>
      <c r="F216" s="77" t="s">
        <v>117</v>
      </c>
      <c r="G216" s="78">
        <v>0.713854883065004</v>
      </c>
      <c r="H216" s="79">
        <v>37536</v>
      </c>
      <c r="I216" s="79">
        <v>37672</v>
      </c>
      <c r="J216" s="3">
        <f t="shared" si="14"/>
        <v>1</v>
      </c>
      <c r="K216" s="7">
        <v>-4.9711495783400061E-2</v>
      </c>
      <c r="L216" s="7">
        <v>8.8888888888889461E-3</v>
      </c>
      <c r="M216" s="7">
        <v>2.7629233511586415E-2</v>
      </c>
      <c r="N216" s="7">
        <v>1.0249554367201652E-2</v>
      </c>
      <c r="O216" s="7">
        <v>-1.166666666666738E-2</v>
      </c>
      <c r="P216" s="7">
        <v>-7.1666666666667767E-2</v>
      </c>
      <c r="Q216" s="7">
        <v>-0.98833333333333262</v>
      </c>
      <c r="R216" s="7">
        <v>-0.99000000000000155</v>
      </c>
      <c r="S216" s="7">
        <v>-0.96499999999999775</v>
      </c>
      <c r="T216" s="7">
        <v>-1</v>
      </c>
      <c r="U216" s="1" t="s">
        <v>1116</v>
      </c>
      <c r="W216" s="1">
        <v>1662996</v>
      </c>
    </row>
    <row r="217" spans="1:23" x14ac:dyDescent="0.25">
      <c r="A217" s="76">
        <v>3</v>
      </c>
      <c r="B217" s="76" t="s">
        <v>54</v>
      </c>
      <c r="C217" s="76">
        <v>2002</v>
      </c>
      <c r="D217" s="76" t="str">
        <f t="shared" si="15"/>
        <v>A02N</v>
      </c>
      <c r="E217" s="76" t="s">
        <v>107</v>
      </c>
      <c r="F217" s="77" t="s">
        <v>118</v>
      </c>
      <c r="G217" s="78">
        <v>0.76396591618904885</v>
      </c>
      <c r="H217" s="79">
        <v>37463</v>
      </c>
      <c r="I217" s="79">
        <v>42062</v>
      </c>
      <c r="J217" s="3">
        <f t="shared" si="14"/>
        <v>13</v>
      </c>
      <c r="K217" s="7">
        <v>-1.3519603424965831E-2</v>
      </c>
      <c r="L217" s="7">
        <v>-1.0388437217705326E-2</v>
      </c>
      <c r="M217" s="7">
        <v>-1.2646793134597822E-2</v>
      </c>
      <c r="N217" s="7">
        <v>-1.3063063063063485E-2</v>
      </c>
      <c r="O217" s="7">
        <v>-5.3333333333332233E-2</v>
      </c>
      <c r="P217" s="7">
        <v>-8.6666666666667447E-2</v>
      </c>
      <c r="Q217" s="7">
        <v>-0.42166666666666586</v>
      </c>
      <c r="R217" s="7">
        <v>-0.99333333333333373</v>
      </c>
      <c r="S217" s="7">
        <v>-0.99500000000000077</v>
      </c>
      <c r="T217" s="7">
        <v>-1</v>
      </c>
      <c r="U217" s="1">
        <v>28</v>
      </c>
      <c r="W217" s="1">
        <v>263338</v>
      </c>
    </row>
    <row r="218" spans="1:23" x14ac:dyDescent="0.25">
      <c r="A218" s="76">
        <v>3</v>
      </c>
      <c r="B218" s="76" t="s">
        <v>54</v>
      </c>
      <c r="C218" s="76">
        <v>2002</v>
      </c>
      <c r="D218" s="76" t="str">
        <f t="shared" si="15"/>
        <v>A02N</v>
      </c>
      <c r="E218" s="76" t="s">
        <v>107</v>
      </c>
      <c r="F218" s="77" t="s">
        <v>119</v>
      </c>
      <c r="G218" s="78">
        <v>0.89536179630790358</v>
      </c>
      <c r="H218" s="79">
        <v>37502</v>
      </c>
      <c r="I218" s="79">
        <v>37565</v>
      </c>
      <c r="J218" s="3" t="str">
        <f t="shared" si="14"/>
        <v/>
      </c>
      <c r="K218" s="7">
        <v>2.3433979269940952E-2</v>
      </c>
      <c r="L218" s="7">
        <v>7.2267389340558985E-3</v>
      </c>
      <c r="M218" s="7">
        <v>1.5808491418247916E-2</v>
      </c>
      <c r="N218" s="7">
        <v>2.0270270270270174E-2</v>
      </c>
      <c r="O218" s="7">
        <v>-2.5000000000000022E-2</v>
      </c>
      <c r="P218" s="7">
        <v>2.3333333333331208E-2</v>
      </c>
      <c r="Q218" s="7">
        <v>-6.8333333333331803E-2</v>
      </c>
      <c r="R218" s="7">
        <v>-0.3383333333333326</v>
      </c>
      <c r="S218" s="7">
        <v>-0.99333333333333562</v>
      </c>
      <c r="T218" s="7">
        <v>-1</v>
      </c>
      <c r="U218" s="1" t="s">
        <v>1116</v>
      </c>
      <c r="W218" s="1">
        <v>1564943</v>
      </c>
    </row>
    <row r="219" spans="1:23" x14ac:dyDescent="0.25">
      <c r="A219" s="76">
        <v>3</v>
      </c>
      <c r="B219" s="76" t="s">
        <v>54</v>
      </c>
      <c r="C219" s="76">
        <v>2002</v>
      </c>
      <c r="D219" s="76" t="str">
        <f t="shared" si="15"/>
        <v>A02N</v>
      </c>
      <c r="E219" s="76" t="s">
        <v>107</v>
      </c>
      <c r="F219" s="77" t="s">
        <v>120</v>
      </c>
      <c r="G219" s="78">
        <v>0.82594349600515549</v>
      </c>
      <c r="H219" s="79">
        <v>37540</v>
      </c>
      <c r="I219" s="79">
        <v>42076</v>
      </c>
      <c r="J219" s="3">
        <f t="shared" si="14"/>
        <v>13</v>
      </c>
      <c r="K219" s="7">
        <v>9.013068949977443E-3</v>
      </c>
      <c r="L219" s="7">
        <v>1.084010840108407E-2</v>
      </c>
      <c r="M219" s="7">
        <v>1.8066847335139968E-2</v>
      </c>
      <c r="N219" s="7">
        <v>-1.3513513513511155E-3</v>
      </c>
      <c r="O219" s="7">
        <v>3.3333333333340764E-3</v>
      </c>
      <c r="P219" s="7">
        <v>-3.8333333333334552E-2</v>
      </c>
      <c r="Q219" s="7">
        <v>-0.16333333333333255</v>
      </c>
      <c r="R219" s="7">
        <v>-0.99333333333333373</v>
      </c>
      <c r="S219" s="7">
        <v>-0.99333333333333373</v>
      </c>
      <c r="T219" s="7">
        <v>-1</v>
      </c>
      <c r="U219" s="1">
        <v>2364</v>
      </c>
      <c r="W219" s="1">
        <v>977411</v>
      </c>
    </row>
    <row r="220" spans="1:23" x14ac:dyDescent="0.25">
      <c r="A220" s="76">
        <v>3</v>
      </c>
      <c r="B220" s="76" t="s">
        <v>54</v>
      </c>
      <c r="C220" s="76">
        <v>2002</v>
      </c>
      <c r="D220" s="76" t="str">
        <f t="shared" si="15"/>
        <v>A02N</v>
      </c>
      <c r="E220" s="76" t="s">
        <v>107</v>
      </c>
      <c r="F220" s="77" t="s">
        <v>121</v>
      </c>
      <c r="G220" s="78">
        <v>0.87689797317409401</v>
      </c>
      <c r="H220" s="79">
        <v>39169</v>
      </c>
      <c r="I220" s="79">
        <v>42080</v>
      </c>
      <c r="J220" s="3">
        <f t="shared" si="14"/>
        <v>8</v>
      </c>
      <c r="K220" s="7">
        <v>1.1716989634970476E-2</v>
      </c>
      <c r="L220" s="7">
        <v>1.2646793134598155E-2</v>
      </c>
      <c r="M220" s="7">
        <v>9.9367660343265829E-3</v>
      </c>
      <c r="N220" s="7">
        <v>5.8558558558565732E-3</v>
      </c>
      <c r="O220" s="7">
        <v>1.6666666666666607E-2</v>
      </c>
      <c r="P220" s="7">
        <v>-8.3333333333334147E-3</v>
      </c>
      <c r="Q220" s="7">
        <v>-9.5000000000000862E-2</v>
      </c>
      <c r="R220" s="7">
        <v>-0.55333333333333412</v>
      </c>
      <c r="S220" s="7">
        <v>-0.99333333333333185</v>
      </c>
      <c r="T220" s="7">
        <v>-1</v>
      </c>
      <c r="U220" s="1" t="s">
        <v>1116</v>
      </c>
      <c r="W220" s="1">
        <v>1758489</v>
      </c>
    </row>
    <row r="221" spans="1:23" x14ac:dyDescent="0.25">
      <c r="A221" s="76">
        <v>3</v>
      </c>
      <c r="B221" s="76" t="s">
        <v>54</v>
      </c>
      <c r="C221" s="76">
        <v>2002</v>
      </c>
      <c r="D221" s="76" t="str">
        <f t="shared" si="15"/>
        <v>A02N</v>
      </c>
      <c r="E221" s="76" t="s">
        <v>107</v>
      </c>
      <c r="F221" s="77" t="s">
        <v>122</v>
      </c>
      <c r="G221" s="78">
        <v>0.83075203646344653</v>
      </c>
      <c r="H221" s="79">
        <v>37545</v>
      </c>
      <c r="I221" s="79">
        <v>42076</v>
      </c>
      <c r="J221" s="3">
        <f t="shared" si="14"/>
        <v>13</v>
      </c>
      <c r="K221" s="7">
        <v>3.1545741324927601E-3</v>
      </c>
      <c r="L221" s="7">
        <v>1.2646793134598378E-2</v>
      </c>
      <c r="M221" s="7">
        <v>1.4453477868112019E-2</v>
      </c>
      <c r="N221" s="7">
        <v>3.6036036036035668E-3</v>
      </c>
      <c r="O221" s="7">
        <v>7.9999999999999183E-2</v>
      </c>
      <c r="P221" s="7">
        <v>-9.1666666666666563E-2</v>
      </c>
      <c r="Q221" s="7">
        <v>-0.1649999999999997</v>
      </c>
      <c r="R221" s="7">
        <v>-0.99333333333333373</v>
      </c>
      <c r="S221" s="7">
        <v>-0.99333333333333185</v>
      </c>
      <c r="T221" s="7">
        <v>-1</v>
      </c>
      <c r="U221" s="1" t="s">
        <v>1116</v>
      </c>
      <c r="W221" s="1">
        <v>1562721</v>
      </c>
    </row>
    <row r="222" spans="1:23" x14ac:dyDescent="0.25">
      <c r="A222" s="76">
        <v>3</v>
      </c>
      <c r="B222" s="76" t="s">
        <v>54</v>
      </c>
      <c r="C222" s="76">
        <v>2002</v>
      </c>
      <c r="D222" s="76" t="str">
        <f t="shared" si="15"/>
        <v>A02N</v>
      </c>
      <c r="E222" s="76" t="s">
        <v>107</v>
      </c>
      <c r="F222" s="77" t="s">
        <v>123</v>
      </c>
      <c r="G222" s="78">
        <v>0.80111122072149088</v>
      </c>
      <c r="H222" s="79">
        <v>37446</v>
      </c>
      <c r="I222" s="79">
        <v>42075</v>
      </c>
      <c r="J222" s="3">
        <f t="shared" si="14"/>
        <v>13</v>
      </c>
      <c r="K222" s="7">
        <v>1.5772870662460692E-2</v>
      </c>
      <c r="L222" s="7">
        <v>2.7551942186088585E-2</v>
      </c>
      <c r="M222" s="7">
        <v>2.2583559168927181E-3</v>
      </c>
      <c r="N222" s="7">
        <v>1.4414414414414267E-2</v>
      </c>
      <c r="O222" s="7">
        <v>8.3333333333333037E-3</v>
      </c>
      <c r="P222" s="7">
        <v>-4.6666666666667744E-2</v>
      </c>
      <c r="Q222" s="7">
        <v>-0.369999999999997</v>
      </c>
      <c r="R222" s="7">
        <v>-0.99333333333333562</v>
      </c>
      <c r="S222" s="7">
        <v>-0.99666666666666592</v>
      </c>
      <c r="T222" s="7">
        <v>-1</v>
      </c>
      <c r="U222" s="1" t="s">
        <v>1116</v>
      </c>
      <c r="W222" s="1">
        <v>1865056</v>
      </c>
    </row>
    <row r="223" spans="1:23" x14ac:dyDescent="0.25">
      <c r="A223" s="76">
        <v>3</v>
      </c>
      <c r="B223" s="76" t="s">
        <v>54</v>
      </c>
      <c r="C223" s="76">
        <v>2002</v>
      </c>
      <c r="D223" s="76" t="str">
        <f t="shared" si="15"/>
        <v>A02N</v>
      </c>
      <c r="E223" s="76" t="s">
        <v>107</v>
      </c>
      <c r="F223" s="77" t="s">
        <v>124</v>
      </c>
      <c r="G223" s="78">
        <v>0.77448391880494338</v>
      </c>
      <c r="H223" s="79">
        <v>37474</v>
      </c>
      <c r="I223" s="79">
        <v>42074</v>
      </c>
      <c r="J223" s="3">
        <f t="shared" si="14"/>
        <v>13</v>
      </c>
      <c r="K223" s="7">
        <v>2.2983325822442557E-2</v>
      </c>
      <c r="L223" s="7">
        <v>3.2068654019873577E-2</v>
      </c>
      <c r="M223" s="7">
        <v>3.3875338753386997E-2</v>
      </c>
      <c r="N223" s="7">
        <v>2.5675675675675524E-2</v>
      </c>
      <c r="O223" s="7">
        <v>2.4999999999999911E-2</v>
      </c>
      <c r="P223" s="7">
        <v>-3.499999999999992E-2</v>
      </c>
      <c r="Q223" s="7">
        <v>-0.67166666666666686</v>
      </c>
      <c r="R223" s="7">
        <v>-0.99333333333333329</v>
      </c>
      <c r="S223" s="7">
        <v>-0.99499999999999977</v>
      </c>
      <c r="T223" s="7">
        <v>-1</v>
      </c>
      <c r="U223" s="1" t="s">
        <v>1116</v>
      </c>
      <c r="W223" s="1">
        <v>1661302</v>
      </c>
    </row>
    <row r="224" spans="1:23" x14ac:dyDescent="0.25">
      <c r="A224" s="76">
        <v>3</v>
      </c>
      <c r="B224" s="76" t="s">
        <v>54</v>
      </c>
      <c r="C224" s="76">
        <v>2002</v>
      </c>
      <c r="D224" s="76" t="str">
        <f t="shared" si="15"/>
        <v>A02N</v>
      </c>
      <c r="E224" s="76" t="s">
        <v>107</v>
      </c>
      <c r="F224" s="77" t="s">
        <v>125</v>
      </c>
      <c r="G224" s="78">
        <v>0.81754822348080947</v>
      </c>
      <c r="H224" s="79">
        <v>37462</v>
      </c>
      <c r="I224" s="79">
        <v>42062</v>
      </c>
      <c r="J224" s="3">
        <f t="shared" si="14"/>
        <v>13</v>
      </c>
      <c r="K224" s="7">
        <v>2.5236593059936752E-2</v>
      </c>
      <c r="L224" s="7">
        <v>2.3486901535681559E-2</v>
      </c>
      <c r="M224" s="7">
        <v>2.3486901535682669E-2</v>
      </c>
      <c r="N224" s="7">
        <v>2.7027027027024531E-3</v>
      </c>
      <c r="O224" s="7">
        <v>3.3333333333340764E-3</v>
      </c>
      <c r="P224" s="7">
        <v>-2.8333333333333988E-2</v>
      </c>
      <c r="Q224" s="7">
        <v>-0.26833333333333187</v>
      </c>
      <c r="R224" s="7">
        <v>-0.99333333333333562</v>
      </c>
      <c r="S224" s="7">
        <v>-0.99666666666666592</v>
      </c>
      <c r="T224" s="7">
        <v>-1</v>
      </c>
      <c r="U224" s="1" t="s">
        <v>1116</v>
      </c>
      <c r="W224" s="1">
        <v>1875132</v>
      </c>
    </row>
    <row r="225" spans="1:23" x14ac:dyDescent="0.25">
      <c r="A225" s="76">
        <v>3</v>
      </c>
      <c r="B225" s="76" t="s">
        <v>54</v>
      </c>
      <c r="C225" s="76">
        <v>2002</v>
      </c>
      <c r="D225" s="76" t="str">
        <f t="shared" si="15"/>
        <v>A02N</v>
      </c>
      <c r="E225" s="76" t="s">
        <v>107</v>
      </c>
      <c r="F225" s="77" t="s">
        <v>126</v>
      </c>
      <c r="G225" s="78">
        <v>0.79551541472250742</v>
      </c>
      <c r="H225" s="79">
        <v>37481</v>
      </c>
      <c r="I225" s="79">
        <v>42074</v>
      </c>
      <c r="J225" s="3">
        <f t="shared" si="14"/>
        <v>13</v>
      </c>
      <c r="K225" s="7">
        <v>2.3884632717440457E-2</v>
      </c>
      <c r="L225" s="7">
        <v>2.8906955736224038E-2</v>
      </c>
      <c r="M225" s="7">
        <v>3.79403794037938E-2</v>
      </c>
      <c r="N225" s="7">
        <v>3.1081081081081319E-2</v>
      </c>
      <c r="O225" s="7">
        <v>3.1666666666664289E-2</v>
      </c>
      <c r="P225" s="7">
        <v>-6.3333333333332575E-2</v>
      </c>
      <c r="Q225" s="7">
        <v>-0.46166666666666745</v>
      </c>
      <c r="R225" s="7">
        <v>-0.99333333333333185</v>
      </c>
      <c r="S225" s="7">
        <v>-0.99500000000000077</v>
      </c>
      <c r="T225" s="7">
        <v>-1</v>
      </c>
      <c r="U225" s="1" t="s">
        <v>1116</v>
      </c>
      <c r="W225" s="1">
        <v>2232243</v>
      </c>
    </row>
    <row r="226" spans="1:23" x14ac:dyDescent="0.25">
      <c r="A226" s="76">
        <v>3</v>
      </c>
      <c r="B226" s="76" t="s">
        <v>54</v>
      </c>
      <c r="C226" s="76">
        <v>2002</v>
      </c>
      <c r="D226" s="76" t="str">
        <f t="shared" si="15"/>
        <v>A02N</v>
      </c>
      <c r="E226" s="76" t="s">
        <v>107</v>
      </c>
      <c r="F226" s="77" t="s">
        <v>127</v>
      </c>
      <c r="G226" s="78">
        <v>0.83608631849120685</v>
      </c>
      <c r="H226" s="79">
        <v>37595</v>
      </c>
      <c r="I226" s="79">
        <v>42075</v>
      </c>
      <c r="J226" s="3">
        <f t="shared" si="14"/>
        <v>13</v>
      </c>
      <c r="K226" s="7">
        <v>4.9571879224874493E-3</v>
      </c>
      <c r="L226" s="7">
        <v>-8.5817524841913517E-3</v>
      </c>
      <c r="M226" s="7">
        <v>9.0334236675770896E-4</v>
      </c>
      <c r="N226" s="7">
        <v>-4.5045045045044585E-4</v>
      </c>
      <c r="O226" s="7">
        <v>3.3333333333331883E-3</v>
      </c>
      <c r="P226" s="7">
        <v>1.3333333333333419E-2</v>
      </c>
      <c r="Q226" s="7">
        <v>-0.16000000000000036</v>
      </c>
      <c r="R226" s="7">
        <v>-0.9916666666666667</v>
      </c>
      <c r="S226" s="7">
        <v>-0.99499999999999977</v>
      </c>
      <c r="T226" s="7">
        <v>-1</v>
      </c>
      <c r="U226" s="1" t="s">
        <v>1116</v>
      </c>
      <c r="W226" s="1">
        <v>3095428</v>
      </c>
    </row>
    <row r="227" spans="1:23" x14ac:dyDescent="0.25">
      <c r="A227" s="76">
        <v>3</v>
      </c>
      <c r="B227" s="76" t="s">
        <v>54</v>
      </c>
      <c r="C227" s="76">
        <v>2002</v>
      </c>
      <c r="D227" s="76" t="str">
        <f t="shared" si="15"/>
        <v>A02N</v>
      </c>
      <c r="E227" s="76" t="s">
        <v>107</v>
      </c>
      <c r="F227" s="77" t="s">
        <v>282</v>
      </c>
      <c r="G227" s="78">
        <v>0.8071788299631244</v>
      </c>
      <c r="H227" s="79">
        <v>37466</v>
      </c>
      <c r="I227" s="79">
        <v>42080</v>
      </c>
      <c r="J227" s="3">
        <f t="shared" si="14"/>
        <v>13</v>
      </c>
      <c r="U227" s="1">
        <v>1184</v>
      </c>
      <c r="W227" s="1">
        <v>4138571</v>
      </c>
    </row>
    <row r="228" spans="1:23" x14ac:dyDescent="0.25">
      <c r="A228" s="76">
        <v>3</v>
      </c>
      <c r="B228" s="76" t="s">
        <v>54</v>
      </c>
      <c r="C228" s="76">
        <v>2002</v>
      </c>
      <c r="D228" s="76" t="str">
        <f t="shared" si="15"/>
        <v>A02N</v>
      </c>
      <c r="E228" s="76" t="s">
        <v>107</v>
      </c>
      <c r="F228" s="77" t="s">
        <v>283</v>
      </c>
      <c r="G228" s="78">
        <v>0.7115946748919646</v>
      </c>
      <c r="H228" s="79">
        <v>37792</v>
      </c>
      <c r="I228" s="79">
        <v>38428</v>
      </c>
      <c r="J228" s="3">
        <f t="shared" si="14"/>
        <v>2</v>
      </c>
      <c r="U228" s="1">
        <v>940</v>
      </c>
      <c r="W228" s="1">
        <v>4088247</v>
      </c>
    </row>
    <row r="229" spans="1:23" x14ac:dyDescent="0.25">
      <c r="A229" s="76">
        <v>3</v>
      </c>
      <c r="B229" s="76" t="s">
        <v>54</v>
      </c>
      <c r="C229" s="76">
        <v>2002</v>
      </c>
      <c r="D229" s="76" t="str">
        <f t="shared" si="15"/>
        <v>A02N</v>
      </c>
      <c r="E229" s="76" t="s">
        <v>107</v>
      </c>
      <c r="F229" s="77" t="s">
        <v>284</v>
      </c>
      <c r="G229" s="78">
        <v>0.76642052500000035</v>
      </c>
      <c r="H229" s="79">
        <v>37802</v>
      </c>
      <c r="I229" s="79">
        <v>38133</v>
      </c>
      <c r="J229" s="3">
        <f t="shared" si="14"/>
        <v>1</v>
      </c>
      <c r="U229" s="1">
        <v>2165</v>
      </c>
      <c r="W229" s="1">
        <v>881007</v>
      </c>
    </row>
    <row r="230" spans="1:23" x14ac:dyDescent="0.25">
      <c r="A230" s="76">
        <v>3</v>
      </c>
      <c r="B230" s="76" t="s">
        <v>54</v>
      </c>
      <c r="C230" s="76">
        <v>2002</v>
      </c>
      <c r="D230" s="76" t="str">
        <f t="shared" si="15"/>
        <v>A02N</v>
      </c>
      <c r="E230" s="76" t="s">
        <v>107</v>
      </c>
      <c r="F230" s="77" t="s">
        <v>285</v>
      </c>
      <c r="G230" s="78">
        <v>0.8081972249999998</v>
      </c>
      <c r="H230" s="79">
        <v>37519</v>
      </c>
      <c r="I230" s="79">
        <v>41272</v>
      </c>
      <c r="J230" s="3">
        <f t="shared" si="14"/>
        <v>10</v>
      </c>
      <c r="U230" s="1">
        <v>628</v>
      </c>
      <c r="W230" s="1">
        <v>206024</v>
      </c>
    </row>
    <row r="231" spans="1:23" x14ac:dyDescent="0.25">
      <c r="A231" s="76">
        <v>3</v>
      </c>
      <c r="B231" s="76" t="s">
        <v>54</v>
      </c>
      <c r="C231" s="76">
        <v>2002</v>
      </c>
      <c r="D231" s="76" t="str">
        <f t="shared" si="15"/>
        <v>A02N</v>
      </c>
      <c r="E231" s="76" t="s">
        <v>107</v>
      </c>
      <c r="F231" s="77" t="s">
        <v>286</v>
      </c>
      <c r="G231" s="78">
        <v>0.81798630000000006</v>
      </c>
      <c r="H231" s="79">
        <v>37672</v>
      </c>
      <c r="I231" s="79">
        <v>41251</v>
      </c>
      <c r="J231" s="3">
        <f t="shared" si="14"/>
        <v>9</v>
      </c>
      <c r="U231" s="1">
        <v>2208</v>
      </c>
      <c r="W231" s="1">
        <v>880442</v>
      </c>
    </row>
    <row r="232" spans="1:23" x14ac:dyDescent="0.25">
      <c r="A232" s="76">
        <v>3</v>
      </c>
      <c r="B232" s="76" t="s">
        <v>54</v>
      </c>
      <c r="C232" s="76">
        <v>2002</v>
      </c>
      <c r="D232" s="76" t="str">
        <f t="shared" si="15"/>
        <v>A02N</v>
      </c>
      <c r="E232" s="76" t="s">
        <v>107</v>
      </c>
      <c r="F232" s="77" t="s">
        <v>287</v>
      </c>
      <c r="G232" s="78">
        <v>0.79146581019450024</v>
      </c>
      <c r="H232" s="79">
        <v>37519</v>
      </c>
      <c r="I232" s="79">
        <v>41272</v>
      </c>
      <c r="J232" s="3">
        <f t="shared" si="14"/>
        <v>10</v>
      </c>
      <c r="U232" s="1">
        <v>3421</v>
      </c>
      <c r="W232" s="1">
        <v>431931</v>
      </c>
    </row>
    <row r="233" spans="1:23" x14ac:dyDescent="0.25">
      <c r="A233" s="76">
        <v>3</v>
      </c>
      <c r="B233" s="76" t="s">
        <v>54</v>
      </c>
      <c r="C233" s="76">
        <v>2002</v>
      </c>
      <c r="D233" s="76" t="str">
        <f t="shared" si="15"/>
        <v>A02N</v>
      </c>
      <c r="E233" s="76" t="s">
        <v>107</v>
      </c>
      <c r="F233" s="77" t="s">
        <v>288</v>
      </c>
      <c r="G233" s="78">
        <v>0.84087890492957773</v>
      </c>
      <c r="H233" s="79">
        <v>37641</v>
      </c>
      <c r="I233" s="79">
        <v>41237</v>
      </c>
      <c r="J233" s="3">
        <f t="shared" si="14"/>
        <v>9</v>
      </c>
      <c r="U233" s="1">
        <v>2145</v>
      </c>
      <c r="W233" s="1">
        <v>3688951</v>
      </c>
    </row>
    <row r="234" spans="1:23" x14ac:dyDescent="0.25">
      <c r="A234" s="76">
        <v>3</v>
      </c>
      <c r="B234" s="76" t="s">
        <v>54</v>
      </c>
      <c r="C234" s="76">
        <v>2002</v>
      </c>
      <c r="D234" s="76" t="str">
        <f t="shared" ref="D234:D243" si="16">LEFT(F234,4)</f>
        <v>A02N</v>
      </c>
      <c r="E234" s="76" t="s">
        <v>107</v>
      </c>
      <c r="F234" s="77" t="s">
        <v>465</v>
      </c>
      <c r="G234" s="78">
        <v>0.63437604999999986</v>
      </c>
      <c r="H234" s="79">
        <v>37497</v>
      </c>
      <c r="I234" s="79">
        <v>42205</v>
      </c>
      <c r="J234" s="3">
        <f t="shared" si="14"/>
        <v>13</v>
      </c>
      <c r="K234" s="7">
        <v>-3.2666666666667288E-2</v>
      </c>
      <c r="L234" s="7">
        <v>-2.9333333333333989E-2</v>
      </c>
      <c r="M234" s="7">
        <v>-2.6000000000000578E-2</v>
      </c>
      <c r="N234" s="7">
        <v>-2.5999999999999801E-2</v>
      </c>
      <c r="O234" s="7">
        <v>-4.5000000000000262E-2</v>
      </c>
      <c r="P234" s="7">
        <v>-0.32499999999999996</v>
      </c>
      <c r="Q234" s="7">
        <v>-0.99249999999999972</v>
      </c>
      <c r="R234" s="7">
        <v>-0.99500000000000033</v>
      </c>
      <c r="S234" s="7">
        <v>-1</v>
      </c>
      <c r="T234" s="7">
        <v>-1</v>
      </c>
      <c r="U234" s="1">
        <v>2909</v>
      </c>
      <c r="W234" s="1">
        <v>2196336</v>
      </c>
    </row>
    <row r="235" spans="1:23" x14ac:dyDescent="0.25">
      <c r="A235" s="76">
        <v>3</v>
      </c>
      <c r="B235" s="76" t="s">
        <v>54</v>
      </c>
      <c r="C235" s="76">
        <v>2002</v>
      </c>
      <c r="D235" s="76" t="str">
        <f t="shared" si="16"/>
        <v>A02N</v>
      </c>
      <c r="E235" s="76" t="s">
        <v>107</v>
      </c>
      <c r="F235" s="77" t="s">
        <v>466</v>
      </c>
      <c r="G235" s="78">
        <v>0.6104286000000001</v>
      </c>
      <c r="H235" s="79">
        <v>37496</v>
      </c>
      <c r="I235" s="79">
        <v>42202</v>
      </c>
      <c r="J235" s="3">
        <f t="shared" si="14"/>
        <v>13</v>
      </c>
      <c r="K235" s="7">
        <v>-5.0000000000000044E-2</v>
      </c>
      <c r="L235" s="7">
        <v>-5.2666666666665751E-2</v>
      </c>
      <c r="M235" s="7">
        <v>-6.4000000000000945E-2</v>
      </c>
      <c r="N235" s="7">
        <v>-6.2000000000000055E-2</v>
      </c>
      <c r="O235" s="7">
        <v>-4.2500000000000093E-2</v>
      </c>
      <c r="P235" s="7">
        <v>-0.39499999999999957</v>
      </c>
      <c r="Q235" s="7">
        <v>-0.99500000000000033</v>
      </c>
      <c r="R235" s="7">
        <v>-0.99249999999999972</v>
      </c>
      <c r="S235" s="7">
        <v>-1</v>
      </c>
      <c r="T235" s="7">
        <v>-1</v>
      </c>
      <c r="U235" s="1">
        <v>2930</v>
      </c>
      <c r="W235" s="1">
        <v>2196611</v>
      </c>
    </row>
    <row r="236" spans="1:23" x14ac:dyDescent="0.25">
      <c r="A236" s="76">
        <v>3</v>
      </c>
      <c r="B236" s="76" t="s">
        <v>54</v>
      </c>
      <c r="C236" s="76">
        <v>2002</v>
      </c>
      <c r="D236" s="76" t="str">
        <f t="shared" si="16"/>
        <v>A02N</v>
      </c>
      <c r="E236" s="76" t="s">
        <v>107</v>
      </c>
      <c r="F236" s="77" t="s">
        <v>467</v>
      </c>
      <c r="G236" s="78">
        <v>0.49777158333333316</v>
      </c>
      <c r="H236" s="79">
        <v>37501</v>
      </c>
      <c r="I236" s="79">
        <v>42202</v>
      </c>
      <c r="J236" s="3">
        <f t="shared" si="14"/>
        <v>13</v>
      </c>
      <c r="K236" s="7">
        <v>-0.15000000000000002</v>
      </c>
      <c r="L236" s="7">
        <v>-0.15666666666666662</v>
      </c>
      <c r="M236" s="7">
        <v>-0.16800000000000026</v>
      </c>
      <c r="N236" s="7">
        <v>-0.18733333333333269</v>
      </c>
      <c r="O236" s="7">
        <v>-0.20749999999999891</v>
      </c>
      <c r="P236" s="7">
        <v>-0.58750000000000002</v>
      </c>
      <c r="Q236" s="7">
        <v>-0.99500000000000455</v>
      </c>
      <c r="R236" s="7">
        <v>-0.99499999999999889</v>
      </c>
      <c r="S236" s="7">
        <v>-1</v>
      </c>
      <c r="T236" s="7">
        <v>-1</v>
      </c>
      <c r="U236" s="1">
        <v>2651</v>
      </c>
      <c r="W236" s="1">
        <v>2232383</v>
      </c>
    </row>
    <row r="237" spans="1:23" x14ac:dyDescent="0.25">
      <c r="A237" s="76">
        <v>3</v>
      </c>
      <c r="B237" s="76" t="s">
        <v>54</v>
      </c>
      <c r="C237" s="76">
        <v>2002</v>
      </c>
      <c r="D237" s="76" t="str">
        <f t="shared" si="16"/>
        <v>A02N</v>
      </c>
      <c r="E237" s="76" t="s">
        <v>107</v>
      </c>
      <c r="F237" s="77" t="s">
        <v>468</v>
      </c>
      <c r="G237" s="78">
        <v>0.53296638333333357</v>
      </c>
      <c r="H237" s="79">
        <v>37588</v>
      </c>
      <c r="I237" s="79">
        <v>42205</v>
      </c>
      <c r="J237" s="3">
        <f t="shared" si="14"/>
        <v>13</v>
      </c>
      <c r="K237" s="7">
        <v>-9.6666666666666679E-2</v>
      </c>
      <c r="L237" s="7">
        <v>-0.10666666666666669</v>
      </c>
      <c r="M237" s="7">
        <v>-0.11733333333333351</v>
      </c>
      <c r="N237" s="7">
        <v>-0.13</v>
      </c>
      <c r="O237" s="7">
        <v>-0.21749999999999825</v>
      </c>
      <c r="P237" s="7">
        <v>-0.48750000000000004</v>
      </c>
      <c r="Q237" s="7">
        <v>-0.99500000000000166</v>
      </c>
      <c r="R237" s="7">
        <v>-0.99499999999999889</v>
      </c>
      <c r="S237" s="7">
        <v>-1</v>
      </c>
      <c r="T237" s="7">
        <v>-1</v>
      </c>
      <c r="U237" s="1">
        <v>1716</v>
      </c>
      <c r="W237" s="1">
        <v>2235986</v>
      </c>
    </row>
    <row r="238" spans="1:23" x14ac:dyDescent="0.25">
      <c r="A238" s="76">
        <v>3</v>
      </c>
      <c r="B238" s="76" t="s">
        <v>54</v>
      </c>
      <c r="C238" s="76">
        <v>2002</v>
      </c>
      <c r="D238" s="76" t="str">
        <f t="shared" si="16"/>
        <v>A02N</v>
      </c>
      <c r="E238" s="76" t="s">
        <v>107</v>
      </c>
      <c r="F238" s="77" t="s">
        <v>469</v>
      </c>
      <c r="G238" s="78">
        <v>0.65800629999999982</v>
      </c>
      <c r="H238" s="79">
        <v>37496</v>
      </c>
      <c r="I238" s="79">
        <v>42201</v>
      </c>
      <c r="J238" s="3">
        <f t="shared" si="14"/>
        <v>13</v>
      </c>
      <c r="K238" s="7">
        <v>-0.10333333333333339</v>
      </c>
      <c r="L238" s="7">
        <v>-0.12</v>
      </c>
      <c r="M238" s="7">
        <v>-0.14066666666666638</v>
      </c>
      <c r="N238" s="7">
        <v>-0.17333333333333334</v>
      </c>
      <c r="O238" s="7">
        <v>-0.10250000000000059</v>
      </c>
      <c r="P238" s="7">
        <v>-5.2500000000000546E-2</v>
      </c>
      <c r="Q238" s="7">
        <v>-0.99249999999999827</v>
      </c>
      <c r="R238" s="7">
        <v>-0.99500000000000166</v>
      </c>
      <c r="S238" s="7">
        <v>-1</v>
      </c>
      <c r="T238" s="7">
        <v>-1</v>
      </c>
      <c r="U238" s="1">
        <v>2367</v>
      </c>
      <c r="W238" s="1">
        <v>2199131</v>
      </c>
    </row>
    <row r="239" spans="1:23" x14ac:dyDescent="0.25">
      <c r="A239" s="76">
        <v>3</v>
      </c>
      <c r="B239" s="76" t="s">
        <v>54</v>
      </c>
      <c r="C239" s="76">
        <v>2002</v>
      </c>
      <c r="D239" s="76" t="str">
        <f t="shared" si="16"/>
        <v>A02N</v>
      </c>
      <c r="E239" s="76" t="s">
        <v>107</v>
      </c>
      <c r="F239" s="77" t="s">
        <v>470</v>
      </c>
      <c r="G239" s="78">
        <v>0.52146160000000008</v>
      </c>
      <c r="H239" s="79">
        <v>37501</v>
      </c>
      <c r="I239" s="79">
        <v>42202</v>
      </c>
      <c r="J239" s="3">
        <f t="shared" si="14"/>
        <v>13</v>
      </c>
      <c r="K239" s="7">
        <v>-7.1333333333333582E-2</v>
      </c>
      <c r="L239" s="7">
        <v>-7.8666666666666329E-2</v>
      </c>
      <c r="M239" s="7">
        <v>-7.4000000000000177E-2</v>
      </c>
      <c r="N239" s="7">
        <v>-0.1040000000000002</v>
      </c>
      <c r="O239" s="7">
        <v>-0.23499999999999943</v>
      </c>
      <c r="P239" s="7">
        <v>-0.55250000000000055</v>
      </c>
      <c r="Q239" s="7">
        <v>-0.99250000000000116</v>
      </c>
      <c r="R239" s="7">
        <v>-0.99749999999999661</v>
      </c>
      <c r="S239" s="7">
        <v>-1</v>
      </c>
      <c r="T239" s="7">
        <v>-1</v>
      </c>
      <c r="U239" s="1">
        <v>2938</v>
      </c>
      <c r="W239" s="1">
        <v>2232359</v>
      </c>
    </row>
    <row r="240" spans="1:23" x14ac:dyDescent="0.25">
      <c r="A240" s="76">
        <v>3</v>
      </c>
      <c r="B240" s="76" t="s">
        <v>54</v>
      </c>
      <c r="C240" s="76">
        <v>2002</v>
      </c>
      <c r="D240" s="76" t="str">
        <f t="shared" si="16"/>
        <v>A02N</v>
      </c>
      <c r="E240" s="76" t="s">
        <v>107</v>
      </c>
      <c r="F240" s="77" t="s">
        <v>471</v>
      </c>
      <c r="G240" s="78">
        <v>0.51368279999999999</v>
      </c>
      <c r="H240" s="79">
        <v>37501</v>
      </c>
      <c r="I240" s="79">
        <v>42205</v>
      </c>
      <c r="J240" s="3">
        <f t="shared" si="14"/>
        <v>13</v>
      </c>
      <c r="K240" s="7">
        <v>-0.1106666666666668</v>
      </c>
      <c r="L240" s="7">
        <v>-0.12199999999999966</v>
      </c>
      <c r="M240" s="7">
        <v>-0.14000000000000001</v>
      </c>
      <c r="N240" s="7">
        <v>-0.18000000000000005</v>
      </c>
      <c r="O240" s="7">
        <v>-0.25</v>
      </c>
      <c r="P240" s="7">
        <v>-0.65999999999999948</v>
      </c>
      <c r="Q240" s="7">
        <v>-0.99500000000000166</v>
      </c>
      <c r="R240" s="7">
        <v>-0.49499999999999889</v>
      </c>
      <c r="S240" s="7">
        <v>-1</v>
      </c>
      <c r="T240" s="7">
        <v>-1</v>
      </c>
      <c r="U240" s="1">
        <v>2638</v>
      </c>
      <c r="W240" s="1">
        <v>2236001</v>
      </c>
    </row>
    <row r="241" spans="1:23" x14ac:dyDescent="0.25">
      <c r="A241" s="76">
        <v>3</v>
      </c>
      <c r="B241" s="76" t="s">
        <v>54</v>
      </c>
      <c r="C241" s="76">
        <v>2002</v>
      </c>
      <c r="D241" s="76" t="str">
        <f t="shared" si="16"/>
        <v>A02N</v>
      </c>
      <c r="E241" s="76" t="s">
        <v>107</v>
      </c>
      <c r="F241" s="77" t="s">
        <v>472</v>
      </c>
      <c r="G241" s="78">
        <v>0.4717868666666668</v>
      </c>
      <c r="H241" s="79">
        <v>37602</v>
      </c>
      <c r="I241" s="79">
        <v>42205</v>
      </c>
      <c r="J241" s="3">
        <f t="shared" si="14"/>
        <v>13</v>
      </c>
      <c r="K241" s="7">
        <v>-4.8666666666666414E-2</v>
      </c>
      <c r="L241" s="7">
        <v>-6.8666666666666321E-2</v>
      </c>
      <c r="M241" s="7">
        <v>-7.0666666666667544E-2</v>
      </c>
      <c r="N241" s="7">
        <v>-9.3999999999999417E-2</v>
      </c>
      <c r="O241" s="7">
        <v>-0.11999999999999889</v>
      </c>
      <c r="P241" s="7">
        <v>-0.88249999999999884</v>
      </c>
      <c r="Q241" s="7">
        <v>-0.99500000000000455</v>
      </c>
      <c r="R241" s="7">
        <v>-0.99499999999999889</v>
      </c>
      <c r="S241" s="7">
        <v>-1</v>
      </c>
      <c r="T241" s="7">
        <v>-1</v>
      </c>
      <c r="U241" s="1">
        <v>3342</v>
      </c>
      <c r="W241" s="1">
        <v>2244578</v>
      </c>
    </row>
    <row r="242" spans="1:23" x14ac:dyDescent="0.25">
      <c r="A242" s="76">
        <v>3</v>
      </c>
      <c r="B242" s="76" t="s">
        <v>54</v>
      </c>
      <c r="C242" s="76">
        <v>2002</v>
      </c>
      <c r="D242" s="76" t="str">
        <f t="shared" si="16"/>
        <v>A02N</v>
      </c>
      <c r="E242" s="76" t="s">
        <v>107</v>
      </c>
      <c r="F242" s="77" t="s">
        <v>473</v>
      </c>
      <c r="G242" s="78">
        <v>0.58069723333333345</v>
      </c>
      <c r="H242" s="79">
        <v>37493</v>
      </c>
      <c r="I242" s="79">
        <v>42205</v>
      </c>
      <c r="J242" s="3">
        <f t="shared" si="14"/>
        <v>13</v>
      </c>
      <c r="K242" s="7">
        <v>-0.17266666666666575</v>
      </c>
      <c r="L242" s="7">
        <v>-0.17333333333333334</v>
      </c>
      <c r="M242" s="7">
        <v>-0.18400000000000094</v>
      </c>
      <c r="N242" s="7">
        <v>-0.26533333333333298</v>
      </c>
      <c r="O242" s="7">
        <v>-0.30500000000000116</v>
      </c>
      <c r="P242" s="7">
        <v>-0.36499999999999777</v>
      </c>
      <c r="Q242" s="7">
        <v>-0.49499999999999889</v>
      </c>
      <c r="R242" s="7">
        <v>-0.99500000000000455</v>
      </c>
      <c r="S242" s="7">
        <v>-1</v>
      </c>
      <c r="T242" s="7">
        <v>-1</v>
      </c>
      <c r="U242" s="1">
        <v>3241</v>
      </c>
      <c r="W242" s="1">
        <v>2244561</v>
      </c>
    </row>
    <row r="243" spans="1:23" x14ac:dyDescent="0.25">
      <c r="A243" s="76">
        <v>3</v>
      </c>
      <c r="B243" s="76" t="s">
        <v>54</v>
      </c>
      <c r="C243" s="76">
        <v>2002</v>
      </c>
      <c r="D243" s="76" t="str">
        <f t="shared" si="16"/>
        <v>A02N</v>
      </c>
      <c r="E243" s="76" t="s">
        <v>107</v>
      </c>
      <c r="F243" s="77" t="s">
        <v>474</v>
      </c>
      <c r="G243" s="78">
        <v>0.48212913333333329</v>
      </c>
      <c r="H243" s="79">
        <v>37596</v>
      </c>
      <c r="I243" s="79">
        <v>42205</v>
      </c>
      <c r="J243" s="3">
        <f t="shared" si="14"/>
        <v>13</v>
      </c>
      <c r="K243" s="7">
        <v>-4.4000000000000927E-2</v>
      </c>
      <c r="L243" s="7">
        <v>-2.5999999999999135E-2</v>
      </c>
      <c r="M243" s="7">
        <v>-9.3333333333339707E-3</v>
      </c>
      <c r="N243" s="7">
        <v>-0.27400000000000035</v>
      </c>
      <c r="O243" s="7">
        <v>-0.31750000000000012</v>
      </c>
      <c r="P243" s="7">
        <v>-0.62250000000000016</v>
      </c>
      <c r="Q243" s="7">
        <v>-0.99499999999999955</v>
      </c>
      <c r="R243" s="7">
        <v>-0.99750000000000016</v>
      </c>
      <c r="S243" s="7">
        <v>-1</v>
      </c>
      <c r="T243" s="7">
        <v>-1</v>
      </c>
      <c r="U243" s="1">
        <v>2301</v>
      </c>
      <c r="W243" s="1">
        <v>2244225</v>
      </c>
    </row>
    <row r="244" spans="1:23" x14ac:dyDescent="0.25">
      <c r="A244" s="76">
        <v>3</v>
      </c>
      <c r="B244" s="76" t="s">
        <v>54</v>
      </c>
      <c r="C244" s="76">
        <v>2002</v>
      </c>
      <c r="D244" s="76" t="str">
        <f t="shared" ref="D244:D253" si="17">LEFT(F244,4)</f>
        <v>A02N</v>
      </c>
      <c r="E244" s="76" t="s">
        <v>107</v>
      </c>
      <c r="F244" s="77" t="s">
        <v>485</v>
      </c>
      <c r="G244" s="78">
        <v>0.8395064333333333</v>
      </c>
      <c r="H244" s="79">
        <v>37495</v>
      </c>
      <c r="I244" s="79">
        <v>42201</v>
      </c>
      <c r="J244" s="3">
        <f t="shared" si="14"/>
        <v>13</v>
      </c>
      <c r="K244" s="7">
        <v>1.266666666666727E-2</v>
      </c>
      <c r="L244" s="7">
        <v>1.600000000000068E-2</v>
      </c>
      <c r="M244" s="7">
        <v>2.2666666666666613E-2</v>
      </c>
      <c r="N244" s="7">
        <v>1.2000000000000011E-2</v>
      </c>
      <c r="O244" s="7">
        <v>1.2499999999999956E-2</v>
      </c>
      <c r="P244" s="7">
        <v>3.9999999999999147E-2</v>
      </c>
      <c r="Q244" s="7">
        <v>-0.23499999999999943</v>
      </c>
      <c r="R244" s="7">
        <v>-0.99249999999999972</v>
      </c>
      <c r="S244" s="7">
        <v>-1</v>
      </c>
      <c r="T244" s="7">
        <v>-1</v>
      </c>
      <c r="U244" s="1">
        <v>2170</v>
      </c>
      <c r="W244" s="1">
        <v>2202131</v>
      </c>
    </row>
    <row r="245" spans="1:23" x14ac:dyDescent="0.25">
      <c r="A245" s="76">
        <v>3</v>
      </c>
      <c r="B245" s="76" t="s">
        <v>54</v>
      </c>
      <c r="C245" s="76">
        <v>2002</v>
      </c>
      <c r="D245" s="76" t="str">
        <f t="shared" si="17"/>
        <v>A02N</v>
      </c>
      <c r="E245" s="76" t="s">
        <v>107</v>
      </c>
      <c r="F245" s="77" t="s">
        <v>486</v>
      </c>
      <c r="G245" s="78">
        <v>0.79621913333333405</v>
      </c>
      <c r="H245" s="79">
        <v>37497</v>
      </c>
      <c r="I245" s="79">
        <v>42202</v>
      </c>
      <c r="J245" s="3">
        <f t="shared" si="14"/>
        <v>13</v>
      </c>
      <c r="K245" s="7">
        <v>1.7333333333334311E-2</v>
      </c>
      <c r="L245" s="7">
        <v>1.8666666666666387E-2</v>
      </c>
      <c r="M245" s="7">
        <v>1.3333333333333419E-2</v>
      </c>
      <c r="N245" s="7">
        <v>1.7333333333332757E-2</v>
      </c>
      <c r="O245" s="7">
        <v>-5.2499999999997771E-2</v>
      </c>
      <c r="P245" s="7">
        <v>-3.7499999999999978E-2</v>
      </c>
      <c r="Q245" s="7">
        <v>-0.31499999999999773</v>
      </c>
      <c r="R245" s="7">
        <v>-0.99250000000000116</v>
      </c>
      <c r="S245" s="7">
        <v>-1</v>
      </c>
      <c r="T245" s="7">
        <v>-1</v>
      </c>
      <c r="U245" s="1">
        <v>2604</v>
      </c>
      <c r="W245" s="1">
        <v>2238012</v>
      </c>
    </row>
    <row r="246" spans="1:23" x14ac:dyDescent="0.25">
      <c r="A246" s="76">
        <v>3</v>
      </c>
      <c r="B246" s="76" t="s">
        <v>54</v>
      </c>
      <c r="C246" s="76">
        <v>2002</v>
      </c>
      <c r="D246" s="76" t="str">
        <f t="shared" si="17"/>
        <v>A02N</v>
      </c>
      <c r="E246" s="76" t="s">
        <v>107</v>
      </c>
      <c r="F246" s="77" t="s">
        <v>487</v>
      </c>
      <c r="G246" s="78">
        <v>0.81119284999999985</v>
      </c>
      <c r="H246" s="79">
        <v>37495</v>
      </c>
      <c r="I246" s="79">
        <v>42201</v>
      </c>
      <c r="J246" s="3">
        <f t="shared" si="14"/>
        <v>13</v>
      </c>
      <c r="K246" s="7">
        <v>0</v>
      </c>
      <c r="L246" s="7">
        <v>-6.6666666666681529E-4</v>
      </c>
      <c r="M246" s="7">
        <v>2.0000000000004459E-3</v>
      </c>
      <c r="N246" s="7">
        <v>-6.0000000000005604E-3</v>
      </c>
      <c r="O246" s="7">
        <v>-9.9999999999965672E-3</v>
      </c>
      <c r="P246" s="7">
        <v>-4.5000000000004592E-2</v>
      </c>
      <c r="Q246" s="7">
        <v>-0.22249999999999659</v>
      </c>
      <c r="R246" s="7">
        <v>-0.99000000000000343</v>
      </c>
      <c r="S246" s="7">
        <v>-1</v>
      </c>
      <c r="T246" s="7">
        <v>-1</v>
      </c>
      <c r="U246" s="1">
        <v>3362</v>
      </c>
      <c r="W246" s="1">
        <v>2202123</v>
      </c>
    </row>
    <row r="247" spans="1:23" x14ac:dyDescent="0.25">
      <c r="A247" s="76">
        <v>3</v>
      </c>
      <c r="B247" s="76" t="s">
        <v>54</v>
      </c>
      <c r="C247" s="76">
        <v>2002</v>
      </c>
      <c r="D247" s="76" t="str">
        <f t="shared" si="17"/>
        <v>A02N</v>
      </c>
      <c r="E247" s="76" t="s">
        <v>107</v>
      </c>
      <c r="F247" s="77" t="s">
        <v>488</v>
      </c>
      <c r="G247" s="78">
        <v>0.81563628333333338</v>
      </c>
      <c r="H247" s="79">
        <v>37497</v>
      </c>
      <c r="I247" s="79">
        <v>42202</v>
      </c>
      <c r="J247" s="3">
        <f t="shared" si="14"/>
        <v>13</v>
      </c>
      <c r="K247" s="7">
        <v>1.7333333333333423E-2</v>
      </c>
      <c r="L247" s="7">
        <v>1.8666666666666387E-2</v>
      </c>
      <c r="M247" s="7">
        <v>2.3333333333333428E-2</v>
      </c>
      <c r="N247" s="7">
        <v>1.3333333333333419E-2</v>
      </c>
      <c r="O247" s="7">
        <v>1.2499999999999956E-2</v>
      </c>
      <c r="P247" s="7">
        <v>-3.0000000000001137E-2</v>
      </c>
      <c r="Q247" s="7">
        <v>-0.29749999999999654</v>
      </c>
      <c r="R247" s="7">
        <v>-0.99250000000000116</v>
      </c>
      <c r="S247" s="7">
        <v>-1</v>
      </c>
      <c r="T247" s="7">
        <v>-1</v>
      </c>
      <c r="U247" s="1">
        <v>1689</v>
      </c>
      <c r="W247" s="1">
        <v>2238195</v>
      </c>
    </row>
    <row r="248" spans="1:23" x14ac:dyDescent="0.25">
      <c r="A248" s="76">
        <v>3</v>
      </c>
      <c r="B248" s="76" t="s">
        <v>54</v>
      </c>
      <c r="C248" s="76">
        <v>2002</v>
      </c>
      <c r="D248" s="76" t="str">
        <f t="shared" si="17"/>
        <v>A02N</v>
      </c>
      <c r="E248" s="76" t="s">
        <v>107</v>
      </c>
      <c r="F248" s="77" t="s">
        <v>489</v>
      </c>
      <c r="G248" s="78">
        <v>0.82415791666666705</v>
      </c>
      <c r="H248" s="79">
        <v>37559</v>
      </c>
      <c r="I248" s="79">
        <v>42201</v>
      </c>
      <c r="J248" s="3">
        <f t="shared" si="14"/>
        <v>13</v>
      </c>
      <c r="K248" s="7">
        <v>1.8666666666666387E-2</v>
      </c>
      <c r="L248" s="7">
        <v>2.200000000000002E-2</v>
      </c>
      <c r="M248" s="7">
        <v>3.7333333333333218E-2</v>
      </c>
      <c r="N248" s="7">
        <v>2.1999999999999797E-2</v>
      </c>
      <c r="O248" s="7">
        <v>1.7500000000001181E-2</v>
      </c>
      <c r="P248" s="7">
        <v>-2.2499999999999409E-2</v>
      </c>
      <c r="Q248" s="7">
        <v>-0.26750000000000118</v>
      </c>
      <c r="R248" s="7">
        <v>-0.99249999999999827</v>
      </c>
      <c r="S248" s="7">
        <v>-1</v>
      </c>
      <c r="T248" s="7">
        <v>-1</v>
      </c>
      <c r="U248" s="1">
        <v>3142</v>
      </c>
      <c r="W248" s="1">
        <v>1751379</v>
      </c>
    </row>
    <row r="249" spans="1:23" x14ac:dyDescent="0.25">
      <c r="A249" s="76">
        <v>3</v>
      </c>
      <c r="B249" s="76" t="s">
        <v>54</v>
      </c>
      <c r="C249" s="76">
        <v>2002</v>
      </c>
      <c r="D249" s="76" t="str">
        <f t="shared" si="17"/>
        <v>A02N</v>
      </c>
      <c r="E249" s="76" t="s">
        <v>107</v>
      </c>
      <c r="F249" s="77" t="s">
        <v>490</v>
      </c>
      <c r="G249" s="78">
        <v>0.83321721666666648</v>
      </c>
      <c r="H249" s="79">
        <v>37560</v>
      </c>
      <c r="I249" s="79">
        <v>42201</v>
      </c>
      <c r="J249" s="3">
        <f t="shared" si="14"/>
        <v>13</v>
      </c>
      <c r="K249" s="7">
        <v>-4.0000000000001146E-3</v>
      </c>
      <c r="L249" s="7">
        <v>0</v>
      </c>
      <c r="M249" s="7">
        <v>1.8000000000000016E-2</v>
      </c>
      <c r="N249" s="7">
        <v>2.5333333333333874E-2</v>
      </c>
      <c r="O249" s="7">
        <v>-2.5000000000006128E-3</v>
      </c>
      <c r="P249" s="7">
        <v>-5.0000000000000044E-2</v>
      </c>
      <c r="Q249" s="7">
        <v>-7.2499999999999454E-2</v>
      </c>
      <c r="R249" s="7">
        <v>-0.99250000000000116</v>
      </c>
      <c r="S249" s="7">
        <v>-1</v>
      </c>
      <c r="T249" s="7">
        <v>-1</v>
      </c>
      <c r="U249" s="1">
        <v>3252</v>
      </c>
      <c r="W249" s="1">
        <v>1749617</v>
      </c>
    </row>
    <row r="250" spans="1:23" x14ac:dyDescent="0.25">
      <c r="A250" s="76">
        <v>3</v>
      </c>
      <c r="B250" s="76" t="s">
        <v>54</v>
      </c>
      <c r="C250" s="76">
        <v>2002</v>
      </c>
      <c r="D250" s="76" t="str">
        <f t="shared" si="17"/>
        <v>A02N</v>
      </c>
      <c r="E250" s="76" t="s">
        <v>107</v>
      </c>
      <c r="F250" s="77" t="s">
        <v>491</v>
      </c>
      <c r="G250" s="78">
        <v>0.80109553333333361</v>
      </c>
      <c r="H250" s="79">
        <v>42200</v>
      </c>
      <c r="I250" s="79">
        <v>42200</v>
      </c>
      <c r="J250" s="3" t="str">
        <f t="shared" si="14"/>
        <v/>
      </c>
      <c r="K250" s="7">
        <v>1.4000000000000012E-2</v>
      </c>
      <c r="L250" s="7">
        <v>1.2666666666666604E-2</v>
      </c>
      <c r="M250" s="7">
        <v>1.6666666666666607E-2</v>
      </c>
      <c r="N250" s="7">
        <v>5.9999999999997833E-3</v>
      </c>
      <c r="O250" s="7">
        <v>-2.4999999999977263E-3</v>
      </c>
      <c r="P250" s="7">
        <v>-5.2500000000000546E-2</v>
      </c>
      <c r="Q250" s="7">
        <v>-0.33250000000000168</v>
      </c>
      <c r="R250" s="7">
        <v>-0.98999999999999777</v>
      </c>
      <c r="S250" s="7">
        <v>-1</v>
      </c>
      <c r="T250" s="7">
        <v>-1</v>
      </c>
      <c r="U250" s="1">
        <v>3369</v>
      </c>
      <c r="W250" s="1">
        <v>1747241</v>
      </c>
    </row>
    <row r="251" spans="1:23" x14ac:dyDescent="0.25">
      <c r="A251" s="76">
        <v>3</v>
      </c>
      <c r="B251" s="76" t="s">
        <v>54</v>
      </c>
      <c r="C251" s="76">
        <v>2002</v>
      </c>
      <c r="D251" s="76" t="str">
        <f t="shared" si="17"/>
        <v>A02N</v>
      </c>
      <c r="E251" s="76" t="s">
        <v>107</v>
      </c>
      <c r="F251" s="77" t="s">
        <v>492</v>
      </c>
      <c r="G251" s="78">
        <v>0.8181506500000002</v>
      </c>
      <c r="H251" s="79">
        <v>37495</v>
      </c>
      <c r="I251" s="79">
        <v>42200</v>
      </c>
      <c r="J251" s="3">
        <f t="shared" si="14"/>
        <v>13</v>
      </c>
      <c r="K251" s="7">
        <v>2.1999999999999797E-2</v>
      </c>
      <c r="L251" s="7">
        <v>1.9333333333333647E-2</v>
      </c>
      <c r="M251" s="7">
        <v>1.7333333333333423E-2</v>
      </c>
      <c r="N251" s="7">
        <v>3.0666666666665954E-2</v>
      </c>
      <c r="O251" s="7">
        <v>-2.999999999999825E-2</v>
      </c>
      <c r="P251" s="7">
        <v>-1.5000000000000568E-2</v>
      </c>
      <c r="Q251" s="7">
        <v>-0.23499999999999943</v>
      </c>
      <c r="R251" s="7">
        <v>-0.99250000000000116</v>
      </c>
      <c r="S251" s="7">
        <v>-1</v>
      </c>
      <c r="T251" s="7">
        <v>-1</v>
      </c>
      <c r="U251" s="1">
        <v>2538</v>
      </c>
      <c r="W251" s="1">
        <v>2199981</v>
      </c>
    </row>
    <row r="252" spans="1:23" x14ac:dyDescent="0.25">
      <c r="A252" s="76">
        <v>3</v>
      </c>
      <c r="B252" s="76" t="s">
        <v>54</v>
      </c>
      <c r="C252" s="76">
        <v>2002</v>
      </c>
      <c r="D252" s="76" t="str">
        <f t="shared" si="17"/>
        <v>A02N</v>
      </c>
      <c r="E252" s="76" t="s">
        <v>107</v>
      </c>
      <c r="F252" s="77" t="s">
        <v>493</v>
      </c>
      <c r="G252" s="78">
        <v>0.77295959999999975</v>
      </c>
      <c r="H252" s="79">
        <v>37546</v>
      </c>
      <c r="I252" s="79">
        <v>42200</v>
      </c>
      <c r="J252" s="3">
        <f t="shared" si="14"/>
        <v>13</v>
      </c>
      <c r="K252" s="7">
        <v>1.3999999999999346E-2</v>
      </c>
      <c r="L252" s="7">
        <v>1.6666666666666607E-2</v>
      </c>
      <c r="M252" s="7">
        <v>2.6000000000000023E-2</v>
      </c>
      <c r="N252" s="7">
        <v>1.6000000000000014E-2</v>
      </c>
      <c r="O252" s="7">
        <v>0</v>
      </c>
      <c r="P252" s="7">
        <v>-6.5000000000000613E-2</v>
      </c>
      <c r="Q252" s="7">
        <v>-0.48250000000000026</v>
      </c>
      <c r="R252" s="7">
        <v>-0.99249999999999972</v>
      </c>
      <c r="S252" s="7">
        <v>-1</v>
      </c>
      <c r="T252" s="7">
        <v>-1</v>
      </c>
      <c r="U252" s="1">
        <v>2529</v>
      </c>
      <c r="W252" s="1">
        <v>1758251</v>
      </c>
    </row>
    <row r="253" spans="1:23" x14ac:dyDescent="0.25">
      <c r="A253" s="76">
        <v>3</v>
      </c>
      <c r="B253" s="76" t="s">
        <v>54</v>
      </c>
      <c r="C253" s="76">
        <v>2002</v>
      </c>
      <c r="D253" s="76" t="str">
        <f t="shared" si="17"/>
        <v>A02N</v>
      </c>
      <c r="E253" s="76" t="s">
        <v>107</v>
      </c>
      <c r="F253" s="77" t="s">
        <v>494</v>
      </c>
      <c r="G253" s="78">
        <v>0.88564728333333331</v>
      </c>
      <c r="H253" s="79">
        <v>37559</v>
      </c>
      <c r="I253" s="79">
        <v>42199</v>
      </c>
      <c r="J253" s="3">
        <f t="shared" si="14"/>
        <v>13</v>
      </c>
      <c r="K253" s="7">
        <v>-4.0000000000008917E-3</v>
      </c>
      <c r="L253" s="7">
        <v>-3.3333333333332993E-3</v>
      </c>
      <c r="M253" s="7">
        <v>8.6666666666663783E-3</v>
      </c>
      <c r="N253" s="7">
        <v>-2.0000000000000018E-2</v>
      </c>
      <c r="O253" s="7">
        <v>-2.4999999999998357E-3</v>
      </c>
      <c r="P253" s="7">
        <v>3.2500000000000195E-2</v>
      </c>
      <c r="Q253" s="7">
        <v>-0.10750000000000026</v>
      </c>
      <c r="R253" s="7">
        <v>-0.42750000000000055</v>
      </c>
      <c r="S253" s="7">
        <v>-1</v>
      </c>
      <c r="T253" s="7">
        <v>-1</v>
      </c>
      <c r="U253" s="1">
        <v>1575</v>
      </c>
      <c r="W253" s="1">
        <v>1752715</v>
      </c>
    </row>
    <row r="254" spans="1:23" x14ac:dyDescent="0.25">
      <c r="A254" s="76">
        <v>3</v>
      </c>
      <c r="B254" s="76" t="s">
        <v>54</v>
      </c>
      <c r="C254" s="76">
        <v>2002</v>
      </c>
      <c r="D254" s="76" t="str">
        <f>LEFT(F254,4)</f>
        <v>A02N</v>
      </c>
      <c r="E254" s="76" t="s">
        <v>107</v>
      </c>
      <c r="F254" s="77" t="s">
        <v>497</v>
      </c>
      <c r="G254" s="78">
        <v>0.86916903185326921</v>
      </c>
      <c r="H254" s="79">
        <v>37546</v>
      </c>
      <c r="I254" s="79">
        <v>42200</v>
      </c>
      <c r="J254" s="3">
        <f t="shared" si="14"/>
        <v>13</v>
      </c>
      <c r="K254" s="7">
        <v>1.7955987579316934E-2</v>
      </c>
      <c r="L254" s="7">
        <v>2.067008916509061E-2</v>
      </c>
      <c r="M254" s="7">
        <v>1.9897130481862035E-2</v>
      </c>
      <c r="N254" s="7">
        <v>1.0148849797023463E-2</v>
      </c>
      <c r="O254" s="7">
        <v>1.2499999999999956E-2</v>
      </c>
      <c r="P254" s="7">
        <v>-2.5000000000006128E-3</v>
      </c>
      <c r="Q254" s="7">
        <v>-7.2499999999999454E-2</v>
      </c>
      <c r="R254" s="7">
        <v>-0.72499999999999998</v>
      </c>
      <c r="S254" s="7">
        <v>-0.99750000000000227</v>
      </c>
      <c r="T254" s="7">
        <v>-1</v>
      </c>
      <c r="U254" s="1">
        <v>1566</v>
      </c>
      <c r="W254" s="1">
        <v>1758314</v>
      </c>
    </row>
    <row r="255" spans="1:23" x14ac:dyDescent="0.25">
      <c r="A255" s="76">
        <v>3</v>
      </c>
      <c r="B255" s="76" t="s">
        <v>54</v>
      </c>
      <c r="C255" s="76">
        <v>2002</v>
      </c>
      <c r="D255" s="76" t="str">
        <f>LEFT(F255,4)</f>
        <v>A02N</v>
      </c>
      <c r="E255" s="76" t="s">
        <v>107</v>
      </c>
      <c r="F255" s="77" t="s">
        <v>503</v>
      </c>
      <c r="G255" s="78">
        <v>0.80623242640301407</v>
      </c>
      <c r="H255" s="79">
        <v>37560</v>
      </c>
      <c r="I255" s="79">
        <v>42201</v>
      </c>
      <c r="J255" s="3">
        <f t="shared" si="14"/>
        <v>13</v>
      </c>
      <c r="K255" s="7">
        <v>5.8053192925611175E-3</v>
      </c>
      <c r="L255" s="7">
        <v>7.8357200756553613E-3</v>
      </c>
      <c r="M255" s="7">
        <v>6.3616675690312263E-3</v>
      </c>
      <c r="N255" s="7">
        <v>2.0297699594038487E-3</v>
      </c>
      <c r="O255" s="7">
        <v>1.2499999999999956E-2</v>
      </c>
      <c r="P255" s="7">
        <v>7.4999999999989519E-3</v>
      </c>
      <c r="Q255" s="7">
        <v>-0.41999999999999882</v>
      </c>
      <c r="R255" s="7">
        <v>-0.99749999999999661</v>
      </c>
      <c r="S255" s="7">
        <v>-0.99500000000000455</v>
      </c>
      <c r="T255" s="7">
        <v>-1</v>
      </c>
      <c r="U255" s="1">
        <v>961</v>
      </c>
      <c r="W255" s="1">
        <v>1746936</v>
      </c>
    </row>
    <row r="256" spans="1:23" x14ac:dyDescent="0.25">
      <c r="A256" s="76">
        <v>3</v>
      </c>
      <c r="B256" s="76" t="s">
        <v>54</v>
      </c>
      <c r="C256" s="76">
        <v>2002</v>
      </c>
      <c r="D256" s="76" t="str">
        <f>LEFT(F256,4)</f>
        <v>A02N</v>
      </c>
      <c r="E256" s="76" t="s">
        <v>107</v>
      </c>
      <c r="F256" s="77" t="s">
        <v>500</v>
      </c>
      <c r="G256" s="78">
        <v>0.81282078707120675</v>
      </c>
      <c r="H256" s="79">
        <v>37545</v>
      </c>
      <c r="I256" s="79">
        <v>42200</v>
      </c>
      <c r="J256" s="3">
        <f t="shared" si="14"/>
        <v>13</v>
      </c>
      <c r="K256" s="7">
        <v>-1.1745646010530297E-2</v>
      </c>
      <c r="L256" s="7">
        <v>-1.1078087003512871E-2</v>
      </c>
      <c r="M256" s="7">
        <v>-2.4769897130481611E-2</v>
      </c>
      <c r="N256" s="7">
        <v>-1.5561569688768651E-2</v>
      </c>
      <c r="O256" s="7">
        <v>-5.0000000000011147E-3</v>
      </c>
      <c r="P256" s="7">
        <v>-2.7499999999997748E-2</v>
      </c>
      <c r="Q256" s="7">
        <v>-0.22250000000000225</v>
      </c>
      <c r="R256" s="7">
        <v>-0.99499999999999889</v>
      </c>
      <c r="S256" s="7">
        <v>-0.99250000000000116</v>
      </c>
      <c r="T256" s="7">
        <v>-1</v>
      </c>
      <c r="U256" s="1">
        <v>2269</v>
      </c>
      <c r="W256" s="1">
        <v>1760548</v>
      </c>
    </row>
    <row r="257" spans="1:23" x14ac:dyDescent="0.25">
      <c r="A257" s="76">
        <v>3</v>
      </c>
      <c r="B257" s="76" t="s">
        <v>54</v>
      </c>
      <c r="C257" s="76">
        <v>2002</v>
      </c>
      <c r="D257" s="76" t="str">
        <f>LEFT(F257,4)</f>
        <v>A02N</v>
      </c>
      <c r="E257" s="76" t="s">
        <v>107</v>
      </c>
      <c r="F257" s="77" t="s">
        <v>501</v>
      </c>
      <c r="G257" s="78">
        <v>0.80110660049225402</v>
      </c>
      <c r="H257" s="79">
        <v>37559</v>
      </c>
      <c r="I257" s="79">
        <v>42199</v>
      </c>
      <c r="J257" s="3">
        <f t="shared" si="14"/>
        <v>13</v>
      </c>
      <c r="K257" s="7">
        <v>-4.3202376130686559E-3</v>
      </c>
      <c r="L257" s="7">
        <v>-2.2966765738992034E-3</v>
      </c>
      <c r="M257" s="7">
        <v>-1.7596101786676588E-3</v>
      </c>
      <c r="N257" s="7">
        <v>1.2855209742895335E-2</v>
      </c>
      <c r="O257" s="7">
        <v>-5.2500000000000546E-2</v>
      </c>
      <c r="P257" s="7">
        <v>-3.7499999999999978E-2</v>
      </c>
      <c r="Q257" s="7">
        <v>-0.24499999999999889</v>
      </c>
      <c r="R257" s="7">
        <v>-0.99499999999999889</v>
      </c>
      <c r="S257" s="7">
        <v>-0.99500000000000166</v>
      </c>
      <c r="T257" s="7">
        <v>-1</v>
      </c>
      <c r="U257" s="1">
        <v>3133</v>
      </c>
      <c r="W257" s="1">
        <v>1752707</v>
      </c>
    </row>
    <row r="258" spans="1:23" x14ac:dyDescent="0.25">
      <c r="A258" s="76">
        <v>3</v>
      </c>
      <c r="B258" s="76" t="s">
        <v>54</v>
      </c>
      <c r="C258" s="76">
        <v>2002</v>
      </c>
      <c r="D258" s="76" t="str">
        <f t="shared" ref="D258:D266" si="18">LEFT(F258,4)</f>
        <v>A02N</v>
      </c>
      <c r="E258" s="76" t="s">
        <v>107</v>
      </c>
      <c r="F258" s="77" t="s">
        <v>505</v>
      </c>
      <c r="G258" s="78">
        <v>0.86947058515066955</v>
      </c>
      <c r="H258" s="79">
        <v>37497</v>
      </c>
      <c r="I258" s="79">
        <v>42202</v>
      </c>
      <c r="J258" s="3">
        <f t="shared" si="14"/>
        <v>13</v>
      </c>
      <c r="K258" s="7">
        <v>2.3302263648468324E-2</v>
      </c>
      <c r="L258" s="7">
        <v>2.5982678214524491E-2</v>
      </c>
      <c r="M258" s="7">
        <v>3.6414565826329737E-2</v>
      </c>
      <c r="N258" s="7">
        <v>1.7264276228420083E-2</v>
      </c>
      <c r="O258" s="7">
        <v>3.5000000000002363E-2</v>
      </c>
      <c r="P258" s="7">
        <v>1.7499999999995408E-2</v>
      </c>
      <c r="Q258" s="7">
        <v>-1.4999999999997682E-2</v>
      </c>
      <c r="R258" s="7">
        <v>-0.98999999999999777</v>
      </c>
      <c r="S258" s="7">
        <v>-0.99250000000000116</v>
      </c>
      <c r="T258" s="7">
        <v>-1</v>
      </c>
      <c r="U258" s="1">
        <v>3616</v>
      </c>
      <c r="W258" s="1">
        <v>2196379</v>
      </c>
    </row>
    <row r="259" spans="1:23" x14ac:dyDescent="0.25">
      <c r="A259" s="76">
        <v>3</v>
      </c>
      <c r="B259" s="76" t="s">
        <v>54</v>
      </c>
      <c r="C259" s="76">
        <v>2002</v>
      </c>
      <c r="D259" s="76" t="str">
        <f t="shared" si="18"/>
        <v>A02N</v>
      </c>
      <c r="E259" s="76" t="s">
        <v>107</v>
      </c>
      <c r="F259" s="77" t="s">
        <v>506</v>
      </c>
      <c r="G259" s="78">
        <v>0.76541029100563795</v>
      </c>
      <c r="H259" s="79">
        <v>37536</v>
      </c>
      <c r="I259" s="79">
        <v>42201</v>
      </c>
      <c r="J259" s="3">
        <f t="shared" si="14"/>
        <v>13</v>
      </c>
      <c r="K259" s="7">
        <v>-1.864181091877426E-2</v>
      </c>
      <c r="L259" s="7">
        <v>-1.6655562958028947E-2</v>
      </c>
      <c r="M259" s="7">
        <v>-1.0270774976657515E-2</v>
      </c>
      <c r="N259" s="7">
        <v>-1.8592297476759501E-2</v>
      </c>
      <c r="O259" s="7">
        <v>-7.5000000000002842E-3</v>
      </c>
      <c r="P259" s="7">
        <v>-7.7499999999999125E-2</v>
      </c>
      <c r="Q259" s="7">
        <v>-0.50750000000000028</v>
      </c>
      <c r="R259" s="7">
        <v>-0.99249999999999972</v>
      </c>
      <c r="S259" s="7">
        <v>-0.99500000000000033</v>
      </c>
      <c r="T259" s="7">
        <v>-1</v>
      </c>
      <c r="U259" s="1">
        <v>1499</v>
      </c>
      <c r="W259" s="1">
        <v>2198231</v>
      </c>
    </row>
    <row r="260" spans="1:23" x14ac:dyDescent="0.25">
      <c r="A260" s="76">
        <v>3</v>
      </c>
      <c r="B260" s="76" t="s">
        <v>54</v>
      </c>
      <c r="C260" s="76">
        <v>2002</v>
      </c>
      <c r="D260" s="76" t="str">
        <f t="shared" si="18"/>
        <v>A02N</v>
      </c>
      <c r="E260" s="76" t="s">
        <v>107</v>
      </c>
      <c r="F260" s="77" t="s">
        <v>508</v>
      </c>
      <c r="G260" s="78">
        <v>0.69920271619728203</v>
      </c>
      <c r="H260" s="79">
        <v>37476</v>
      </c>
      <c r="I260" s="79">
        <v>42201</v>
      </c>
      <c r="J260" s="3">
        <f t="shared" si="14"/>
        <v>13</v>
      </c>
      <c r="K260" s="7">
        <v>1.1318242343542728E-2</v>
      </c>
      <c r="L260" s="7">
        <v>1.3324450366421825E-2</v>
      </c>
      <c r="M260" s="7">
        <v>1.6406562625050691E-2</v>
      </c>
      <c r="N260" s="7">
        <v>5.312084993359667E-3</v>
      </c>
      <c r="O260" s="7">
        <v>-1.4999999999999902E-2</v>
      </c>
      <c r="P260" s="7">
        <v>-0.12749999999999984</v>
      </c>
      <c r="Q260" s="7">
        <v>-0.99250000000000038</v>
      </c>
      <c r="R260" s="7">
        <v>-0.99499999999999955</v>
      </c>
      <c r="S260" s="7">
        <v>-0.99250000000000038</v>
      </c>
      <c r="T260" s="7">
        <v>-1</v>
      </c>
      <c r="U260" s="1">
        <v>3145</v>
      </c>
      <c r="W260" s="1">
        <v>2202182</v>
      </c>
    </row>
    <row r="261" spans="1:23" x14ac:dyDescent="0.25">
      <c r="A261" s="76">
        <v>3</v>
      </c>
      <c r="B261" s="76" t="s">
        <v>54</v>
      </c>
      <c r="C261" s="76">
        <v>2002</v>
      </c>
      <c r="D261" s="76" t="str">
        <f t="shared" si="18"/>
        <v>A02N</v>
      </c>
      <c r="E261" s="76" t="s">
        <v>107</v>
      </c>
      <c r="F261" s="77" t="s">
        <v>509</v>
      </c>
      <c r="G261" s="78">
        <v>0.80615774213226965</v>
      </c>
      <c r="H261" s="79">
        <v>37495</v>
      </c>
      <c r="I261" s="79">
        <v>42201</v>
      </c>
      <c r="J261" s="3">
        <f t="shared" ref="J261:J324" si="19">IF(YEAR(I261)-YEAR(H261)=0,"",YEAR(I261)-YEAR(H261))</f>
        <v>13</v>
      </c>
      <c r="K261" s="7">
        <v>-5.9920106524635752E-3</v>
      </c>
      <c r="L261" s="7">
        <v>-1.9986675549629185E-3</v>
      </c>
      <c r="M261" s="7">
        <v>1.107109510470794E-2</v>
      </c>
      <c r="N261" s="7">
        <v>-1.5936254980079334E-2</v>
      </c>
      <c r="O261" s="7">
        <v>-2.4999999999977263E-3</v>
      </c>
      <c r="P261" s="7">
        <v>-3.0000000000001137E-2</v>
      </c>
      <c r="Q261" s="7">
        <v>-0.33249999999999891</v>
      </c>
      <c r="R261" s="7">
        <v>-0.94250000000000111</v>
      </c>
      <c r="S261" s="7">
        <v>-0.99750000000000227</v>
      </c>
      <c r="T261" s="7">
        <v>-1</v>
      </c>
      <c r="U261" s="1">
        <v>2910</v>
      </c>
      <c r="W261" s="1">
        <v>2197961</v>
      </c>
    </row>
    <row r="262" spans="1:23" x14ac:dyDescent="0.25">
      <c r="A262" s="76">
        <v>3</v>
      </c>
      <c r="B262" s="76" t="s">
        <v>54</v>
      </c>
      <c r="C262" s="76">
        <v>2002</v>
      </c>
      <c r="D262" s="76" t="str">
        <f t="shared" si="18"/>
        <v>A02N</v>
      </c>
      <c r="E262" s="76" t="s">
        <v>107</v>
      </c>
      <c r="F262" s="77" t="s">
        <v>510</v>
      </c>
      <c r="G262" s="78">
        <v>0.84274723990235012</v>
      </c>
      <c r="H262" s="79">
        <v>37495</v>
      </c>
      <c r="I262" s="79">
        <v>42201</v>
      </c>
      <c r="J262" s="3">
        <f t="shared" si="19"/>
        <v>13</v>
      </c>
      <c r="K262" s="7">
        <v>9.9866844207725514E-3</v>
      </c>
      <c r="L262" s="7">
        <v>1.2658227848101333E-2</v>
      </c>
      <c r="M262" s="7">
        <v>1.8407362945177974E-2</v>
      </c>
      <c r="N262" s="7">
        <v>1.0624169986720222E-2</v>
      </c>
      <c r="O262" s="7">
        <v>1.2499999999999956E-2</v>
      </c>
      <c r="P262" s="7">
        <v>-2.5000000000006128E-3</v>
      </c>
      <c r="Q262" s="7">
        <v>-0.125</v>
      </c>
      <c r="R262" s="7">
        <v>-0.98750000000000004</v>
      </c>
      <c r="S262" s="7">
        <v>-0.99500000000000166</v>
      </c>
      <c r="T262" s="7">
        <v>-1</v>
      </c>
      <c r="U262" s="1">
        <v>1820</v>
      </c>
      <c r="W262" s="1">
        <v>2198118</v>
      </c>
    </row>
    <row r="263" spans="1:23" x14ac:dyDescent="0.25">
      <c r="A263" s="76">
        <v>3</v>
      </c>
      <c r="B263" s="76" t="s">
        <v>54</v>
      </c>
      <c r="C263" s="76">
        <v>2002</v>
      </c>
      <c r="D263" s="76" t="str">
        <f t="shared" si="18"/>
        <v>A02N</v>
      </c>
      <c r="E263" s="76" t="s">
        <v>107</v>
      </c>
      <c r="F263" s="77" t="s">
        <v>511</v>
      </c>
      <c r="G263" s="78">
        <v>0.71707268722192841</v>
      </c>
      <c r="H263" s="79">
        <v>37495</v>
      </c>
      <c r="I263" s="79">
        <v>42201</v>
      </c>
      <c r="J263" s="3">
        <f t="shared" si="19"/>
        <v>13</v>
      </c>
      <c r="K263" s="7">
        <v>4.6604527296940645E-3</v>
      </c>
      <c r="L263" s="7">
        <v>5.9960026648901987E-3</v>
      </c>
      <c r="M263" s="7">
        <v>7.069494464452486E-3</v>
      </c>
      <c r="N263" s="7">
        <v>2.6560424966792784E-3</v>
      </c>
      <c r="O263" s="7">
        <v>0</v>
      </c>
      <c r="P263" s="7">
        <v>-6.25E-2</v>
      </c>
      <c r="Q263" s="7">
        <v>-0.98999999999999777</v>
      </c>
      <c r="R263" s="7">
        <v>-0.99250000000000116</v>
      </c>
      <c r="S263" s="7">
        <v>-0.99250000000000116</v>
      </c>
      <c r="T263" s="7">
        <v>-1</v>
      </c>
      <c r="U263" s="1">
        <v>3709</v>
      </c>
      <c r="W263" s="1">
        <v>2197979</v>
      </c>
    </row>
    <row r="264" spans="1:23" x14ac:dyDescent="0.25">
      <c r="A264" s="76">
        <v>3</v>
      </c>
      <c r="B264" s="76" t="s">
        <v>54</v>
      </c>
      <c r="C264" s="76">
        <v>2002</v>
      </c>
      <c r="D264" s="76" t="str">
        <f t="shared" si="18"/>
        <v>A02N</v>
      </c>
      <c r="E264" s="76" t="s">
        <v>107</v>
      </c>
      <c r="F264" s="77" t="s">
        <v>512</v>
      </c>
      <c r="G264" s="78">
        <v>0.8225297330828294</v>
      </c>
      <c r="H264" s="79">
        <v>37495</v>
      </c>
      <c r="I264" s="79">
        <v>42201</v>
      </c>
      <c r="J264" s="3">
        <f t="shared" si="19"/>
        <v>13</v>
      </c>
      <c r="K264" s="7">
        <v>4.6604527296945086E-3</v>
      </c>
      <c r="L264" s="7">
        <v>1.1992005329780842E-2</v>
      </c>
      <c r="M264" s="7">
        <v>1.6406562625049137E-2</v>
      </c>
      <c r="N264" s="7">
        <v>5.312084993359889E-3</v>
      </c>
      <c r="O264" s="7">
        <v>1.0000000000000231E-2</v>
      </c>
      <c r="P264" s="7">
        <v>-1.9999999999999574E-2</v>
      </c>
      <c r="Q264" s="7">
        <v>-0.24249999999999972</v>
      </c>
      <c r="R264" s="7">
        <v>-0.99250000000000116</v>
      </c>
      <c r="S264" s="7">
        <v>-0.99249999999999972</v>
      </c>
      <c r="T264" s="7">
        <v>-1</v>
      </c>
      <c r="U264" s="1">
        <v>2594</v>
      </c>
      <c r="W264" s="1">
        <v>2201951</v>
      </c>
    </row>
    <row r="265" spans="1:23" x14ac:dyDescent="0.25">
      <c r="A265" s="76">
        <v>3</v>
      </c>
      <c r="B265" s="76" t="s">
        <v>54</v>
      </c>
      <c r="C265" s="76">
        <v>2002</v>
      </c>
      <c r="D265" s="76" t="str">
        <f t="shared" si="18"/>
        <v>A02N</v>
      </c>
      <c r="E265" s="76" t="s">
        <v>107</v>
      </c>
      <c r="F265" s="77" t="s">
        <v>513</v>
      </c>
      <c r="G265" s="78">
        <v>0.82287618931056816</v>
      </c>
      <c r="H265" s="79">
        <v>37495</v>
      </c>
      <c r="I265" s="79">
        <v>42201</v>
      </c>
      <c r="J265" s="3">
        <f t="shared" si="19"/>
        <v>13</v>
      </c>
      <c r="K265" s="7">
        <v>7.9893475366170641E-3</v>
      </c>
      <c r="L265" s="7">
        <v>7.9946702198532282E-3</v>
      </c>
      <c r="M265" s="7">
        <v>9.0702947845817672E-3</v>
      </c>
      <c r="N265" s="7">
        <v>-2.6560424966799445E-3</v>
      </c>
      <c r="O265" s="7">
        <v>-2.4999999999998357E-3</v>
      </c>
      <c r="P265" s="7">
        <v>-1.7499999999999738E-2</v>
      </c>
      <c r="Q265" s="7">
        <v>-0.21250000000000002</v>
      </c>
      <c r="R265" s="7">
        <v>-0.99000000000000055</v>
      </c>
      <c r="S265" s="7">
        <v>-0.99249999999999972</v>
      </c>
      <c r="T265" s="7">
        <v>-1</v>
      </c>
      <c r="U265" s="1">
        <v>3517</v>
      </c>
      <c r="W265" s="1">
        <v>2201879</v>
      </c>
    </row>
    <row r="266" spans="1:23" x14ac:dyDescent="0.25">
      <c r="A266" s="76">
        <v>3</v>
      </c>
      <c r="B266" s="76" t="s">
        <v>54</v>
      </c>
      <c r="C266" s="76">
        <v>2002</v>
      </c>
      <c r="D266" s="76" t="str">
        <f t="shared" si="18"/>
        <v>A02N</v>
      </c>
      <c r="E266" s="76" t="s">
        <v>107</v>
      </c>
      <c r="F266" s="77" t="s">
        <v>514</v>
      </c>
      <c r="G266" s="78">
        <v>0.80668292679151665</v>
      </c>
      <c r="H266" s="79">
        <v>37495</v>
      </c>
      <c r="I266" s="79">
        <v>42201</v>
      </c>
      <c r="J266" s="3">
        <f t="shared" si="19"/>
        <v>13</v>
      </c>
      <c r="K266" s="7">
        <v>-6.6577896138531045E-4</v>
      </c>
      <c r="L266" s="7">
        <v>6.6622251832137991E-4</v>
      </c>
      <c r="M266" s="7">
        <v>-6.936107776444822E-3</v>
      </c>
      <c r="N266" s="7">
        <v>2.6560424966799445E-3</v>
      </c>
      <c r="O266" s="7">
        <v>0</v>
      </c>
      <c r="P266" s="7">
        <v>-7.4999999999999956E-2</v>
      </c>
      <c r="Q266" s="7">
        <v>-0.22250000000000014</v>
      </c>
      <c r="R266" s="7">
        <v>-0.99249999999999972</v>
      </c>
      <c r="S266" s="7">
        <v>-0.99249999999999972</v>
      </c>
      <c r="T266" s="7">
        <v>-1</v>
      </c>
      <c r="U266" s="1">
        <v>1754</v>
      </c>
      <c r="W266" s="1">
        <v>2202239</v>
      </c>
    </row>
    <row r="267" spans="1:23" x14ac:dyDescent="0.25">
      <c r="A267" s="76">
        <v>3</v>
      </c>
      <c r="B267" s="76" t="s">
        <v>54</v>
      </c>
      <c r="C267" s="76">
        <v>2002</v>
      </c>
      <c r="D267" s="76" t="str">
        <f t="shared" ref="D267:D276" si="20">LEFT(F267,4)</f>
        <v>A02N</v>
      </c>
      <c r="E267" s="76" t="s">
        <v>107</v>
      </c>
      <c r="F267" s="77" t="s">
        <v>515</v>
      </c>
      <c r="G267" s="78">
        <v>0.82699864961649694</v>
      </c>
      <c r="H267" s="79">
        <v>38224</v>
      </c>
      <c r="I267" s="79">
        <v>42185</v>
      </c>
      <c r="J267" s="3">
        <f t="shared" si="19"/>
        <v>11</v>
      </c>
      <c r="K267" s="7">
        <v>-5.1399972947385741E-3</v>
      </c>
      <c r="L267" s="7">
        <v>-2.3097826086955986E-2</v>
      </c>
      <c r="M267" s="7">
        <v>1.3568521031201985E-3</v>
      </c>
      <c r="N267" s="7">
        <v>-1.7869229727900282E-2</v>
      </c>
      <c r="O267" s="7">
        <v>-1.2499999999999956E-2</v>
      </c>
      <c r="P267" s="7">
        <v>-1.5000000000000568E-2</v>
      </c>
      <c r="Q267" s="7">
        <v>-0.125</v>
      </c>
      <c r="R267" s="7">
        <v>-0.99249999999999827</v>
      </c>
      <c r="S267" s="7">
        <v>-0.99749999999999939</v>
      </c>
      <c r="T267" s="7">
        <v>-1</v>
      </c>
      <c r="U267" s="1">
        <v>315</v>
      </c>
      <c r="W267" s="1">
        <v>812421</v>
      </c>
    </row>
    <row r="268" spans="1:23" x14ac:dyDescent="0.25">
      <c r="A268" s="76">
        <v>3</v>
      </c>
      <c r="B268" s="76" t="s">
        <v>54</v>
      </c>
      <c r="C268" s="76">
        <v>2002</v>
      </c>
      <c r="D268" s="76" t="str">
        <f t="shared" si="20"/>
        <v>A02N</v>
      </c>
      <c r="E268" s="76" t="s">
        <v>107</v>
      </c>
      <c r="F268" s="77" t="s">
        <v>516</v>
      </c>
      <c r="G268" s="78">
        <v>0</v>
      </c>
      <c r="H268" s="79">
        <v>42185</v>
      </c>
      <c r="I268" s="79">
        <v>42185</v>
      </c>
      <c r="J268" s="3" t="str">
        <f t="shared" si="19"/>
        <v/>
      </c>
      <c r="K268" s="7">
        <v>-1</v>
      </c>
      <c r="L268" s="7">
        <v>-1</v>
      </c>
      <c r="M268" s="7">
        <v>-1</v>
      </c>
      <c r="N268" s="7">
        <v>-1</v>
      </c>
      <c r="O268" s="7">
        <v>-1</v>
      </c>
      <c r="P268" s="7">
        <v>-1</v>
      </c>
      <c r="Q268" s="7">
        <v>-1</v>
      </c>
      <c r="R268" s="7">
        <v>-1</v>
      </c>
      <c r="S268" s="7">
        <v>-1</v>
      </c>
      <c r="T268" s="7">
        <v>-1</v>
      </c>
      <c r="U268" s="1">
        <v>880</v>
      </c>
      <c r="W268" s="1">
        <v>3468151</v>
      </c>
    </row>
    <row r="269" spans="1:23" x14ac:dyDescent="0.25">
      <c r="A269" s="76">
        <v>3</v>
      </c>
      <c r="B269" s="76" t="s">
        <v>54</v>
      </c>
      <c r="C269" s="76">
        <v>2002</v>
      </c>
      <c r="D269" s="76" t="str">
        <f t="shared" si="20"/>
        <v>A02N</v>
      </c>
      <c r="E269" s="76" t="s">
        <v>107</v>
      </c>
      <c r="F269" s="77" t="s">
        <v>517</v>
      </c>
      <c r="G269" s="78">
        <v>0.83351882986615344</v>
      </c>
      <c r="H269" s="79">
        <v>37588</v>
      </c>
      <c r="I269" s="79">
        <v>42201</v>
      </c>
      <c r="J269" s="3">
        <f t="shared" si="19"/>
        <v>13</v>
      </c>
      <c r="K269" s="7">
        <v>-3.1110509941831843E-3</v>
      </c>
      <c r="L269" s="7">
        <v>-6.1141304347824832E-3</v>
      </c>
      <c r="M269" s="7">
        <v>-5.4274084124833477E-3</v>
      </c>
      <c r="N269" s="7">
        <v>-1.6244754298091468E-3</v>
      </c>
      <c r="O269" s="7">
        <v>-2.4999999999991696E-3</v>
      </c>
      <c r="P269" s="7">
        <v>2.7499999999999192E-2</v>
      </c>
      <c r="Q269" s="7">
        <v>-0.19000000000000061</v>
      </c>
      <c r="R269" s="7">
        <v>-0.99249999999999827</v>
      </c>
      <c r="S269" s="7">
        <v>-0.99749999999999939</v>
      </c>
      <c r="T269" s="7">
        <v>-1</v>
      </c>
      <c r="U269" s="1">
        <v>1747</v>
      </c>
      <c r="W269" s="1">
        <v>2202451</v>
      </c>
    </row>
    <row r="270" spans="1:23" x14ac:dyDescent="0.25">
      <c r="A270" s="76">
        <v>3</v>
      </c>
      <c r="B270" s="76" t="s">
        <v>54</v>
      </c>
      <c r="C270" s="76">
        <v>2002</v>
      </c>
      <c r="D270" s="76" t="str">
        <f t="shared" si="20"/>
        <v>A02N</v>
      </c>
      <c r="E270" s="76" t="s">
        <v>107</v>
      </c>
      <c r="F270" s="77" t="s">
        <v>518</v>
      </c>
      <c r="G270" s="78">
        <v>0.894121697738118</v>
      </c>
      <c r="H270" s="79">
        <v>37495</v>
      </c>
      <c r="I270" s="79">
        <v>42201</v>
      </c>
      <c r="J270" s="3">
        <f t="shared" si="19"/>
        <v>13</v>
      </c>
      <c r="K270" s="7">
        <v>1.9207358311917E-2</v>
      </c>
      <c r="L270" s="7">
        <v>1.5625E-2</v>
      </c>
      <c r="M270" s="7">
        <v>1.6960651289010142E-2</v>
      </c>
      <c r="N270" s="7">
        <v>1.5974008393123018E-2</v>
      </c>
      <c r="O270" s="7">
        <v>1.5000000000000568E-2</v>
      </c>
      <c r="P270" s="7">
        <v>-5.0000000000011147E-3</v>
      </c>
      <c r="Q270" s="7">
        <v>-8.4999999999999409E-2</v>
      </c>
      <c r="R270" s="7">
        <v>-0.36250000000000004</v>
      </c>
      <c r="S270" s="7">
        <v>-0.99500000000000033</v>
      </c>
      <c r="T270" s="7">
        <v>-1</v>
      </c>
      <c r="U270" s="1">
        <v>1699</v>
      </c>
      <c r="W270" s="1">
        <v>2195585</v>
      </c>
    </row>
    <row r="271" spans="1:23" x14ac:dyDescent="0.25">
      <c r="A271" s="76">
        <v>3</v>
      </c>
      <c r="B271" s="76" t="s">
        <v>54</v>
      </c>
      <c r="C271" s="76">
        <v>2002</v>
      </c>
      <c r="D271" s="76" t="str">
        <f t="shared" si="20"/>
        <v>A02N</v>
      </c>
      <c r="E271" s="76" t="s">
        <v>107</v>
      </c>
      <c r="F271" s="77" t="s">
        <v>519</v>
      </c>
      <c r="G271" s="78">
        <v>0.82179335649701701</v>
      </c>
      <c r="H271" s="79">
        <v>37588</v>
      </c>
      <c r="I271" s="79">
        <v>42201</v>
      </c>
      <c r="J271" s="3">
        <f t="shared" si="19"/>
        <v>13</v>
      </c>
      <c r="K271" s="7">
        <v>-1.9342621398620419E-2</v>
      </c>
      <c r="L271" s="7">
        <v>-2.0380434782609091E-2</v>
      </c>
      <c r="M271" s="7">
        <v>-1.8317503392130008E-2</v>
      </c>
      <c r="N271" s="7">
        <v>-1.4484905915798651E-2</v>
      </c>
      <c r="O271" s="7">
        <v>-9.9999999999965672E-3</v>
      </c>
      <c r="P271" s="7">
        <v>-2.5000000000000022E-2</v>
      </c>
      <c r="Q271" s="7">
        <v>-0.14000000000000346</v>
      </c>
      <c r="R271" s="7">
        <v>-0.9924999999999955</v>
      </c>
      <c r="S271" s="7">
        <v>-0.99750000000000227</v>
      </c>
      <c r="T271" s="7">
        <v>-1</v>
      </c>
      <c r="U271" s="1">
        <v>1714</v>
      </c>
      <c r="W271" s="1">
        <v>2202794</v>
      </c>
    </row>
    <row r="272" spans="1:23" x14ac:dyDescent="0.25">
      <c r="A272" s="76">
        <v>3</v>
      </c>
      <c r="B272" s="76" t="s">
        <v>54</v>
      </c>
      <c r="C272" s="76">
        <v>2002</v>
      </c>
      <c r="D272" s="76" t="str">
        <f t="shared" si="20"/>
        <v>A02N</v>
      </c>
      <c r="E272" s="76" t="s">
        <v>107</v>
      </c>
      <c r="F272" s="77" t="s">
        <v>520</v>
      </c>
      <c r="G272" s="78">
        <v>0.90348778981889277</v>
      </c>
      <c r="H272" s="79">
        <v>37565</v>
      </c>
      <c r="I272" s="79">
        <v>42199</v>
      </c>
      <c r="J272" s="3">
        <f t="shared" si="19"/>
        <v>13</v>
      </c>
      <c r="K272" s="7">
        <v>8.3863113756257324E-3</v>
      </c>
      <c r="L272" s="7">
        <v>4.7554347826086474E-3</v>
      </c>
      <c r="M272" s="7">
        <v>6.7842605156036573E-3</v>
      </c>
      <c r="N272" s="7">
        <v>-5.0087992419115546E-3</v>
      </c>
      <c r="O272" s="7">
        <v>0</v>
      </c>
      <c r="P272" s="7">
        <v>-1.4999999999997682E-2</v>
      </c>
      <c r="Q272" s="7">
        <v>-5.0000000000000044E-2</v>
      </c>
      <c r="R272" s="7">
        <v>-0.16249999999999998</v>
      </c>
      <c r="S272" s="7">
        <v>-0.99750000000000227</v>
      </c>
      <c r="T272" s="7">
        <v>-1</v>
      </c>
      <c r="U272" s="1">
        <v>3476</v>
      </c>
      <c r="W272" s="1">
        <v>1750631</v>
      </c>
    </row>
    <row r="273" spans="1:23" x14ac:dyDescent="0.25">
      <c r="A273" s="76">
        <v>3</v>
      </c>
      <c r="B273" s="76" t="s">
        <v>54</v>
      </c>
      <c r="C273" s="76">
        <v>2002</v>
      </c>
      <c r="D273" s="76" t="str">
        <f t="shared" si="20"/>
        <v>A02N</v>
      </c>
      <c r="E273" s="76" t="s">
        <v>107</v>
      </c>
      <c r="F273" s="77" t="s">
        <v>521</v>
      </c>
      <c r="G273" s="78">
        <v>0.83104233512280057</v>
      </c>
      <c r="H273" s="79">
        <v>37490</v>
      </c>
      <c r="I273" s="79">
        <v>42203</v>
      </c>
      <c r="J273" s="3">
        <f t="shared" si="19"/>
        <v>13</v>
      </c>
      <c r="K273" s="7">
        <v>4.0849452184499313E-2</v>
      </c>
      <c r="L273" s="7">
        <v>3.5326086956522396E-2</v>
      </c>
      <c r="M273" s="7">
        <v>3.9348710990500857E-2</v>
      </c>
      <c r="N273" s="7">
        <v>4.0341139840260221E-2</v>
      </c>
      <c r="O273" s="7">
        <v>-2.5000000000000022E-2</v>
      </c>
      <c r="P273" s="7">
        <v>0</v>
      </c>
      <c r="Q273" s="7">
        <v>-0.20249999999999768</v>
      </c>
      <c r="R273" s="7">
        <v>-0.99499999999999889</v>
      </c>
      <c r="S273" s="7">
        <v>-0.99750000000000227</v>
      </c>
      <c r="T273" s="7">
        <v>-1</v>
      </c>
      <c r="U273" s="1">
        <v>3856</v>
      </c>
      <c r="W273" s="1">
        <v>3120724</v>
      </c>
    </row>
    <row r="274" spans="1:23" x14ac:dyDescent="0.25">
      <c r="A274" s="76">
        <v>3</v>
      </c>
      <c r="B274" s="76" t="s">
        <v>54</v>
      </c>
      <c r="C274" s="76">
        <v>2002</v>
      </c>
      <c r="D274" s="76" t="str">
        <f t="shared" si="20"/>
        <v>A02N</v>
      </c>
      <c r="E274" s="76" t="s">
        <v>107</v>
      </c>
      <c r="F274" s="77" t="s">
        <v>522</v>
      </c>
      <c r="G274" s="78">
        <v>0.88720787606838314</v>
      </c>
      <c r="H274" s="79">
        <v>37559</v>
      </c>
      <c r="I274" s="79">
        <v>42199</v>
      </c>
      <c r="J274" s="3">
        <f t="shared" si="19"/>
        <v>13</v>
      </c>
      <c r="K274" s="7">
        <v>-1.0550520762883986E-2</v>
      </c>
      <c r="L274" s="7">
        <v>-6.7934782608669586E-4</v>
      </c>
      <c r="M274" s="7">
        <v>1.0854816824965585E-2</v>
      </c>
      <c r="N274" s="7">
        <v>5.1441721943954466E-3</v>
      </c>
      <c r="O274" s="7">
        <v>5.0000000000012257E-3</v>
      </c>
      <c r="P274" s="7">
        <v>-9.9999999999994538E-3</v>
      </c>
      <c r="Q274" s="7">
        <v>-9.0000000000000524E-2</v>
      </c>
      <c r="R274" s="7">
        <v>-0.39000000000000057</v>
      </c>
      <c r="S274" s="7">
        <v>-0.94499999999999884</v>
      </c>
      <c r="T274" s="7">
        <v>-1</v>
      </c>
      <c r="U274" s="1">
        <v>1981</v>
      </c>
      <c r="W274" s="1">
        <v>1750976</v>
      </c>
    </row>
    <row r="275" spans="1:23" x14ac:dyDescent="0.25">
      <c r="A275" s="76">
        <v>3</v>
      </c>
      <c r="B275" s="76" t="s">
        <v>54</v>
      </c>
      <c r="C275" s="76">
        <v>2002</v>
      </c>
      <c r="D275" s="76" t="str">
        <f t="shared" si="20"/>
        <v>A02N</v>
      </c>
      <c r="E275" s="76" t="s">
        <v>107</v>
      </c>
      <c r="F275" s="77" t="s">
        <v>523</v>
      </c>
      <c r="G275" s="78">
        <v>0.83448343210187981</v>
      </c>
      <c r="H275" s="79">
        <v>37482</v>
      </c>
      <c r="I275" s="79">
        <v>42199</v>
      </c>
      <c r="J275" s="3">
        <f t="shared" si="19"/>
        <v>13</v>
      </c>
      <c r="K275" s="7">
        <v>2.7052617340772578E-4</v>
      </c>
      <c r="L275" s="7">
        <v>2.3097826086955875E-2</v>
      </c>
      <c r="M275" s="7">
        <v>7.4626865671640896E-3</v>
      </c>
      <c r="N275" s="7">
        <v>2.4773250304589656E-2</v>
      </c>
      <c r="O275" s="7">
        <v>-3.0000000000001137E-2</v>
      </c>
      <c r="P275" s="7">
        <v>-2.4999999999977263E-3</v>
      </c>
      <c r="Q275" s="7">
        <v>-0.11250000000000004</v>
      </c>
      <c r="R275" s="7">
        <v>-0.99250000000000116</v>
      </c>
      <c r="S275" s="7">
        <v>-0.99750000000000227</v>
      </c>
      <c r="T275" s="7">
        <v>-1</v>
      </c>
      <c r="U275" s="1">
        <v>2401</v>
      </c>
      <c r="W275" s="1">
        <v>1751034</v>
      </c>
    </row>
    <row r="276" spans="1:23" x14ac:dyDescent="0.25">
      <c r="A276" s="76">
        <v>3</v>
      </c>
      <c r="B276" s="76" t="s">
        <v>54</v>
      </c>
      <c r="C276" s="76">
        <v>2002</v>
      </c>
      <c r="D276" s="76" t="str">
        <f t="shared" si="20"/>
        <v>A02N</v>
      </c>
      <c r="E276" s="76" t="s">
        <v>107</v>
      </c>
      <c r="F276" s="77" t="s">
        <v>524</v>
      </c>
      <c r="G276" s="78">
        <v>0.92286819150012778</v>
      </c>
      <c r="H276" s="79">
        <v>37588</v>
      </c>
      <c r="I276" s="79">
        <v>42202</v>
      </c>
      <c r="J276" s="3">
        <f t="shared" si="19"/>
        <v>13</v>
      </c>
      <c r="K276" s="7">
        <v>8.3863113756257324E-3</v>
      </c>
      <c r="L276" s="7">
        <v>4.0760869565221736E-3</v>
      </c>
      <c r="M276" s="7">
        <v>1.0176390773404709E-2</v>
      </c>
      <c r="N276" s="7">
        <v>7.8516312440779501E-3</v>
      </c>
      <c r="O276" s="7">
        <v>1.4999999999997682E-2</v>
      </c>
      <c r="P276" s="7">
        <v>7.4999999999989519E-3</v>
      </c>
      <c r="Q276" s="7">
        <v>7.5000000000045031E-3</v>
      </c>
      <c r="R276" s="7">
        <v>-0.1325000000000045</v>
      </c>
      <c r="S276" s="7">
        <v>-0.99499999999999889</v>
      </c>
      <c r="T276" s="7">
        <v>-1</v>
      </c>
      <c r="U276" s="1">
        <v>2862</v>
      </c>
      <c r="W276" s="1">
        <v>2196697</v>
      </c>
    </row>
    <row r="277" spans="1:23" x14ac:dyDescent="0.25">
      <c r="A277" s="76">
        <v>3</v>
      </c>
      <c r="B277" s="76" t="s">
        <v>54</v>
      </c>
      <c r="C277" s="76">
        <v>2002</v>
      </c>
      <c r="D277" s="76" t="str">
        <f t="shared" ref="D277:D285" si="21">LEFT(F277,4)</f>
        <v>A02N</v>
      </c>
      <c r="E277" s="76" t="s">
        <v>107</v>
      </c>
      <c r="F277" s="77" t="s">
        <v>525</v>
      </c>
      <c r="G277" s="78">
        <v>0.89278484805282632</v>
      </c>
      <c r="H277" s="79">
        <v>37578</v>
      </c>
      <c r="I277" s="79">
        <v>42203</v>
      </c>
      <c r="J277" s="3">
        <f t="shared" si="19"/>
        <v>13</v>
      </c>
      <c r="K277" s="7">
        <v>5.9681697612734563E-3</v>
      </c>
      <c r="L277" s="7">
        <v>1.1618589743589869E-2</v>
      </c>
      <c r="M277" s="7">
        <v>2.4080267558528323E-2</v>
      </c>
      <c r="N277" s="7">
        <v>2.2103239978033873E-2</v>
      </c>
      <c r="O277" s="7">
        <v>4.9999999999996714E-3</v>
      </c>
      <c r="P277" s="7">
        <v>-2.4999999999991696E-3</v>
      </c>
      <c r="Q277" s="7">
        <v>-9.2499999999999694E-2</v>
      </c>
      <c r="R277" s="7">
        <v>-0.38749999999999996</v>
      </c>
      <c r="S277" s="7">
        <v>-0.94250000000000111</v>
      </c>
      <c r="T277" s="7">
        <v>-1</v>
      </c>
      <c r="U277" s="1">
        <v>1556</v>
      </c>
      <c r="W277" s="1">
        <v>1181599</v>
      </c>
    </row>
    <row r="278" spans="1:23" x14ac:dyDescent="0.25">
      <c r="A278" s="76">
        <v>3</v>
      </c>
      <c r="B278" s="76" t="s">
        <v>54</v>
      </c>
      <c r="C278" s="76">
        <v>2002</v>
      </c>
      <c r="D278" s="76" t="str">
        <f t="shared" si="21"/>
        <v>A02N</v>
      </c>
      <c r="E278" s="76" t="s">
        <v>107</v>
      </c>
      <c r="F278" s="77" t="s">
        <v>526</v>
      </c>
      <c r="G278" s="78">
        <v>0.81204277319144014</v>
      </c>
      <c r="H278" s="79">
        <v>37481</v>
      </c>
      <c r="I278" s="79">
        <v>42200</v>
      </c>
      <c r="J278" s="3">
        <f t="shared" si="19"/>
        <v>13</v>
      </c>
      <c r="K278" s="7">
        <v>7.9575596816976457E-3</v>
      </c>
      <c r="L278" s="7">
        <v>1.0283119658118567E-2</v>
      </c>
      <c r="M278" s="7">
        <v>6.6889632107023367E-3</v>
      </c>
      <c r="N278" s="7">
        <v>2.2789676002196613E-2</v>
      </c>
      <c r="O278" s="7">
        <v>-2.4999999999991696E-3</v>
      </c>
      <c r="P278" s="7">
        <v>-2.7500000000000524E-2</v>
      </c>
      <c r="Q278" s="7">
        <v>-0.29499999999999882</v>
      </c>
      <c r="R278" s="7">
        <v>-0.99250000000000116</v>
      </c>
      <c r="S278" s="7">
        <v>-0.99250000000000116</v>
      </c>
      <c r="T278" s="7">
        <v>-1</v>
      </c>
      <c r="U278" s="1">
        <v>3404</v>
      </c>
      <c r="W278" s="1">
        <v>1748084</v>
      </c>
    </row>
    <row r="279" spans="1:23" x14ac:dyDescent="0.25">
      <c r="A279" s="76">
        <v>3</v>
      </c>
      <c r="B279" s="76" t="s">
        <v>54</v>
      </c>
      <c r="C279" s="76">
        <v>2002</v>
      </c>
      <c r="D279" s="76" t="str">
        <f t="shared" si="21"/>
        <v>A02N</v>
      </c>
      <c r="E279" s="76" t="s">
        <v>107</v>
      </c>
      <c r="F279" s="77" t="s">
        <v>527</v>
      </c>
      <c r="G279" s="78">
        <v>0.71123116915277895</v>
      </c>
      <c r="H279" s="79">
        <v>37560</v>
      </c>
      <c r="I279" s="79">
        <v>42199</v>
      </c>
      <c r="J279" s="3">
        <f t="shared" si="19"/>
        <v>13</v>
      </c>
      <c r="K279" s="7">
        <v>1.3262599469494596E-3</v>
      </c>
      <c r="L279" s="7">
        <v>6.276709401709768E-3</v>
      </c>
      <c r="M279" s="7">
        <v>1.0033444816053505E-2</v>
      </c>
      <c r="N279" s="7">
        <v>2.4848984074683944E-2</v>
      </c>
      <c r="O279" s="7">
        <v>-1.2499999999999956E-2</v>
      </c>
      <c r="P279" s="7">
        <v>-8.0000000000001181E-2</v>
      </c>
      <c r="Q279" s="7">
        <v>-0.9924999999999955</v>
      </c>
      <c r="R279" s="7">
        <v>-0.99250000000000116</v>
      </c>
      <c r="S279" s="7">
        <v>-0.99499999999999889</v>
      </c>
      <c r="T279" s="7">
        <v>-1</v>
      </c>
      <c r="U279" s="1">
        <v>3469</v>
      </c>
      <c r="W279" s="1">
        <v>1747894</v>
      </c>
    </row>
    <row r="280" spans="1:23" x14ac:dyDescent="0.25">
      <c r="A280" s="76">
        <v>3</v>
      </c>
      <c r="B280" s="76" t="s">
        <v>54</v>
      </c>
      <c r="C280" s="76">
        <v>2002</v>
      </c>
      <c r="D280" s="76" t="str">
        <f t="shared" si="21"/>
        <v>A02N</v>
      </c>
      <c r="E280" s="76" t="s">
        <v>107</v>
      </c>
      <c r="F280" s="77" t="s">
        <v>528</v>
      </c>
      <c r="G280" s="78">
        <v>0.76739504862957097</v>
      </c>
      <c r="H280" s="79">
        <v>37560</v>
      </c>
      <c r="I280" s="79">
        <v>42199</v>
      </c>
      <c r="J280" s="3">
        <f t="shared" si="19"/>
        <v>13</v>
      </c>
      <c r="K280" s="7">
        <v>-3.9787798408486008E-3</v>
      </c>
      <c r="L280" s="7">
        <v>2.6709401709390512E-4</v>
      </c>
      <c r="M280" s="7">
        <v>2.6755852842812455E-3</v>
      </c>
      <c r="N280" s="7">
        <v>2.6908292147171498E-2</v>
      </c>
      <c r="O280" s="7">
        <v>-1.0000000000000897E-2</v>
      </c>
      <c r="P280" s="7">
        <v>-0.10499999999999832</v>
      </c>
      <c r="Q280" s="7">
        <v>-0.48250000000000171</v>
      </c>
      <c r="R280" s="7">
        <v>-0.99249999999999827</v>
      </c>
      <c r="S280" s="7">
        <v>-0.99500000000000166</v>
      </c>
      <c r="T280" s="7">
        <v>-1</v>
      </c>
      <c r="U280" s="1">
        <v>3607</v>
      </c>
      <c r="W280" s="1">
        <v>1748221</v>
      </c>
    </row>
    <row r="281" spans="1:23" x14ac:dyDescent="0.25">
      <c r="A281" s="76">
        <v>3</v>
      </c>
      <c r="B281" s="76" t="s">
        <v>54</v>
      </c>
      <c r="C281" s="76">
        <v>2002</v>
      </c>
      <c r="D281" s="76" t="str">
        <f t="shared" si="21"/>
        <v>A02N</v>
      </c>
      <c r="E281" s="76" t="s">
        <v>107</v>
      </c>
      <c r="F281" s="77" t="s">
        <v>529</v>
      </c>
      <c r="G281" s="78">
        <v>0.90420142217316057</v>
      </c>
      <c r="H281" s="79">
        <v>37559</v>
      </c>
      <c r="I281" s="79">
        <v>42200</v>
      </c>
      <c r="J281" s="3">
        <f t="shared" si="19"/>
        <v>13</v>
      </c>
      <c r="K281" s="7">
        <v>-5.9681697612726792E-3</v>
      </c>
      <c r="L281" s="7">
        <v>1.9631410256410575E-2</v>
      </c>
      <c r="M281" s="7">
        <v>2.0066889632104346E-3</v>
      </c>
      <c r="N281" s="7">
        <v>3.3086216364634824E-2</v>
      </c>
      <c r="O281" s="7">
        <v>1.0000000000002229E-2</v>
      </c>
      <c r="P281" s="7">
        <v>-5.0000000000011147E-3</v>
      </c>
      <c r="Q281" s="7">
        <v>-3.2499999999998863E-2</v>
      </c>
      <c r="R281" s="7">
        <v>-0.29000000000000337</v>
      </c>
      <c r="S281" s="7">
        <v>-0.99250000000000116</v>
      </c>
      <c r="T281" s="7">
        <v>-1</v>
      </c>
      <c r="U281" s="1">
        <v>2382</v>
      </c>
      <c r="W281" s="1">
        <v>1756559</v>
      </c>
    </row>
    <row r="282" spans="1:23" x14ac:dyDescent="0.25">
      <c r="A282" s="76">
        <v>3</v>
      </c>
      <c r="B282" s="76" t="s">
        <v>54</v>
      </c>
      <c r="C282" s="76">
        <v>2002</v>
      </c>
      <c r="D282" s="76" t="str">
        <f t="shared" si="21"/>
        <v>A02N</v>
      </c>
      <c r="E282" s="76" t="s">
        <v>107</v>
      </c>
      <c r="F282" s="77" t="s">
        <v>530</v>
      </c>
      <c r="G282" s="78">
        <v>0.80380940949692059</v>
      </c>
      <c r="H282" s="79">
        <v>37560</v>
      </c>
      <c r="I282" s="79">
        <v>42199</v>
      </c>
      <c r="J282" s="3">
        <f t="shared" si="19"/>
        <v>13</v>
      </c>
      <c r="K282" s="7">
        <v>-1.8567639257294544E-2</v>
      </c>
      <c r="L282" s="7">
        <v>-1.7094017094017477E-2</v>
      </c>
      <c r="M282" s="7">
        <v>-1.8060200668895909E-2</v>
      </c>
      <c r="N282" s="7">
        <v>1.112026359143381E-2</v>
      </c>
      <c r="O282" s="7">
        <v>-1.0000000000002229E-2</v>
      </c>
      <c r="P282" s="7">
        <v>-3.7499999999999978E-2</v>
      </c>
      <c r="Q282" s="7">
        <v>-0.28249999999999886</v>
      </c>
      <c r="R282" s="7">
        <v>-0.99000000000000343</v>
      </c>
      <c r="S282" s="7">
        <v>-0.99499999999999889</v>
      </c>
      <c r="T282" s="7">
        <v>-1</v>
      </c>
      <c r="U282" s="1">
        <v>1377</v>
      </c>
      <c r="W282" s="1">
        <v>1747924</v>
      </c>
    </row>
    <row r="283" spans="1:23" x14ac:dyDescent="0.25">
      <c r="A283" s="76">
        <v>3</v>
      </c>
      <c r="B283" s="76" t="s">
        <v>54</v>
      </c>
      <c r="C283" s="76">
        <v>2002</v>
      </c>
      <c r="D283" s="76" t="str">
        <f t="shared" si="21"/>
        <v>A02N</v>
      </c>
      <c r="E283" s="76" t="s">
        <v>107</v>
      </c>
      <c r="F283" s="77" t="s">
        <v>531</v>
      </c>
      <c r="G283" s="78">
        <v>0.83379589733483972</v>
      </c>
      <c r="H283" s="79">
        <v>37468</v>
      </c>
      <c r="I283" s="79">
        <v>42199</v>
      </c>
      <c r="J283" s="3">
        <f t="shared" si="19"/>
        <v>13</v>
      </c>
      <c r="K283" s="7">
        <v>8.6206896551721535E-3</v>
      </c>
      <c r="L283" s="7">
        <v>1.0283119658119677E-2</v>
      </c>
      <c r="M283" s="7">
        <v>1.2040133779264384E-2</v>
      </c>
      <c r="N283" s="7">
        <v>3.3772652388797564E-2</v>
      </c>
      <c r="O283" s="7">
        <v>-5.0000000000011147E-3</v>
      </c>
      <c r="P283" s="7">
        <v>2.7500000000000524E-2</v>
      </c>
      <c r="Q283" s="7">
        <v>-0.23000000000000109</v>
      </c>
      <c r="R283" s="7">
        <v>-0.99249999999999827</v>
      </c>
      <c r="S283" s="7">
        <v>-0.99250000000000116</v>
      </c>
      <c r="T283" s="7">
        <v>-1</v>
      </c>
      <c r="U283" s="1">
        <v>4700</v>
      </c>
      <c r="W283" s="1">
        <v>1748068</v>
      </c>
    </row>
    <row r="284" spans="1:23" x14ac:dyDescent="0.25">
      <c r="A284" s="76">
        <v>3</v>
      </c>
      <c r="B284" s="76" t="s">
        <v>54</v>
      </c>
      <c r="C284" s="76">
        <v>2002</v>
      </c>
      <c r="D284" s="76" t="str">
        <f t="shared" si="21"/>
        <v>A02N</v>
      </c>
      <c r="E284" s="76" t="s">
        <v>107</v>
      </c>
      <c r="F284" s="77" t="s">
        <v>532</v>
      </c>
      <c r="G284" s="78">
        <v>0.72042304672061208</v>
      </c>
      <c r="H284" s="79">
        <v>37481</v>
      </c>
      <c r="I284" s="79">
        <v>42200</v>
      </c>
      <c r="J284" s="3">
        <f t="shared" si="19"/>
        <v>13</v>
      </c>
      <c r="K284" s="7">
        <v>5.9681697612734563E-3</v>
      </c>
      <c r="L284" s="7">
        <v>8.2799145299146115E-3</v>
      </c>
      <c r="M284" s="7">
        <v>8.6956521739127712E-3</v>
      </c>
      <c r="N284" s="7">
        <v>3.7891268533772893E-2</v>
      </c>
      <c r="O284" s="7">
        <v>2.5000000000006128E-3</v>
      </c>
      <c r="P284" s="7">
        <v>-6.25E-2</v>
      </c>
      <c r="Q284" s="7">
        <v>-0.99000000000000343</v>
      </c>
      <c r="R284" s="7">
        <v>-0.9924999999999955</v>
      </c>
      <c r="S284" s="7">
        <v>-0.99500000000000455</v>
      </c>
      <c r="T284" s="7">
        <v>-1</v>
      </c>
      <c r="U284" s="1">
        <v>1792</v>
      </c>
      <c r="W284" s="1">
        <v>1756974</v>
      </c>
    </row>
    <row r="285" spans="1:23" x14ac:dyDescent="0.25">
      <c r="A285" s="76">
        <v>3</v>
      </c>
      <c r="B285" s="76" t="s">
        <v>54</v>
      </c>
      <c r="C285" s="76">
        <v>2002</v>
      </c>
      <c r="D285" s="76" t="str">
        <f t="shared" si="21"/>
        <v>A02N</v>
      </c>
      <c r="E285" s="76" t="s">
        <v>107</v>
      </c>
      <c r="F285" s="77" t="s">
        <v>533</v>
      </c>
      <c r="G285" s="78">
        <v>0.61473688584924058</v>
      </c>
      <c r="H285" s="79">
        <v>42171</v>
      </c>
      <c r="I285" s="79">
        <v>42171</v>
      </c>
      <c r="J285" s="3" t="str">
        <f t="shared" si="19"/>
        <v/>
      </c>
      <c r="K285" s="7">
        <v>3.315649867373649E-3</v>
      </c>
      <c r="L285" s="7">
        <v>1.9631410256410575E-2</v>
      </c>
      <c r="M285" s="7">
        <v>3.0769230769230216E-2</v>
      </c>
      <c r="N285" s="7">
        <v>1.5925315760570991E-2</v>
      </c>
      <c r="O285" s="7">
        <v>-7.2499999999996567E-2</v>
      </c>
      <c r="P285" s="7">
        <v>-0.43249999999999889</v>
      </c>
      <c r="Q285" s="7">
        <v>-0.99250000000000116</v>
      </c>
      <c r="R285" s="7">
        <v>-0.99499999999999889</v>
      </c>
      <c r="S285" s="7">
        <v>-0.99250000000000116</v>
      </c>
      <c r="T285" s="7">
        <v>-1</v>
      </c>
      <c r="U285" s="1">
        <v>82</v>
      </c>
      <c r="W285" s="1">
        <v>1596055</v>
      </c>
    </row>
    <row r="286" spans="1:23" x14ac:dyDescent="0.25">
      <c r="A286" s="76">
        <v>3</v>
      </c>
      <c r="B286" s="76" t="s">
        <v>54</v>
      </c>
      <c r="C286" s="76">
        <v>2002</v>
      </c>
      <c r="D286" s="76" t="str">
        <f t="shared" ref="D286:D300" si="22">LEFT(F286,4)</f>
        <v>A02N</v>
      </c>
      <c r="E286" s="76" t="s">
        <v>107</v>
      </c>
      <c r="F286" s="77" t="s">
        <v>534</v>
      </c>
      <c r="G286" s="78">
        <v>0.83843215587860931</v>
      </c>
      <c r="H286" s="79">
        <v>37578</v>
      </c>
      <c r="I286" s="79">
        <v>42203</v>
      </c>
      <c r="J286" s="3">
        <f t="shared" si="19"/>
        <v>13</v>
      </c>
      <c r="K286" s="7">
        <v>5.4376657824933616E-2</v>
      </c>
      <c r="L286" s="7">
        <v>4.2735042735060347E-3</v>
      </c>
      <c r="M286" s="7">
        <v>3.3444816053511683E-3</v>
      </c>
      <c r="N286" s="7">
        <v>2.6221856123009202E-2</v>
      </c>
      <c r="O286" s="7">
        <v>0</v>
      </c>
      <c r="P286" s="7">
        <v>-1.5000000000000568E-2</v>
      </c>
      <c r="Q286" s="7">
        <v>-0.12750000000000061</v>
      </c>
      <c r="R286" s="7">
        <v>-0.98499999999999943</v>
      </c>
      <c r="S286" s="7">
        <v>-0.99249999999999827</v>
      </c>
      <c r="T286" s="7">
        <v>-1</v>
      </c>
      <c r="U286" s="1">
        <v>2374</v>
      </c>
      <c r="W286" s="1">
        <v>1182307</v>
      </c>
    </row>
    <row r="287" spans="1:23" x14ac:dyDescent="0.25">
      <c r="A287" s="76">
        <v>3</v>
      </c>
      <c r="B287" s="76" t="s">
        <v>54</v>
      </c>
      <c r="C287" s="76">
        <v>2002</v>
      </c>
      <c r="D287" s="76" t="str">
        <f t="shared" si="22"/>
        <v>A02N</v>
      </c>
      <c r="E287" s="76" t="s">
        <v>107</v>
      </c>
      <c r="F287" s="77" t="s">
        <v>541</v>
      </c>
      <c r="G287" s="78">
        <v>0.81821175622940112</v>
      </c>
      <c r="H287" s="79">
        <v>37496</v>
      </c>
      <c r="I287" s="79">
        <v>42200</v>
      </c>
      <c r="J287" s="3">
        <f t="shared" si="19"/>
        <v>13</v>
      </c>
      <c r="K287" s="7">
        <v>-5.3475935828876109E-3</v>
      </c>
      <c r="L287" s="7">
        <v>-6.4145396231458651E-3</v>
      </c>
      <c r="M287" s="7">
        <v>8.7014725568945739E-3</v>
      </c>
      <c r="N287" s="7">
        <v>-1.6053511705686252E-2</v>
      </c>
      <c r="O287" s="7">
        <v>0</v>
      </c>
      <c r="P287" s="7">
        <v>-1.9999999999998908E-2</v>
      </c>
      <c r="Q287" s="7">
        <v>-0.22750000000000059</v>
      </c>
      <c r="R287" s="7">
        <v>-0.99249999999999827</v>
      </c>
      <c r="S287" s="7">
        <v>-0.99250000000000116</v>
      </c>
      <c r="T287" s="7">
        <v>-1</v>
      </c>
      <c r="U287" s="1">
        <v>3209</v>
      </c>
      <c r="W287" s="1">
        <v>2199084</v>
      </c>
    </row>
    <row r="288" spans="1:23" x14ac:dyDescent="0.25">
      <c r="A288" s="76">
        <v>3</v>
      </c>
      <c r="B288" s="76" t="s">
        <v>54</v>
      </c>
      <c r="C288" s="76">
        <v>2002</v>
      </c>
      <c r="D288" s="76" t="str">
        <f t="shared" si="22"/>
        <v>A02N</v>
      </c>
      <c r="E288" s="76" t="s">
        <v>107</v>
      </c>
      <c r="F288" s="77" t="s">
        <v>542</v>
      </c>
      <c r="G288" s="78">
        <v>0.83380458221736276</v>
      </c>
      <c r="H288" s="79">
        <v>37497</v>
      </c>
      <c r="I288" s="79">
        <v>42202</v>
      </c>
      <c r="J288" s="3">
        <f t="shared" si="19"/>
        <v>13</v>
      </c>
      <c r="K288" s="7">
        <v>-1.2032085561497596E-2</v>
      </c>
      <c r="L288" s="7">
        <v>-9.7554456768675912E-3</v>
      </c>
      <c r="M288" s="7">
        <v>-4.0160642570282734E-3</v>
      </c>
      <c r="N288" s="7">
        <v>-1.0702341137123539E-2</v>
      </c>
      <c r="O288" s="7">
        <v>4.4999999999998819E-2</v>
      </c>
      <c r="P288" s="7">
        <v>-6.7499999999998339E-2</v>
      </c>
      <c r="Q288" s="7">
        <v>-0.10250000000000059</v>
      </c>
      <c r="R288" s="7">
        <v>-0.96250000000000002</v>
      </c>
      <c r="S288" s="7">
        <v>-0.99250000000000116</v>
      </c>
      <c r="T288" s="7">
        <v>-1</v>
      </c>
      <c r="U288" s="1">
        <v>2160</v>
      </c>
      <c r="W288" s="1">
        <v>2237369</v>
      </c>
    </row>
    <row r="289" spans="1:23" x14ac:dyDescent="0.25">
      <c r="A289" s="76">
        <v>3</v>
      </c>
      <c r="B289" s="76" t="s">
        <v>54</v>
      </c>
      <c r="C289" s="76">
        <v>2002</v>
      </c>
      <c r="D289" s="76" t="str">
        <f t="shared" si="22"/>
        <v>A02N</v>
      </c>
      <c r="E289" s="76" t="s">
        <v>107</v>
      </c>
      <c r="F289" s="77" t="s">
        <v>543</v>
      </c>
      <c r="G289" s="78">
        <v>0.8225963166297261</v>
      </c>
      <c r="H289" s="79">
        <v>37496</v>
      </c>
      <c r="I289" s="79">
        <v>42202</v>
      </c>
      <c r="J289" s="3">
        <f t="shared" si="19"/>
        <v>13</v>
      </c>
      <c r="K289" s="7">
        <v>5.3475935828874999E-3</v>
      </c>
      <c r="L289" s="7">
        <v>4.944540959508803E-3</v>
      </c>
      <c r="M289" s="7">
        <v>1.0709504685408211E-2</v>
      </c>
      <c r="N289" s="7">
        <v>1.4715719063545407E-2</v>
      </c>
      <c r="O289" s="7">
        <v>4.9999999999954525E-3</v>
      </c>
      <c r="P289" s="7">
        <v>-1.9999999999998908E-2</v>
      </c>
      <c r="Q289" s="7">
        <v>-0.23000000000000109</v>
      </c>
      <c r="R289" s="7">
        <v>-0.9924999999999955</v>
      </c>
      <c r="S289" s="7">
        <v>-0.99500000000000455</v>
      </c>
      <c r="T289" s="7">
        <v>-1</v>
      </c>
      <c r="U289" s="1">
        <v>1902</v>
      </c>
      <c r="W289" s="1">
        <v>2199823</v>
      </c>
    </row>
    <row r="290" spans="1:23" x14ac:dyDescent="0.25">
      <c r="A290" s="76">
        <v>3</v>
      </c>
      <c r="B290" s="76" t="s">
        <v>54</v>
      </c>
      <c r="C290" s="76">
        <v>2002</v>
      </c>
      <c r="D290" s="76" t="str">
        <f t="shared" si="22"/>
        <v>A02N</v>
      </c>
      <c r="E290" s="76" t="s">
        <v>107</v>
      </c>
      <c r="F290" s="77" t="s">
        <v>544</v>
      </c>
      <c r="G290" s="78">
        <v>0.85151640933200845</v>
      </c>
      <c r="H290" s="79">
        <v>37495</v>
      </c>
      <c r="I290" s="79">
        <v>42202</v>
      </c>
      <c r="J290" s="3">
        <f t="shared" si="19"/>
        <v>13</v>
      </c>
      <c r="K290" s="7">
        <v>1.9385026737968047E-2</v>
      </c>
      <c r="L290" s="7">
        <v>2.0980890017372467E-2</v>
      </c>
      <c r="M290" s="7">
        <v>3.1459170013386162E-2</v>
      </c>
      <c r="N290" s="7">
        <v>2.7424749163880602E-2</v>
      </c>
      <c r="O290" s="7">
        <v>-3.0000000000001137E-2</v>
      </c>
      <c r="P290" s="7">
        <v>5.2499999999997771E-2</v>
      </c>
      <c r="Q290" s="7">
        <v>-0.1174999999999955</v>
      </c>
      <c r="R290" s="7">
        <v>-0.97000000000000453</v>
      </c>
      <c r="S290" s="7">
        <v>-0.9924999999999955</v>
      </c>
      <c r="T290" s="7">
        <v>-1</v>
      </c>
      <c r="U290" s="1">
        <v>2382</v>
      </c>
      <c r="W290" s="1">
        <v>2200741</v>
      </c>
    </row>
    <row r="291" spans="1:23" x14ac:dyDescent="0.25">
      <c r="A291" s="76">
        <v>3</v>
      </c>
      <c r="B291" s="76" t="s">
        <v>54</v>
      </c>
      <c r="C291" s="76">
        <v>2002</v>
      </c>
      <c r="D291" s="76" t="str">
        <f t="shared" si="22"/>
        <v>A02N</v>
      </c>
      <c r="E291" s="76" t="s">
        <v>107</v>
      </c>
      <c r="F291" s="77" t="s">
        <v>545</v>
      </c>
      <c r="G291" s="78">
        <v>0.819118817305164</v>
      </c>
      <c r="H291" s="79">
        <v>37468</v>
      </c>
      <c r="I291" s="79">
        <v>42231</v>
      </c>
      <c r="J291" s="3">
        <f t="shared" si="19"/>
        <v>13</v>
      </c>
      <c r="K291" s="7">
        <v>-2.7173913043480047E-3</v>
      </c>
      <c r="L291" s="7">
        <v>-8.8195386702838441E-3</v>
      </c>
      <c r="M291" s="7">
        <v>-1.8305084745762978E-2</v>
      </c>
      <c r="N291" s="7">
        <v>1.0847457627118029E-2</v>
      </c>
      <c r="O291" s="7">
        <v>-5.0000000000000044E-2</v>
      </c>
      <c r="P291" s="7">
        <v>-1.9999999999998908E-2</v>
      </c>
      <c r="Q291" s="7">
        <v>-0.125</v>
      </c>
      <c r="R291" s="7">
        <v>-0.99250000000000116</v>
      </c>
      <c r="S291" s="7">
        <v>-0.99499999999999889</v>
      </c>
      <c r="T291" s="7">
        <v>-1</v>
      </c>
      <c r="U291" s="1">
        <v>1322</v>
      </c>
      <c r="W291" s="1">
        <v>3787176</v>
      </c>
    </row>
    <row r="292" spans="1:23" x14ac:dyDescent="0.25">
      <c r="A292" s="76">
        <v>3</v>
      </c>
      <c r="B292" s="76" t="s">
        <v>54</v>
      </c>
      <c r="C292" s="76">
        <v>2002</v>
      </c>
      <c r="D292" s="76" t="str">
        <f t="shared" si="22"/>
        <v>A02N</v>
      </c>
      <c r="E292" s="76" t="s">
        <v>107</v>
      </c>
      <c r="F292" s="77" t="s">
        <v>546</v>
      </c>
      <c r="G292" s="78">
        <v>0.88625838812019475</v>
      </c>
      <c r="H292" s="79">
        <v>37648</v>
      </c>
      <c r="I292" s="79">
        <v>42271</v>
      </c>
      <c r="J292" s="3">
        <f t="shared" si="19"/>
        <v>12</v>
      </c>
      <c r="K292" s="7">
        <v>1.2907608695651662E-2</v>
      </c>
      <c r="L292" s="7">
        <v>-1.492537313432829E-2</v>
      </c>
      <c r="M292" s="7">
        <v>-5.4237288135593476E-3</v>
      </c>
      <c r="N292" s="7">
        <v>1.3559322033900312E-3</v>
      </c>
      <c r="O292" s="7">
        <v>5.4999999999998384E-2</v>
      </c>
      <c r="P292" s="7">
        <v>-5.7499999999998885E-2</v>
      </c>
      <c r="Q292" s="7">
        <v>-9.7499999999999476E-2</v>
      </c>
      <c r="R292" s="7">
        <v>-0.33750000000000002</v>
      </c>
      <c r="S292" s="7">
        <v>-0.99250000000000116</v>
      </c>
      <c r="T292" s="7">
        <v>-1</v>
      </c>
      <c r="U292" s="1">
        <v>1291</v>
      </c>
      <c r="W292" s="1">
        <v>3926231</v>
      </c>
    </row>
    <row r="293" spans="1:23" x14ac:dyDescent="0.25">
      <c r="A293" s="76">
        <v>3</v>
      </c>
      <c r="B293" s="76" t="s">
        <v>54</v>
      </c>
      <c r="C293" s="76">
        <v>2002</v>
      </c>
      <c r="D293" s="76" t="str">
        <f t="shared" si="22"/>
        <v>A02N</v>
      </c>
      <c r="E293" s="76" t="s">
        <v>107</v>
      </c>
      <c r="F293" s="77" t="s">
        <v>547</v>
      </c>
      <c r="G293" s="78">
        <v>0.8298786151769455</v>
      </c>
      <c r="H293" s="79">
        <v>37669</v>
      </c>
      <c r="I293" s="79">
        <v>42278</v>
      </c>
      <c r="J293" s="3">
        <f t="shared" si="19"/>
        <v>12</v>
      </c>
      <c r="K293" s="7">
        <v>5.4347826086960094E-3</v>
      </c>
      <c r="L293" s="7">
        <v>9.4979647218451646E-3</v>
      </c>
      <c r="M293" s="7">
        <v>2.0338983050847359E-2</v>
      </c>
      <c r="N293" s="7">
        <v>1.2203389830508948E-2</v>
      </c>
      <c r="O293" s="7">
        <v>1.2499999999999956E-2</v>
      </c>
      <c r="P293" s="7">
        <v>-1.7500000000001181E-2</v>
      </c>
      <c r="Q293" s="7">
        <v>-0.19499999999999884</v>
      </c>
      <c r="R293" s="7">
        <v>-0.99250000000000116</v>
      </c>
      <c r="S293" s="7">
        <v>-0.99749999999999939</v>
      </c>
      <c r="T293" s="7">
        <v>-1</v>
      </c>
      <c r="U293" s="1">
        <v>2875</v>
      </c>
      <c r="W293" s="1">
        <v>96521</v>
      </c>
    </row>
    <row r="294" spans="1:23" x14ac:dyDescent="0.25">
      <c r="A294" s="76">
        <v>3</v>
      </c>
      <c r="B294" s="76" t="s">
        <v>54</v>
      </c>
      <c r="C294" s="76">
        <v>2002</v>
      </c>
      <c r="D294" s="76" t="str">
        <f t="shared" si="22"/>
        <v>A02N</v>
      </c>
      <c r="E294" s="76" t="s">
        <v>107</v>
      </c>
      <c r="F294" s="77" t="s">
        <v>548</v>
      </c>
      <c r="G294" s="78">
        <v>0.79287714039269686</v>
      </c>
      <c r="H294" s="79">
        <v>37567</v>
      </c>
      <c r="I294" s="79">
        <v>42230</v>
      </c>
      <c r="J294" s="3">
        <f t="shared" si="19"/>
        <v>13</v>
      </c>
      <c r="K294" s="7">
        <v>-4.0760869565215074E-3</v>
      </c>
      <c r="L294" s="7">
        <v>2.7137042062412853E-3</v>
      </c>
      <c r="M294" s="7">
        <v>-1.7627118644067186E-2</v>
      </c>
      <c r="N294" s="7">
        <v>-2.6440677966102277E-2</v>
      </c>
      <c r="O294" s="7">
        <v>-1.0000000000002229E-2</v>
      </c>
      <c r="P294" s="7">
        <v>-0.16249999999999998</v>
      </c>
      <c r="Q294" s="7">
        <v>-0.40249999999999775</v>
      </c>
      <c r="R294" s="7">
        <v>-0.5225000000000023</v>
      </c>
      <c r="S294" s="7">
        <v>-0.98999999999999777</v>
      </c>
      <c r="T294" s="7">
        <v>-1</v>
      </c>
      <c r="U294" s="1">
        <v>5347</v>
      </c>
      <c r="W294" s="1">
        <v>1242301</v>
      </c>
    </row>
    <row r="295" spans="1:23" x14ac:dyDescent="0.25">
      <c r="A295" s="76">
        <v>3</v>
      </c>
      <c r="B295" s="76" t="s">
        <v>54</v>
      </c>
      <c r="C295" s="76">
        <v>2002</v>
      </c>
      <c r="D295" s="76" t="str">
        <f t="shared" si="22"/>
        <v>A02N</v>
      </c>
      <c r="E295" s="76" t="s">
        <v>107</v>
      </c>
      <c r="F295" s="77" t="s">
        <v>549</v>
      </c>
      <c r="G295" s="78">
        <v>0.85983365606698881</v>
      </c>
      <c r="H295" s="79">
        <v>37501</v>
      </c>
      <c r="I295" s="79">
        <v>42230</v>
      </c>
      <c r="J295" s="3">
        <f t="shared" si="19"/>
        <v>13</v>
      </c>
      <c r="K295" s="7">
        <v>1.0190217391303102E-2</v>
      </c>
      <c r="L295" s="7">
        <v>3.3242876526460075E-2</v>
      </c>
      <c r="M295" s="7">
        <v>2.0338983050847359E-2</v>
      </c>
      <c r="N295" s="7">
        <v>8.1355932203388548E-3</v>
      </c>
      <c r="O295" s="7">
        <v>7.5000000000002842E-3</v>
      </c>
      <c r="P295" s="7">
        <v>-1.000000000000012E-2</v>
      </c>
      <c r="Q295" s="7">
        <v>-0.18499999999999939</v>
      </c>
      <c r="R295" s="7">
        <v>-0.99250000000000116</v>
      </c>
      <c r="S295" s="7">
        <v>-0.54499999999999882</v>
      </c>
      <c r="T295" s="7">
        <v>-1</v>
      </c>
      <c r="U295" s="1">
        <v>3880</v>
      </c>
      <c r="W295" s="1">
        <v>3741648</v>
      </c>
    </row>
    <row r="296" spans="1:23" x14ac:dyDescent="0.25">
      <c r="A296" s="76">
        <v>3</v>
      </c>
      <c r="B296" s="76" t="s">
        <v>54</v>
      </c>
      <c r="C296" s="76">
        <v>2002</v>
      </c>
      <c r="D296" s="76" t="str">
        <f t="shared" si="22"/>
        <v>A02N</v>
      </c>
      <c r="E296" s="76" t="s">
        <v>107</v>
      </c>
      <c r="F296" s="77" t="s">
        <v>550</v>
      </c>
      <c r="G296" s="78">
        <v>0.86653806225071461</v>
      </c>
      <c r="H296" s="79">
        <v>37304</v>
      </c>
      <c r="I296" s="79">
        <v>42203</v>
      </c>
      <c r="J296" s="3">
        <f t="shared" si="19"/>
        <v>13</v>
      </c>
      <c r="K296" s="7">
        <v>-2.0380434782601986E-3</v>
      </c>
      <c r="L296" s="7">
        <v>-5.4274084124834587E-3</v>
      </c>
      <c r="M296" s="7">
        <v>-5.4237288135590145E-3</v>
      </c>
      <c r="N296" s="7">
        <v>3.3898305084745228E-3</v>
      </c>
      <c r="O296" s="7">
        <v>2.4999999999999467E-3</v>
      </c>
      <c r="P296" s="7">
        <v>-5.0000000000001155E-3</v>
      </c>
      <c r="Q296" s="7">
        <v>-7.250000000000012E-2</v>
      </c>
      <c r="R296" s="7">
        <v>-0.65499999999999969</v>
      </c>
      <c r="S296" s="7">
        <v>-0.99500000000000033</v>
      </c>
      <c r="T296" s="7">
        <v>-1</v>
      </c>
      <c r="U296" s="1">
        <v>1324</v>
      </c>
      <c r="W296" s="1">
        <v>823473</v>
      </c>
    </row>
    <row r="297" spans="1:23" x14ac:dyDescent="0.25">
      <c r="A297" s="76">
        <v>3</v>
      </c>
      <c r="B297" s="76" t="s">
        <v>54</v>
      </c>
      <c r="C297" s="76">
        <v>2002</v>
      </c>
      <c r="D297" s="76" t="str">
        <f t="shared" si="22"/>
        <v>A02N</v>
      </c>
      <c r="E297" s="76" t="s">
        <v>107</v>
      </c>
      <c r="F297" s="77" t="s">
        <v>551</v>
      </c>
      <c r="G297" s="78">
        <v>0.7922996902530125</v>
      </c>
      <c r="H297" s="79">
        <v>37509</v>
      </c>
      <c r="I297" s="79">
        <v>42230</v>
      </c>
      <c r="J297" s="3">
        <f t="shared" si="19"/>
        <v>13</v>
      </c>
      <c r="K297" s="7">
        <v>4.7554347826086474E-3</v>
      </c>
      <c r="L297" s="7">
        <v>1.0176390773406485E-2</v>
      </c>
      <c r="M297" s="7">
        <v>1.8305084745761535E-2</v>
      </c>
      <c r="N297" s="7">
        <v>1.3559322033900312E-3</v>
      </c>
      <c r="O297" s="7">
        <v>0</v>
      </c>
      <c r="P297" s="7">
        <v>-5.0000000000000044E-2</v>
      </c>
      <c r="Q297" s="7">
        <v>-0.40500000000000114</v>
      </c>
      <c r="R297" s="7">
        <v>-0.99749999999999661</v>
      </c>
      <c r="S297" s="7">
        <v>-0.99499999999999889</v>
      </c>
      <c r="T297" s="7">
        <v>-1</v>
      </c>
      <c r="U297" s="1">
        <v>3678</v>
      </c>
      <c r="W297" s="1">
        <v>1243632</v>
      </c>
    </row>
    <row r="298" spans="1:23" x14ac:dyDescent="0.25">
      <c r="A298" s="76">
        <v>3</v>
      </c>
      <c r="B298" s="76" t="s">
        <v>54</v>
      </c>
      <c r="C298" s="76">
        <v>2002</v>
      </c>
      <c r="D298" s="76" t="str">
        <f t="shared" si="22"/>
        <v>A02N</v>
      </c>
      <c r="E298" s="76" t="s">
        <v>107</v>
      </c>
      <c r="F298" s="77" t="s">
        <v>552</v>
      </c>
      <c r="G298" s="78">
        <v>0.49822765107803246</v>
      </c>
      <c r="H298" s="79">
        <v>37502</v>
      </c>
      <c r="I298" s="79">
        <v>42203</v>
      </c>
      <c r="J298" s="3">
        <f t="shared" si="19"/>
        <v>13</v>
      </c>
      <c r="K298" s="7">
        <v>8.8315217391305989E-3</v>
      </c>
      <c r="L298" s="7">
        <v>2.7137042062412853E-3</v>
      </c>
      <c r="M298" s="7">
        <v>-2.6440677966101944E-2</v>
      </c>
      <c r="N298" s="7">
        <v>-5.8983050847457585E-2</v>
      </c>
      <c r="O298" s="7">
        <v>-0.41499999999999981</v>
      </c>
      <c r="P298" s="7">
        <v>-0.54000000000000059</v>
      </c>
      <c r="Q298" s="7">
        <v>-0.99499999999999889</v>
      </c>
      <c r="R298" s="7">
        <v>-1</v>
      </c>
      <c r="S298" s="7">
        <v>-0.99750000000000083</v>
      </c>
      <c r="T298" s="7">
        <v>-1</v>
      </c>
      <c r="U298" s="1">
        <v>2639</v>
      </c>
      <c r="W298" s="1">
        <v>825441</v>
      </c>
    </row>
    <row r="299" spans="1:23" x14ac:dyDescent="0.25">
      <c r="A299" s="76">
        <v>3</v>
      </c>
      <c r="B299" s="76" t="s">
        <v>54</v>
      </c>
      <c r="C299" s="76">
        <v>2002</v>
      </c>
      <c r="D299" s="76" t="str">
        <f t="shared" si="22"/>
        <v>A02N</v>
      </c>
      <c r="E299" s="76" t="s">
        <v>107</v>
      </c>
      <c r="F299" s="77" t="s">
        <v>553</v>
      </c>
      <c r="G299" s="78">
        <v>0.82209630326094474</v>
      </c>
      <c r="H299" s="79">
        <v>37543</v>
      </c>
      <c r="I299" s="79">
        <v>42230</v>
      </c>
      <c r="J299" s="3">
        <f t="shared" si="19"/>
        <v>13</v>
      </c>
      <c r="K299" s="7">
        <v>1.1548913043478937E-2</v>
      </c>
      <c r="L299" s="7">
        <v>-2.1031207598371959E-2</v>
      </c>
      <c r="M299" s="7">
        <v>-1.1525423728813822E-2</v>
      </c>
      <c r="N299" s="7">
        <v>1.0169491525423791E-2</v>
      </c>
      <c r="O299" s="7">
        <v>5.0000000000012257E-3</v>
      </c>
      <c r="P299" s="7">
        <v>-1.9999999999998908E-2</v>
      </c>
      <c r="Q299" s="7">
        <v>-0.20500000000000118</v>
      </c>
      <c r="R299" s="7">
        <v>-0.99499999999999889</v>
      </c>
      <c r="S299" s="7">
        <v>-0.99500000000000455</v>
      </c>
      <c r="T299" s="7">
        <v>-1</v>
      </c>
      <c r="U299" s="1">
        <v>2089</v>
      </c>
      <c r="W299" s="1">
        <v>1242271</v>
      </c>
    </row>
    <row r="300" spans="1:23" x14ac:dyDescent="0.25">
      <c r="A300" s="76">
        <v>3</v>
      </c>
      <c r="B300" s="76" t="s">
        <v>54</v>
      </c>
      <c r="C300" s="76">
        <v>2002</v>
      </c>
      <c r="D300" s="76" t="str">
        <f t="shared" si="22"/>
        <v>A02N</v>
      </c>
      <c r="E300" s="76" t="s">
        <v>107</v>
      </c>
      <c r="F300" s="77" t="s">
        <v>554</v>
      </c>
      <c r="G300" s="78">
        <v>0.85241258310194179</v>
      </c>
      <c r="H300" s="79">
        <v>37567</v>
      </c>
      <c r="I300" s="79">
        <v>42230</v>
      </c>
      <c r="J300" s="3">
        <f t="shared" si="19"/>
        <v>13</v>
      </c>
      <c r="K300" s="7">
        <v>4.7554347826093135E-3</v>
      </c>
      <c r="L300" s="7">
        <v>4.070556309362372E-3</v>
      </c>
      <c r="M300" s="7">
        <v>2.0338983050847137E-3</v>
      </c>
      <c r="N300" s="7">
        <v>2.0338983050847137E-3</v>
      </c>
      <c r="O300" s="7">
        <v>7.4999999999989519E-3</v>
      </c>
      <c r="P300" s="7">
        <v>-9.9999999999994538E-3</v>
      </c>
      <c r="Q300" s="7">
        <v>-8.7500000000000022E-2</v>
      </c>
      <c r="R300" s="7">
        <v>-0.84000000000000052</v>
      </c>
      <c r="S300" s="7">
        <v>-0.99749999999999939</v>
      </c>
      <c r="T300" s="7">
        <v>-1</v>
      </c>
      <c r="U300" s="1">
        <v>1942</v>
      </c>
      <c r="W300" s="1">
        <v>4468244</v>
      </c>
    </row>
    <row r="301" spans="1:23" x14ac:dyDescent="0.25">
      <c r="A301" s="76">
        <v>3</v>
      </c>
      <c r="B301" s="76" t="s">
        <v>54</v>
      </c>
      <c r="C301" s="76">
        <v>2002</v>
      </c>
      <c r="D301" s="76" t="str">
        <f t="shared" ref="D301:D310" si="23">LEFT(F301,4)</f>
        <v>A02N</v>
      </c>
      <c r="E301" s="76" t="s">
        <v>107</v>
      </c>
      <c r="F301" s="77" t="s">
        <v>555</v>
      </c>
      <c r="G301" s="78">
        <v>0.82349140861791426</v>
      </c>
      <c r="H301" s="79">
        <v>37497</v>
      </c>
      <c r="I301" s="79">
        <v>42201</v>
      </c>
      <c r="J301" s="3">
        <f t="shared" si="19"/>
        <v>13</v>
      </c>
      <c r="K301" s="7">
        <v>-6.6577896138531045E-4</v>
      </c>
      <c r="L301" s="7">
        <v>-1.3324450366416496E-3</v>
      </c>
      <c r="M301" s="7">
        <v>5.7356275843667426E-3</v>
      </c>
      <c r="N301" s="7">
        <v>-9.2961487383794728E-3</v>
      </c>
      <c r="O301" s="7">
        <v>5.0000000000012257E-3</v>
      </c>
      <c r="P301" s="7">
        <v>-2.2500000000002296E-2</v>
      </c>
      <c r="Q301" s="7">
        <v>-0.19250000000000111</v>
      </c>
      <c r="R301" s="7">
        <v>-0.99250000000000116</v>
      </c>
      <c r="S301" s="7">
        <v>-1</v>
      </c>
      <c r="T301" s="7">
        <v>-1</v>
      </c>
      <c r="U301" s="1">
        <v>3220</v>
      </c>
      <c r="W301" s="1">
        <v>2233461</v>
      </c>
    </row>
    <row r="302" spans="1:23" x14ac:dyDescent="0.25">
      <c r="A302" s="76">
        <v>3</v>
      </c>
      <c r="B302" s="76" t="s">
        <v>54</v>
      </c>
      <c r="C302" s="76">
        <v>2002</v>
      </c>
      <c r="D302" s="76" t="str">
        <f t="shared" si="23"/>
        <v>A02N</v>
      </c>
      <c r="E302" s="76" t="s">
        <v>107</v>
      </c>
      <c r="F302" s="77" t="s">
        <v>556</v>
      </c>
      <c r="G302" s="78">
        <v>0.82150672633603261</v>
      </c>
      <c r="H302" s="79">
        <v>37588</v>
      </c>
      <c r="I302" s="79">
        <v>42202</v>
      </c>
      <c r="J302" s="3">
        <f t="shared" si="19"/>
        <v>13</v>
      </c>
      <c r="K302" s="7">
        <v>-1.398135818908175E-2</v>
      </c>
      <c r="L302" s="7">
        <v>-4.6635576282472169E-3</v>
      </c>
      <c r="M302" s="7">
        <v>-2.294251033747019E-2</v>
      </c>
      <c r="N302" s="7">
        <v>-1.3280212483399723E-2</v>
      </c>
      <c r="O302" s="7">
        <v>7.5000000000002842E-3</v>
      </c>
      <c r="P302" s="7">
        <v>-2.000000000000024E-2</v>
      </c>
      <c r="Q302" s="7">
        <v>-0.22249999999999948</v>
      </c>
      <c r="R302" s="7">
        <v>-0.94500000000000028</v>
      </c>
      <c r="S302" s="7">
        <v>-0.99750000000000083</v>
      </c>
      <c r="T302" s="7">
        <v>-1</v>
      </c>
      <c r="U302" s="1">
        <v>2270</v>
      </c>
      <c r="W302" s="1">
        <v>2231981</v>
      </c>
    </row>
    <row r="303" spans="1:23" x14ac:dyDescent="0.25">
      <c r="A303" s="76">
        <v>3</v>
      </c>
      <c r="B303" s="76" t="s">
        <v>54</v>
      </c>
      <c r="C303" s="76">
        <v>2002</v>
      </c>
      <c r="D303" s="76" t="str">
        <f t="shared" si="23"/>
        <v>A02N</v>
      </c>
      <c r="E303" s="76" t="s">
        <v>107</v>
      </c>
      <c r="F303" s="77" t="s">
        <v>557</v>
      </c>
      <c r="G303" s="78">
        <v>0.80775602938238789</v>
      </c>
      <c r="H303" s="79">
        <v>37497</v>
      </c>
      <c r="I303" s="79">
        <v>42201</v>
      </c>
      <c r="J303" s="3">
        <f t="shared" si="19"/>
        <v>13</v>
      </c>
      <c r="K303" s="7">
        <v>-2.5965379494008234E-2</v>
      </c>
      <c r="L303" s="7">
        <v>-3.7974683544303112E-2</v>
      </c>
      <c r="M303" s="7">
        <v>-4.4284380418834535E-2</v>
      </c>
      <c r="N303" s="7">
        <v>-3.4528552456838724E-2</v>
      </c>
      <c r="O303" s="7">
        <v>-3.5000000000002252E-2</v>
      </c>
      <c r="P303" s="7">
        <v>-1.4999999999997682E-2</v>
      </c>
      <c r="Q303" s="7">
        <v>-0.18500000000000227</v>
      </c>
      <c r="R303" s="7">
        <v>-0.99499999999999889</v>
      </c>
      <c r="S303" s="7">
        <v>-1</v>
      </c>
      <c r="T303" s="7">
        <v>-1</v>
      </c>
      <c r="U303" s="1">
        <v>1846</v>
      </c>
      <c r="W303" s="1">
        <v>2233291</v>
      </c>
    </row>
    <row r="304" spans="1:23" x14ac:dyDescent="0.25">
      <c r="A304" s="76">
        <v>3</v>
      </c>
      <c r="B304" s="76" t="s">
        <v>54</v>
      </c>
      <c r="C304" s="76">
        <v>2002</v>
      </c>
      <c r="D304" s="76" t="str">
        <f t="shared" si="23"/>
        <v>A02N</v>
      </c>
      <c r="E304" s="76" t="s">
        <v>107</v>
      </c>
      <c r="F304" s="77" t="s">
        <v>558</v>
      </c>
      <c r="G304" s="78">
        <v>0.82546877610302272</v>
      </c>
      <c r="H304" s="79">
        <v>37497</v>
      </c>
      <c r="I304" s="79">
        <v>42202</v>
      </c>
      <c r="J304" s="3">
        <f t="shared" si="19"/>
        <v>13</v>
      </c>
      <c r="K304" s="7">
        <v>-1.864181091877426E-2</v>
      </c>
      <c r="L304" s="7">
        <v>-1.9986675549634181E-2</v>
      </c>
      <c r="M304" s="7">
        <v>-8.9369080965714387E-3</v>
      </c>
      <c r="N304" s="7">
        <v>-1.7264276228419639E-2</v>
      </c>
      <c r="O304" s="7">
        <v>0</v>
      </c>
      <c r="P304" s="7">
        <v>-1.4999999999999125E-2</v>
      </c>
      <c r="Q304" s="7">
        <v>-0.15250000000000052</v>
      </c>
      <c r="R304" s="7">
        <v>-0.99249999999999972</v>
      </c>
      <c r="S304" s="7">
        <v>-0.99750000000000083</v>
      </c>
      <c r="T304" s="7">
        <v>-1</v>
      </c>
      <c r="U304" s="1">
        <v>1389</v>
      </c>
      <c r="W304" s="1">
        <v>2237865</v>
      </c>
    </row>
    <row r="305" spans="1:23" x14ac:dyDescent="0.25">
      <c r="A305" s="76">
        <v>3</v>
      </c>
      <c r="B305" s="76" t="s">
        <v>54</v>
      </c>
      <c r="C305" s="76">
        <v>2002</v>
      </c>
      <c r="D305" s="76" t="str">
        <f t="shared" si="23"/>
        <v>A02N</v>
      </c>
      <c r="E305" s="76" t="s">
        <v>107</v>
      </c>
      <c r="F305" s="77" t="s">
        <v>559</v>
      </c>
      <c r="G305" s="78">
        <v>0.69946201690283882</v>
      </c>
      <c r="H305" s="79">
        <v>37497</v>
      </c>
      <c r="I305" s="79">
        <v>42567</v>
      </c>
      <c r="J305" s="3">
        <f t="shared" si="19"/>
        <v>14</v>
      </c>
      <c r="K305" s="7">
        <v>-2.5965379494008234E-2</v>
      </c>
      <c r="L305" s="7">
        <v>-2.7315123251165141E-2</v>
      </c>
      <c r="M305" s="7">
        <v>-1.9607843137254832E-2</v>
      </c>
      <c r="N305" s="7">
        <v>-3.3200531208499862E-2</v>
      </c>
      <c r="O305" s="7">
        <v>3.0000000000001137E-2</v>
      </c>
      <c r="P305" s="7">
        <v>-0.15000000000000002</v>
      </c>
      <c r="Q305" s="7">
        <v>-0.94499999999999884</v>
      </c>
      <c r="R305" s="7">
        <v>-1</v>
      </c>
      <c r="S305" s="7">
        <v>-1</v>
      </c>
      <c r="T305" s="7">
        <v>-1</v>
      </c>
      <c r="U305" s="1">
        <v>2609</v>
      </c>
      <c r="W305" s="1">
        <v>2233282</v>
      </c>
    </row>
    <row r="306" spans="1:23" x14ac:dyDescent="0.25">
      <c r="A306" s="76">
        <v>3</v>
      </c>
      <c r="B306" s="76" t="s">
        <v>54</v>
      </c>
      <c r="C306" s="76">
        <v>2002</v>
      </c>
      <c r="D306" s="76" t="str">
        <f t="shared" si="23"/>
        <v>A02N</v>
      </c>
      <c r="E306" s="76" t="s">
        <v>107</v>
      </c>
      <c r="F306" s="77" t="s">
        <v>560</v>
      </c>
      <c r="G306" s="78">
        <v>0.80441020825733789</v>
      </c>
      <c r="H306" s="79">
        <v>37497</v>
      </c>
      <c r="I306" s="79">
        <v>42202</v>
      </c>
      <c r="J306" s="3">
        <f t="shared" si="19"/>
        <v>13</v>
      </c>
      <c r="K306" s="7">
        <v>-5.3262316910779317E-3</v>
      </c>
      <c r="L306" s="7">
        <v>7.3284477015327365E-3</v>
      </c>
      <c r="M306" s="7">
        <v>9.7372282246221964E-3</v>
      </c>
      <c r="N306" s="7">
        <v>-1.3280212483393061E-3</v>
      </c>
      <c r="O306" s="7">
        <v>1.0000000000002229E-2</v>
      </c>
      <c r="P306" s="7">
        <v>-2.5000000000000022E-2</v>
      </c>
      <c r="Q306" s="7">
        <v>-0.36250000000000004</v>
      </c>
      <c r="R306" s="7">
        <v>-0.99500000000000455</v>
      </c>
      <c r="S306" s="7">
        <v>-0.99749999999999661</v>
      </c>
      <c r="T306" s="7">
        <v>-1</v>
      </c>
      <c r="U306" s="1">
        <v>1681</v>
      </c>
      <c r="W306" s="1">
        <v>2231999</v>
      </c>
    </row>
    <row r="307" spans="1:23" x14ac:dyDescent="0.25">
      <c r="A307" s="76">
        <v>3</v>
      </c>
      <c r="B307" s="76" t="s">
        <v>54</v>
      </c>
      <c r="C307" s="76">
        <v>2002</v>
      </c>
      <c r="D307" s="76" t="str">
        <f t="shared" si="23"/>
        <v>A02N</v>
      </c>
      <c r="E307" s="76" t="s">
        <v>107</v>
      </c>
      <c r="F307" s="77" t="s">
        <v>561</v>
      </c>
      <c r="G307" s="78">
        <v>0.79002161496750511</v>
      </c>
      <c r="H307" s="79">
        <v>37495</v>
      </c>
      <c r="I307" s="79">
        <v>42202</v>
      </c>
      <c r="J307" s="3">
        <f t="shared" si="19"/>
        <v>13</v>
      </c>
      <c r="K307" s="7">
        <v>7.3235685752330859E-3</v>
      </c>
      <c r="L307" s="7">
        <v>4.663557628247883E-3</v>
      </c>
      <c r="M307" s="7">
        <v>1.2404961984793905E-2</v>
      </c>
      <c r="N307" s="7">
        <v>4.6480743691896809E-3</v>
      </c>
      <c r="O307" s="7">
        <v>9.9999999999993427E-3</v>
      </c>
      <c r="P307" s="7">
        <v>-3.4999999999999476E-2</v>
      </c>
      <c r="Q307" s="7">
        <v>-0.46999999999999886</v>
      </c>
      <c r="R307" s="7">
        <v>-0.99250000000000116</v>
      </c>
      <c r="S307" s="7">
        <v>-0.99749999999999939</v>
      </c>
      <c r="T307" s="7">
        <v>-1</v>
      </c>
      <c r="U307" s="1">
        <v>3139</v>
      </c>
      <c r="W307" s="1">
        <v>2201089</v>
      </c>
    </row>
    <row r="308" spans="1:23" x14ac:dyDescent="0.25">
      <c r="A308" s="76">
        <v>3</v>
      </c>
      <c r="B308" s="76" t="s">
        <v>54</v>
      </c>
      <c r="C308" s="76">
        <v>2002</v>
      </c>
      <c r="D308" s="76" t="str">
        <f t="shared" si="23"/>
        <v>A02N</v>
      </c>
      <c r="E308" s="76" t="s">
        <v>107</v>
      </c>
      <c r="F308" s="77" t="s">
        <v>562</v>
      </c>
      <c r="G308" s="78">
        <v>0.81335226309884612</v>
      </c>
      <c r="H308" s="79">
        <v>37497</v>
      </c>
      <c r="I308" s="79">
        <v>42201</v>
      </c>
      <c r="J308" s="3">
        <f t="shared" si="19"/>
        <v>13</v>
      </c>
      <c r="K308" s="7">
        <v>-1.3981358189080972E-2</v>
      </c>
      <c r="L308" s="7">
        <v>-1.5989340439706567E-2</v>
      </c>
      <c r="M308" s="7">
        <v>-7.6030412164869166E-3</v>
      </c>
      <c r="N308" s="7">
        <v>-1.4608233731739029E-2</v>
      </c>
      <c r="O308" s="7">
        <v>4.9999999999954525E-3</v>
      </c>
      <c r="P308" s="7">
        <v>-2.7499999999997748E-2</v>
      </c>
      <c r="Q308" s="7">
        <v>-0.23999999999999777</v>
      </c>
      <c r="R308" s="7">
        <v>-0.99500000000000455</v>
      </c>
      <c r="S308" s="7">
        <v>-1</v>
      </c>
      <c r="T308" s="7">
        <v>-1</v>
      </c>
      <c r="U308" s="1">
        <v>2133</v>
      </c>
      <c r="W308" s="1">
        <v>2233533</v>
      </c>
    </row>
    <row r="309" spans="1:23" x14ac:dyDescent="0.25">
      <c r="A309" s="76">
        <v>3</v>
      </c>
      <c r="B309" s="76" t="s">
        <v>54</v>
      </c>
      <c r="C309" s="76">
        <v>2002</v>
      </c>
      <c r="D309" s="76" t="str">
        <f t="shared" si="23"/>
        <v>A02N</v>
      </c>
      <c r="E309" s="76" t="s">
        <v>107</v>
      </c>
      <c r="F309" s="77" t="s">
        <v>563</v>
      </c>
      <c r="G309" s="78">
        <v>0.71759395820447824</v>
      </c>
      <c r="H309" s="79">
        <v>37433</v>
      </c>
      <c r="I309" s="79">
        <v>42203</v>
      </c>
      <c r="J309" s="3">
        <f t="shared" si="19"/>
        <v>13</v>
      </c>
      <c r="K309" s="7">
        <v>-5.3262316910779317E-3</v>
      </c>
      <c r="L309" s="7">
        <v>-8.6608927381748302E-3</v>
      </c>
      <c r="M309" s="7">
        <v>-3.6014405762313517E-3</v>
      </c>
      <c r="N309" s="7">
        <v>-1.1952191235058529E-2</v>
      </c>
      <c r="O309" s="7">
        <v>7.4999999999989519E-3</v>
      </c>
      <c r="P309" s="7">
        <v>-5.0000000000000044E-2</v>
      </c>
      <c r="Q309" s="7">
        <v>-0.99250000000000116</v>
      </c>
      <c r="R309" s="7">
        <v>-0.99499999999999889</v>
      </c>
      <c r="S309" s="7">
        <v>-1</v>
      </c>
      <c r="T309" s="7">
        <v>-1</v>
      </c>
      <c r="U309" s="1">
        <v>3431</v>
      </c>
      <c r="W309" s="29">
        <v>819743</v>
      </c>
    </row>
    <row r="310" spans="1:23" x14ac:dyDescent="0.25">
      <c r="A310" s="76">
        <v>3</v>
      </c>
      <c r="B310" s="76" t="s">
        <v>54</v>
      </c>
      <c r="C310" s="76">
        <v>2002</v>
      </c>
      <c r="D310" s="76" t="str">
        <f t="shared" si="23"/>
        <v>A02N</v>
      </c>
      <c r="E310" s="76" t="s">
        <v>107</v>
      </c>
      <c r="F310" s="77" t="s">
        <v>564</v>
      </c>
      <c r="G310" s="78">
        <v>0</v>
      </c>
      <c r="H310" s="79">
        <v>37531</v>
      </c>
      <c r="I310" s="79">
        <v>42203</v>
      </c>
      <c r="J310" s="3">
        <f t="shared" si="19"/>
        <v>13</v>
      </c>
      <c r="K310" s="7">
        <v>-1</v>
      </c>
      <c r="L310" s="7">
        <v>-1</v>
      </c>
      <c r="M310" s="7">
        <v>-1</v>
      </c>
      <c r="N310" s="7">
        <v>-1</v>
      </c>
      <c r="O310" s="7">
        <v>-1</v>
      </c>
      <c r="P310" s="7">
        <v>-1</v>
      </c>
      <c r="Q310" s="7">
        <v>-1</v>
      </c>
      <c r="R310" s="7">
        <v>-1</v>
      </c>
      <c r="S310" s="7">
        <v>-1</v>
      </c>
      <c r="T310" s="7">
        <v>-1</v>
      </c>
      <c r="U310" s="1">
        <v>2034</v>
      </c>
      <c r="W310" s="1">
        <v>817211</v>
      </c>
    </row>
    <row r="311" spans="1:23" x14ac:dyDescent="0.25">
      <c r="A311" s="76">
        <v>3</v>
      </c>
      <c r="B311" s="76" t="s">
        <v>54</v>
      </c>
      <c r="C311" s="76">
        <v>2002</v>
      </c>
      <c r="D311" s="76" t="str">
        <f t="shared" ref="D311:D319" si="24">LEFT(F311,4)</f>
        <v>A02N</v>
      </c>
      <c r="E311" s="76" t="s">
        <v>107</v>
      </c>
      <c r="F311" s="77" t="s">
        <v>565</v>
      </c>
      <c r="G311" s="78">
        <v>0.79291188217360076</v>
      </c>
      <c r="H311" s="79">
        <v>37495</v>
      </c>
      <c r="I311" s="79">
        <v>42201</v>
      </c>
      <c r="J311" s="3">
        <f t="shared" si="19"/>
        <v>13</v>
      </c>
      <c r="K311" s="7">
        <v>-7.3284477015325145E-3</v>
      </c>
      <c r="L311" s="7">
        <v>-7.0685516137630744E-3</v>
      </c>
      <c r="M311" s="7">
        <v>-2.9403902699809414E-3</v>
      </c>
      <c r="N311" s="7">
        <v>-3.477795612627177E-3</v>
      </c>
      <c r="O311" s="7">
        <v>-5.0000000000011147E-3</v>
      </c>
      <c r="P311" s="7">
        <v>-4.0000000000003366E-2</v>
      </c>
      <c r="Q311" s="7">
        <v>-0.38249999999999884</v>
      </c>
      <c r="R311" s="7">
        <v>-0.99499999999999889</v>
      </c>
      <c r="S311" s="7">
        <v>-0.99499999999999889</v>
      </c>
      <c r="T311" s="7">
        <v>-1</v>
      </c>
      <c r="U311" s="1">
        <v>1974</v>
      </c>
      <c r="W311" s="1">
        <v>2197308</v>
      </c>
    </row>
    <row r="312" spans="1:23" x14ac:dyDescent="0.25">
      <c r="A312" s="76">
        <v>3</v>
      </c>
      <c r="B312" s="76" t="s">
        <v>54</v>
      </c>
      <c r="C312" s="76">
        <v>2002</v>
      </c>
      <c r="D312" s="76" t="str">
        <f t="shared" si="24"/>
        <v>A02N</v>
      </c>
      <c r="E312" s="76" t="s">
        <v>107</v>
      </c>
      <c r="F312" s="77" t="s">
        <v>566</v>
      </c>
      <c r="G312" s="78">
        <v>0.82869305094503065</v>
      </c>
      <c r="H312" s="79">
        <v>37497</v>
      </c>
      <c r="I312" s="79">
        <v>42202</v>
      </c>
      <c r="J312" s="3">
        <f t="shared" si="19"/>
        <v>13</v>
      </c>
      <c r="K312" s="7">
        <v>4.7301798800799544E-2</v>
      </c>
      <c r="L312" s="7">
        <v>3.2275273406241256E-2</v>
      </c>
      <c r="M312" s="7">
        <v>3.7824111200213562E-2</v>
      </c>
      <c r="N312" s="7">
        <v>2.9293739967897858E-2</v>
      </c>
      <c r="O312" s="7">
        <v>2.4999999999999911E-2</v>
      </c>
      <c r="P312" s="7">
        <v>-5.5000000000001159E-2</v>
      </c>
      <c r="Q312" s="7">
        <v>-0.20250000000000346</v>
      </c>
      <c r="R312" s="7">
        <v>-0.9924999999999955</v>
      </c>
      <c r="S312" s="7">
        <v>-1</v>
      </c>
      <c r="T312" s="7">
        <v>-1</v>
      </c>
      <c r="U312" s="1">
        <v>2607</v>
      </c>
      <c r="W312" s="1">
        <v>2239124</v>
      </c>
    </row>
    <row r="313" spans="1:23" x14ac:dyDescent="0.25">
      <c r="A313" s="76">
        <v>3</v>
      </c>
      <c r="B313" s="76" t="s">
        <v>54</v>
      </c>
      <c r="C313" s="76">
        <v>2002</v>
      </c>
      <c r="D313" s="76" t="str">
        <f t="shared" si="24"/>
        <v>A02N</v>
      </c>
      <c r="E313" s="76" t="s">
        <v>107</v>
      </c>
      <c r="F313" s="77" t="s">
        <v>567</v>
      </c>
      <c r="G313" s="78">
        <v>0.81871327490719403</v>
      </c>
      <c r="H313" s="79">
        <v>37495</v>
      </c>
      <c r="I313" s="79">
        <v>42201</v>
      </c>
      <c r="J313" s="3">
        <f t="shared" si="19"/>
        <v>13</v>
      </c>
      <c r="K313" s="7">
        <v>1.5323117921386187E-2</v>
      </c>
      <c r="L313" s="7">
        <v>1.2936783142170283E-2</v>
      </c>
      <c r="M313" s="7">
        <v>1.9112536754879672E-2</v>
      </c>
      <c r="N313" s="7">
        <v>1.7924023542001066E-2</v>
      </c>
      <c r="O313" s="7">
        <v>7.5000000000002842E-3</v>
      </c>
      <c r="P313" s="7">
        <v>-2.5000000000000022E-2</v>
      </c>
      <c r="Q313" s="7">
        <v>-0.27000000000000024</v>
      </c>
      <c r="R313" s="7">
        <v>-0.99500000000000033</v>
      </c>
      <c r="S313" s="7">
        <v>-0.99500000000000033</v>
      </c>
      <c r="T313" s="7">
        <v>-1</v>
      </c>
      <c r="U313" s="1">
        <v>1714</v>
      </c>
      <c r="W313" s="1">
        <v>2197294</v>
      </c>
    </row>
    <row r="314" spans="1:23" x14ac:dyDescent="0.25">
      <c r="A314" s="76">
        <v>3</v>
      </c>
      <c r="B314" s="76" t="s">
        <v>54</v>
      </c>
      <c r="C314" s="76">
        <v>2002</v>
      </c>
      <c r="D314" s="76" t="str">
        <f t="shared" si="24"/>
        <v>A02N</v>
      </c>
      <c r="E314" s="76" t="s">
        <v>107</v>
      </c>
      <c r="F314" s="77" t="s">
        <v>568</v>
      </c>
      <c r="G314" s="78">
        <v>0.80307944418397992</v>
      </c>
      <c r="H314" s="79">
        <v>37495</v>
      </c>
      <c r="I314" s="79">
        <v>42201</v>
      </c>
      <c r="J314" s="3">
        <f t="shared" si="19"/>
        <v>13</v>
      </c>
      <c r="K314" s="7">
        <v>-1.9986675549630295E-3</v>
      </c>
      <c r="L314" s="7">
        <v>1.0269405174713198E-2</v>
      </c>
      <c r="M314" s="7">
        <v>-7.6182838813150244E-3</v>
      </c>
      <c r="N314" s="7">
        <v>1.3911182450508042E-2</v>
      </c>
      <c r="O314" s="7">
        <v>-5.9999999999999387E-2</v>
      </c>
      <c r="P314" s="7">
        <v>-3.4999999999999476E-2</v>
      </c>
      <c r="Q314" s="7">
        <v>-0.22499999999999998</v>
      </c>
      <c r="R314" s="7">
        <v>-0.99499999999999889</v>
      </c>
      <c r="S314" s="7">
        <v>-0.99500000000000166</v>
      </c>
      <c r="T314" s="7">
        <v>-1</v>
      </c>
      <c r="U314" s="1">
        <v>3131</v>
      </c>
      <c r="W314" s="1">
        <v>2197278</v>
      </c>
    </row>
    <row r="315" spans="1:23" x14ac:dyDescent="0.25">
      <c r="A315" s="76">
        <v>3</v>
      </c>
      <c r="B315" s="76" t="s">
        <v>54</v>
      </c>
      <c r="C315" s="76">
        <v>2002</v>
      </c>
      <c r="D315" s="76" t="str">
        <f t="shared" si="24"/>
        <v>A02N</v>
      </c>
      <c r="E315" s="76" t="s">
        <v>107</v>
      </c>
      <c r="F315" s="77" t="s">
        <v>569</v>
      </c>
      <c r="G315" s="78">
        <v>0.82728922039808106</v>
      </c>
      <c r="H315" s="79">
        <v>37490</v>
      </c>
      <c r="I315" s="79">
        <v>42202</v>
      </c>
      <c r="J315" s="3">
        <f t="shared" si="19"/>
        <v>13</v>
      </c>
      <c r="K315" s="7">
        <v>9.327115256495544E-3</v>
      </c>
      <c r="L315" s="7">
        <v>1.1603094158442406E-2</v>
      </c>
      <c r="M315" s="7">
        <v>1.6439454691258515E-2</v>
      </c>
      <c r="N315" s="7">
        <v>1.7255216693419673E-2</v>
      </c>
      <c r="O315" s="7">
        <v>1.7500000000001181E-2</v>
      </c>
      <c r="P315" s="7">
        <v>-1.2499999999999956E-2</v>
      </c>
      <c r="Q315" s="7">
        <v>-0.24000000000000343</v>
      </c>
      <c r="R315" s="7">
        <v>-0.99250000000000116</v>
      </c>
      <c r="S315" s="7">
        <v>-0.99499999999999889</v>
      </c>
      <c r="T315" s="7">
        <v>-1</v>
      </c>
      <c r="U315" s="1">
        <v>2017</v>
      </c>
      <c r="W315" s="1">
        <v>2234289</v>
      </c>
    </row>
    <row r="316" spans="1:23" x14ac:dyDescent="0.25">
      <c r="A316" s="76">
        <v>3</v>
      </c>
      <c r="B316" s="76" t="s">
        <v>54</v>
      </c>
      <c r="C316" s="76">
        <v>2002</v>
      </c>
      <c r="D316" s="76" t="str">
        <f t="shared" si="24"/>
        <v>A02N</v>
      </c>
      <c r="E316" s="76" t="s">
        <v>107</v>
      </c>
      <c r="F316" s="77" t="s">
        <v>570</v>
      </c>
      <c r="G316" s="78">
        <v>0.82982481498509175</v>
      </c>
      <c r="H316" s="79">
        <v>37495</v>
      </c>
      <c r="I316" s="79">
        <v>42200</v>
      </c>
      <c r="J316" s="3">
        <f t="shared" si="19"/>
        <v>13</v>
      </c>
      <c r="K316" s="7">
        <v>2.2651565622917813E-2</v>
      </c>
      <c r="L316" s="7">
        <v>2.4939983995732495E-2</v>
      </c>
      <c r="M316" s="7">
        <v>2.9804865009355197E-2</v>
      </c>
      <c r="N316" s="7">
        <v>3.8657035848048249E-2</v>
      </c>
      <c r="O316" s="7">
        <v>-2.7500000000003411E-2</v>
      </c>
      <c r="P316" s="7">
        <v>0</v>
      </c>
      <c r="Q316" s="7">
        <v>-0.1875</v>
      </c>
      <c r="R316" s="7">
        <v>-0.99499999999999889</v>
      </c>
      <c r="S316" s="7">
        <v>-1</v>
      </c>
      <c r="T316" s="7">
        <v>-1</v>
      </c>
      <c r="U316" s="1">
        <v>3153</v>
      </c>
      <c r="W316" s="1">
        <v>2193401</v>
      </c>
    </row>
    <row r="317" spans="1:23" x14ac:dyDescent="0.25">
      <c r="A317" s="76">
        <v>3</v>
      </c>
      <c r="B317" s="76" t="s">
        <v>54</v>
      </c>
      <c r="C317" s="76">
        <v>2002</v>
      </c>
      <c r="D317" s="76" t="str">
        <f t="shared" si="24"/>
        <v>A02N</v>
      </c>
      <c r="E317" s="76" t="s">
        <v>107</v>
      </c>
      <c r="F317" s="77" t="s">
        <v>571</v>
      </c>
      <c r="G317" s="78">
        <v>0</v>
      </c>
      <c r="H317" s="79">
        <v>42201</v>
      </c>
      <c r="I317" s="79">
        <v>42201</v>
      </c>
      <c r="J317" s="3" t="str">
        <f t="shared" si="19"/>
        <v/>
      </c>
      <c r="K317" s="7">
        <v>-1</v>
      </c>
      <c r="L317" s="7">
        <v>-1</v>
      </c>
      <c r="M317" s="7">
        <v>-1</v>
      </c>
      <c r="N317" s="7">
        <v>-1</v>
      </c>
      <c r="O317" s="7">
        <v>-1</v>
      </c>
      <c r="P317" s="7">
        <v>-1</v>
      </c>
      <c r="Q317" s="7">
        <v>-1</v>
      </c>
      <c r="R317" s="7">
        <v>-1</v>
      </c>
      <c r="S317" s="7">
        <v>-1</v>
      </c>
      <c r="T317" s="7">
        <v>-1</v>
      </c>
      <c r="U317" s="1">
        <v>3358</v>
      </c>
      <c r="W317" s="1">
        <v>2198071</v>
      </c>
    </row>
    <row r="318" spans="1:23" x14ac:dyDescent="0.25">
      <c r="A318" s="76">
        <v>3</v>
      </c>
      <c r="B318" s="76" t="s">
        <v>54</v>
      </c>
      <c r="C318" s="76">
        <v>2002</v>
      </c>
      <c r="D318" s="76" t="str">
        <f t="shared" si="24"/>
        <v>A02N</v>
      </c>
      <c r="E318" s="76" t="s">
        <v>107</v>
      </c>
      <c r="F318" s="77" t="s">
        <v>573</v>
      </c>
      <c r="G318" s="78">
        <v>0.82311683421387449</v>
      </c>
      <c r="H318" s="79">
        <v>37496</v>
      </c>
      <c r="I318" s="79">
        <v>42202</v>
      </c>
      <c r="J318" s="3">
        <f t="shared" si="19"/>
        <v>13</v>
      </c>
      <c r="K318" s="7">
        <v>-1.5323117921386187E-2</v>
      </c>
      <c r="L318" s="7">
        <v>-3.0674846625767804E-3</v>
      </c>
      <c r="M318" s="7">
        <v>2.405773857256932E-3</v>
      </c>
      <c r="N318" s="7">
        <v>1.4579989299090323E-2</v>
      </c>
      <c r="O318" s="7">
        <v>-2.4999999999998357E-3</v>
      </c>
      <c r="P318" s="7">
        <v>-2.7500000000000524E-2</v>
      </c>
      <c r="Q318" s="7">
        <v>-0.17999999999999972</v>
      </c>
      <c r="R318" s="7">
        <v>-0.99249999999999972</v>
      </c>
      <c r="S318" s="7">
        <v>-0.99500000000000033</v>
      </c>
      <c r="T318" s="7">
        <v>-1</v>
      </c>
      <c r="U318" s="1">
        <v>2497</v>
      </c>
      <c r="W318" s="1">
        <v>2196573</v>
      </c>
    </row>
    <row r="319" spans="1:23" x14ac:dyDescent="0.25">
      <c r="A319" s="76">
        <v>3</v>
      </c>
      <c r="B319" s="76" t="s">
        <v>54</v>
      </c>
      <c r="C319" s="76">
        <v>2002</v>
      </c>
      <c r="D319" s="76" t="str">
        <f t="shared" si="24"/>
        <v>A02N</v>
      </c>
      <c r="E319" s="76" t="s">
        <v>107</v>
      </c>
      <c r="F319" s="77" t="s">
        <v>574</v>
      </c>
      <c r="G319" s="78">
        <v>0.8384955288708198</v>
      </c>
      <c r="H319" s="79">
        <v>37495</v>
      </c>
      <c r="I319" s="79">
        <v>42201</v>
      </c>
      <c r="J319" s="3">
        <f t="shared" si="19"/>
        <v>13</v>
      </c>
      <c r="K319" s="7">
        <v>-3.3311125916047901E-3</v>
      </c>
      <c r="L319" s="7">
        <v>1.0936249666577025E-2</v>
      </c>
      <c r="M319" s="7">
        <v>1.8444266238973883E-2</v>
      </c>
      <c r="N319" s="7">
        <v>1.3242375601926204E-2</v>
      </c>
      <c r="O319" s="7">
        <v>5.0000000000003375E-3</v>
      </c>
      <c r="P319" s="7">
        <v>-7.5000000000002842E-3</v>
      </c>
      <c r="Q319" s="7">
        <v>-0.12750000000000061</v>
      </c>
      <c r="R319" s="7">
        <v>-0.9899999999999991</v>
      </c>
      <c r="S319" s="7">
        <v>-1</v>
      </c>
      <c r="T319" s="7">
        <v>-1</v>
      </c>
      <c r="U319" s="1">
        <v>1911</v>
      </c>
      <c r="W319" s="1">
        <v>2193485</v>
      </c>
    </row>
    <row r="320" spans="1:23" x14ac:dyDescent="0.25">
      <c r="A320" s="76">
        <v>3</v>
      </c>
      <c r="B320" s="76" t="s">
        <v>54</v>
      </c>
      <c r="C320" s="76">
        <v>2002</v>
      </c>
      <c r="D320" s="76" t="str">
        <f t="shared" ref="D320:D328" si="25">LEFT(F320,4)</f>
        <v>A02N</v>
      </c>
      <c r="E320" s="76" t="s">
        <v>107</v>
      </c>
      <c r="F320" s="77" t="s">
        <v>614</v>
      </c>
      <c r="G320" s="78">
        <v>0.73028130620351595</v>
      </c>
      <c r="H320" s="79">
        <v>37497</v>
      </c>
      <c r="I320" s="79">
        <v>42202</v>
      </c>
      <c r="J320" s="3">
        <f t="shared" si="19"/>
        <v>13</v>
      </c>
      <c r="K320" s="7">
        <v>2.0529801324503216E-2</v>
      </c>
      <c r="L320" s="7">
        <v>2.1447721179624679E-2</v>
      </c>
      <c r="M320" s="7">
        <v>2.0777479892761574E-2</v>
      </c>
      <c r="N320" s="7">
        <v>1.1785188161242521E-2</v>
      </c>
      <c r="O320" s="7">
        <v>-6.5228299046657945E-3</v>
      </c>
      <c r="P320" s="7">
        <v>-7.5376884422111656E-2</v>
      </c>
      <c r="Q320" s="7">
        <v>-0.98743718592964824</v>
      </c>
      <c r="R320" s="7">
        <v>-0.99246231155778719</v>
      </c>
      <c r="S320" s="7">
        <v>-0.99246231155779008</v>
      </c>
      <c r="T320" s="7">
        <v>-1</v>
      </c>
      <c r="U320" s="1">
        <v>2447</v>
      </c>
      <c r="W320" s="1">
        <v>2238454</v>
      </c>
    </row>
    <row r="321" spans="1:23" x14ac:dyDescent="0.25">
      <c r="A321" s="76">
        <v>3</v>
      </c>
      <c r="B321" s="76" t="s">
        <v>54</v>
      </c>
      <c r="C321" s="76">
        <v>2002</v>
      </c>
      <c r="D321" s="76" t="str">
        <f t="shared" si="25"/>
        <v>A02N</v>
      </c>
      <c r="E321" s="76" t="s">
        <v>107</v>
      </c>
      <c r="F321" s="77" t="s">
        <v>615</v>
      </c>
      <c r="G321" s="78">
        <v>0.8035357763166836</v>
      </c>
      <c r="H321" s="79">
        <v>37560</v>
      </c>
      <c r="I321" s="79">
        <v>42200</v>
      </c>
      <c r="J321" s="3">
        <f t="shared" si="19"/>
        <v>13</v>
      </c>
      <c r="K321" s="7">
        <v>7.2847682119205892E-3</v>
      </c>
      <c r="L321" s="7">
        <v>1.0723860589812118E-2</v>
      </c>
      <c r="M321" s="7">
        <v>1.3404825737265869E-2</v>
      </c>
      <c r="N321" s="7">
        <v>9.1067363064152307E-3</v>
      </c>
      <c r="O321" s="7">
        <v>6.0210737581511964E-3</v>
      </c>
      <c r="P321" s="7">
        <v>-2.2613065326630766E-2</v>
      </c>
      <c r="Q321" s="7">
        <v>-0.17839195979899947</v>
      </c>
      <c r="R321" s="7">
        <v>-0.98994974874371633</v>
      </c>
      <c r="S321" s="7">
        <v>-0.98994974874371633</v>
      </c>
      <c r="T321" s="7">
        <v>-1</v>
      </c>
      <c r="U321" s="1">
        <v>2925</v>
      </c>
      <c r="W321" s="1">
        <v>1746871</v>
      </c>
    </row>
    <row r="322" spans="1:23" x14ac:dyDescent="0.25">
      <c r="A322" s="76">
        <v>3</v>
      </c>
      <c r="B322" s="76" t="s">
        <v>54</v>
      </c>
      <c r="C322" s="76">
        <v>2002</v>
      </c>
      <c r="D322" s="76" t="str">
        <f t="shared" si="25"/>
        <v>A02N</v>
      </c>
      <c r="E322" s="76" t="s">
        <v>107</v>
      </c>
      <c r="F322" s="77" t="s">
        <v>616</v>
      </c>
      <c r="G322" s="78">
        <v>0.81246780432233967</v>
      </c>
      <c r="H322" s="79">
        <v>37560</v>
      </c>
      <c r="I322" s="79">
        <v>42200</v>
      </c>
      <c r="J322" s="3">
        <f t="shared" si="19"/>
        <v>13</v>
      </c>
      <c r="K322" s="7">
        <v>6.6225165562914245E-3</v>
      </c>
      <c r="L322" s="7">
        <v>6.7024128686323792E-3</v>
      </c>
      <c r="M322" s="7">
        <v>8.7131367292225814E-3</v>
      </c>
      <c r="N322" s="7">
        <v>1.9150930762019902E-2</v>
      </c>
      <c r="O322" s="7">
        <v>1.3547415955847741E-2</v>
      </c>
      <c r="P322" s="7">
        <v>-5.0251256281429457E-3</v>
      </c>
      <c r="Q322" s="7">
        <v>-0.14321608040201228</v>
      </c>
      <c r="R322" s="7">
        <v>-0.98994974874371633</v>
      </c>
      <c r="S322" s="7">
        <v>-0.99246231155779008</v>
      </c>
      <c r="T322" s="7">
        <v>-1</v>
      </c>
      <c r="U322" s="1">
        <v>2685</v>
      </c>
      <c r="W322" s="1">
        <v>1749081</v>
      </c>
    </row>
    <row r="323" spans="1:23" x14ac:dyDescent="0.25">
      <c r="A323" s="76">
        <v>3</v>
      </c>
      <c r="B323" s="76" t="s">
        <v>54</v>
      </c>
      <c r="C323" s="76">
        <v>2002</v>
      </c>
      <c r="D323" s="76" t="str">
        <f t="shared" si="25"/>
        <v>A02N</v>
      </c>
      <c r="E323" s="76" t="s">
        <v>107</v>
      </c>
      <c r="F323" s="77" t="s">
        <v>617</v>
      </c>
      <c r="G323" s="78">
        <v>0.7105411895953968</v>
      </c>
      <c r="H323" s="79">
        <v>37594</v>
      </c>
      <c r="I323" s="79">
        <v>42201</v>
      </c>
      <c r="J323" s="3">
        <f t="shared" si="19"/>
        <v>13</v>
      </c>
      <c r="K323" s="7">
        <v>6.6225165562920907E-3</v>
      </c>
      <c r="L323" s="7">
        <v>-2.8820375335121495E-2</v>
      </c>
      <c r="M323" s="7">
        <v>-4.4235924932974902E-2</v>
      </c>
      <c r="N323" s="7">
        <v>1.0713807419311383E-3</v>
      </c>
      <c r="O323" s="7">
        <v>-6.52282990466857E-3</v>
      </c>
      <c r="P323" s="7">
        <v>-0.51507537688442318</v>
      </c>
      <c r="Q323" s="7">
        <v>-0.18090452261306189</v>
      </c>
      <c r="R323" s="7">
        <v>-0.57788944723618196</v>
      </c>
      <c r="S323" s="7">
        <v>-0.93467336683417312</v>
      </c>
      <c r="T323" s="7">
        <v>-1</v>
      </c>
      <c r="U323" s="1">
        <v>1883</v>
      </c>
      <c r="W323" s="1">
        <v>1182803</v>
      </c>
    </row>
    <row r="324" spans="1:23" x14ac:dyDescent="0.25">
      <c r="A324" s="76">
        <v>3</v>
      </c>
      <c r="B324" s="76" t="s">
        <v>54</v>
      </c>
      <c r="C324" s="76">
        <v>2002</v>
      </c>
      <c r="D324" s="76" t="str">
        <f t="shared" si="25"/>
        <v>A02N</v>
      </c>
      <c r="E324" s="76" t="s">
        <v>107</v>
      </c>
      <c r="F324" s="77" t="s">
        <v>618</v>
      </c>
      <c r="G324" s="78">
        <v>0.86487185740810602</v>
      </c>
      <c r="H324" s="79">
        <v>37559</v>
      </c>
      <c r="I324" s="79">
        <v>42200</v>
      </c>
      <c r="J324" s="3">
        <f t="shared" si="19"/>
        <v>13</v>
      </c>
      <c r="K324" s="7">
        <v>-7.2847682119207002E-3</v>
      </c>
      <c r="L324" s="7">
        <v>4.4408920985006262E-16</v>
      </c>
      <c r="M324" s="7">
        <v>-1.3404825737264314E-3</v>
      </c>
      <c r="N324" s="7">
        <v>-1.2990491495916245E-2</v>
      </c>
      <c r="O324" s="7">
        <v>-1.1540391369792014E-2</v>
      </c>
      <c r="P324" s="7">
        <v>-1.2562814070352868E-2</v>
      </c>
      <c r="Q324" s="7">
        <v>-7.0351758793969821E-2</v>
      </c>
      <c r="R324" s="7">
        <v>-0.25376884422110435</v>
      </c>
      <c r="S324" s="7">
        <v>-0.85175879396984699</v>
      </c>
      <c r="T324" s="7">
        <v>-1</v>
      </c>
      <c r="U324" s="1">
        <v>2646</v>
      </c>
      <c r="W324" s="1">
        <v>1756631</v>
      </c>
    </row>
    <row r="325" spans="1:23" x14ac:dyDescent="0.25">
      <c r="A325" s="76">
        <v>3</v>
      </c>
      <c r="B325" s="76" t="s">
        <v>54</v>
      </c>
      <c r="C325" s="76">
        <v>2002</v>
      </c>
      <c r="D325" s="76" t="str">
        <f t="shared" si="25"/>
        <v>A02N</v>
      </c>
      <c r="E325" s="76" t="s">
        <v>107</v>
      </c>
      <c r="F325" s="77" t="s">
        <v>619</v>
      </c>
      <c r="G325" s="78">
        <v>0.80651451723730605</v>
      </c>
      <c r="H325" s="79">
        <v>37546</v>
      </c>
      <c r="I325" s="79">
        <v>42200</v>
      </c>
      <c r="J325" s="3">
        <f t="shared" ref="J325:J388" si="26">IF(YEAR(I325)-YEAR(H325)=0,"",YEAR(I325)-YEAR(H325))</f>
        <v>13</v>
      </c>
      <c r="K325" s="7">
        <v>1.9205298013245553E-2</v>
      </c>
      <c r="L325" s="7">
        <v>2.6139410187667522E-2</v>
      </c>
      <c r="M325" s="7">
        <v>2.4128686327077986E-2</v>
      </c>
      <c r="N325" s="7">
        <v>1.7142091870898435E-2</v>
      </c>
      <c r="O325" s="7">
        <v>1.1038635223281856E-2</v>
      </c>
      <c r="P325" s="7">
        <v>-7.5376884422110324E-3</v>
      </c>
      <c r="Q325" s="7">
        <v>-0.23869346733668451</v>
      </c>
      <c r="R325" s="7">
        <v>-0.99246231155778719</v>
      </c>
      <c r="S325" s="7">
        <v>-0.98994974874371922</v>
      </c>
      <c r="T325" s="7">
        <v>-1</v>
      </c>
      <c r="U325" s="1">
        <v>3218</v>
      </c>
      <c r="W325" s="1">
        <v>1757725</v>
      </c>
    </row>
    <row r="326" spans="1:23" x14ac:dyDescent="0.25">
      <c r="A326" s="76">
        <v>3</v>
      </c>
      <c r="B326" s="76" t="s">
        <v>54</v>
      </c>
      <c r="C326" s="76">
        <v>2002</v>
      </c>
      <c r="D326" s="76" t="str">
        <f t="shared" si="25"/>
        <v>A02N</v>
      </c>
      <c r="E326" s="76" t="s">
        <v>107</v>
      </c>
      <c r="F326" s="77" t="s">
        <v>620</v>
      </c>
      <c r="G326" s="78">
        <v>0.80032613702649091</v>
      </c>
      <c r="H326" s="79">
        <v>37481</v>
      </c>
      <c r="I326" s="79">
        <v>42200</v>
      </c>
      <c r="J326" s="3">
        <f t="shared" si="26"/>
        <v>13</v>
      </c>
      <c r="K326" s="7">
        <v>-1.1920529801324187E-2</v>
      </c>
      <c r="L326" s="7">
        <v>-1.005361930294868E-2</v>
      </c>
      <c r="M326" s="7">
        <v>-1.0053619302950234E-2</v>
      </c>
      <c r="N326" s="7">
        <v>1.0713807419311383E-3</v>
      </c>
      <c r="O326" s="7">
        <v>1.0035122930278639E-3</v>
      </c>
      <c r="P326" s="7">
        <v>-1.5075376884420844E-2</v>
      </c>
      <c r="Q326" s="7">
        <v>-0.19095477386934789</v>
      </c>
      <c r="R326" s="7">
        <v>-0.99246231155778897</v>
      </c>
      <c r="S326" s="7">
        <v>-0.96733668341708545</v>
      </c>
      <c r="T326" s="7">
        <v>-1</v>
      </c>
      <c r="U326" s="1">
        <v>1959</v>
      </c>
      <c r="W326" s="1">
        <v>1756958</v>
      </c>
    </row>
    <row r="327" spans="1:23" x14ac:dyDescent="0.25">
      <c r="A327" s="76">
        <v>3</v>
      </c>
      <c r="B327" s="76" t="s">
        <v>54</v>
      </c>
      <c r="C327" s="76">
        <v>2002</v>
      </c>
      <c r="D327" s="76" t="str">
        <f t="shared" si="25"/>
        <v>A02N</v>
      </c>
      <c r="E327" s="76" t="s">
        <v>107</v>
      </c>
      <c r="F327" s="77" t="s">
        <v>621</v>
      </c>
      <c r="G327" s="78">
        <v>0.8211160356590288</v>
      </c>
      <c r="H327" s="79">
        <v>37497</v>
      </c>
      <c r="I327" s="79">
        <v>42202</v>
      </c>
      <c r="J327" s="3">
        <f t="shared" si="26"/>
        <v>13</v>
      </c>
      <c r="K327" s="7">
        <v>1.45695364238414E-2</v>
      </c>
      <c r="L327" s="7">
        <v>1.6085790884719398E-2</v>
      </c>
      <c r="M327" s="7">
        <v>1.2734584450401654E-2</v>
      </c>
      <c r="N327" s="7">
        <v>-9.374581491894407E-4</v>
      </c>
      <c r="O327" s="7">
        <v>-1.5052684395394644E-3</v>
      </c>
      <c r="P327" s="7">
        <v>-1.7587939698494703E-2</v>
      </c>
      <c r="Q327" s="7">
        <v>-0.11055276381909318</v>
      </c>
      <c r="R327" s="7">
        <v>-0.78643216080402012</v>
      </c>
      <c r="S327" s="7">
        <v>-0.98743718592964824</v>
      </c>
      <c r="T327" s="7">
        <v>-1</v>
      </c>
      <c r="U327" s="1">
        <v>2593</v>
      </c>
      <c r="W327" s="1">
        <v>2237891</v>
      </c>
    </row>
    <row r="328" spans="1:23" x14ac:dyDescent="0.25">
      <c r="A328" s="76">
        <v>3</v>
      </c>
      <c r="B328" s="76" t="s">
        <v>54</v>
      </c>
      <c r="C328" s="76">
        <v>2002</v>
      </c>
      <c r="D328" s="76" t="str">
        <f t="shared" si="25"/>
        <v>A02N</v>
      </c>
      <c r="E328" s="76" t="s">
        <v>107</v>
      </c>
      <c r="F328" s="77" t="s">
        <v>622</v>
      </c>
      <c r="G328" s="78">
        <v>0.78919701972303891</v>
      </c>
      <c r="H328" s="79">
        <v>37559</v>
      </c>
      <c r="I328" s="79">
        <v>42200</v>
      </c>
      <c r="J328" s="3">
        <f t="shared" si="26"/>
        <v>13</v>
      </c>
      <c r="K328" s="7">
        <v>4.6357615894043747E-3</v>
      </c>
      <c r="L328" s="7">
        <v>4.0214477211792943E-3</v>
      </c>
      <c r="M328" s="7">
        <v>-1.3404825737264314E-3</v>
      </c>
      <c r="N328" s="7">
        <v>4.0176777822487075E-4</v>
      </c>
      <c r="O328" s="7">
        <v>-9.0316106372303473E-3</v>
      </c>
      <c r="P328" s="7">
        <v>-4.2713567839198219E-2</v>
      </c>
      <c r="Q328" s="7">
        <v>-0.223618090452259</v>
      </c>
      <c r="R328" s="7">
        <v>-0.99246231155779008</v>
      </c>
      <c r="S328" s="7">
        <v>-0.98994974874372199</v>
      </c>
      <c r="T328" s="7">
        <v>-1</v>
      </c>
      <c r="U328" s="1">
        <v>1757</v>
      </c>
      <c r="W328" s="1">
        <v>1756648</v>
      </c>
    </row>
    <row r="329" spans="1:23" x14ac:dyDescent="0.25">
      <c r="A329" s="76">
        <v>3</v>
      </c>
      <c r="B329" s="76" t="s">
        <v>54</v>
      </c>
      <c r="C329" s="76">
        <v>2002</v>
      </c>
      <c r="D329" s="76" t="str">
        <f t="shared" ref="D329:D338" si="27">LEFT(F329,4)</f>
        <v>A02N</v>
      </c>
      <c r="E329" s="76" t="s">
        <v>107</v>
      </c>
      <c r="F329" s="77" t="s">
        <v>632</v>
      </c>
      <c r="G329" s="78">
        <v>0.8656658827233854</v>
      </c>
      <c r="H329" s="79">
        <v>37482</v>
      </c>
      <c r="I329" s="79">
        <v>42200</v>
      </c>
      <c r="J329" s="3">
        <f t="shared" si="26"/>
        <v>13</v>
      </c>
      <c r="K329" s="7">
        <v>6.6934404283802706E-4</v>
      </c>
      <c r="L329" s="7">
        <v>2.5654874426139784E-3</v>
      </c>
      <c r="M329" s="7">
        <v>8.5227272727281811E-3</v>
      </c>
      <c r="N329" s="7">
        <v>3.3875338753381889E-3</v>
      </c>
      <c r="O329" s="7">
        <v>6.4935064935065512E-3</v>
      </c>
      <c r="P329" s="7">
        <v>-3.0000000000000027E-2</v>
      </c>
      <c r="Q329" s="7">
        <v>-0.14249999999999974</v>
      </c>
      <c r="R329" s="7">
        <v>-0.50225112556278129</v>
      </c>
      <c r="S329" s="7">
        <v>-0.99500000000000033</v>
      </c>
      <c r="T329" s="7">
        <v>-1</v>
      </c>
      <c r="U329" s="1">
        <v>3828</v>
      </c>
      <c r="W329" s="1">
        <v>1754701</v>
      </c>
    </row>
    <row r="330" spans="1:23" x14ac:dyDescent="0.25">
      <c r="A330" s="76">
        <v>3</v>
      </c>
      <c r="B330" s="76" t="s">
        <v>54</v>
      </c>
      <c r="C330" s="76">
        <v>2002</v>
      </c>
      <c r="D330" s="76" t="str">
        <f t="shared" si="27"/>
        <v>A02N</v>
      </c>
      <c r="E330" s="76" t="s">
        <v>107</v>
      </c>
      <c r="F330" s="77" t="s">
        <v>633</v>
      </c>
      <c r="G330" s="78">
        <v>0.78455671559888507</v>
      </c>
      <c r="H330" s="79">
        <v>37559</v>
      </c>
      <c r="I330" s="79">
        <v>42200</v>
      </c>
      <c r="J330" s="3">
        <f t="shared" si="26"/>
        <v>13</v>
      </c>
      <c r="K330" s="7">
        <v>-9.3708165997322679E-3</v>
      </c>
      <c r="L330" s="7">
        <v>-9.5868214960843634E-3</v>
      </c>
      <c r="M330" s="7">
        <v>5.8170995670998593E-3</v>
      </c>
      <c r="N330" s="7">
        <v>-9.4850948509489497E-3</v>
      </c>
      <c r="O330" s="7">
        <v>-1.0989010989010395E-2</v>
      </c>
      <c r="P330" s="7">
        <v>-5.2500000000000546E-2</v>
      </c>
      <c r="Q330" s="7">
        <v>-0.41249999999999998</v>
      </c>
      <c r="R330" s="7">
        <v>-0.99749874937468674</v>
      </c>
      <c r="S330" s="7">
        <v>-0.99499999999999889</v>
      </c>
      <c r="T330" s="7">
        <v>-1</v>
      </c>
      <c r="U330" s="1">
        <v>3113</v>
      </c>
      <c r="W330" s="1">
        <v>1754653</v>
      </c>
    </row>
    <row r="331" spans="1:23" x14ac:dyDescent="0.25">
      <c r="A331" s="76">
        <v>3</v>
      </c>
      <c r="B331" s="76" t="s">
        <v>54</v>
      </c>
      <c r="C331" s="76">
        <v>2002</v>
      </c>
      <c r="D331" s="76" t="str">
        <f t="shared" si="27"/>
        <v>A02N</v>
      </c>
      <c r="E331" s="76" t="s">
        <v>107</v>
      </c>
      <c r="F331" s="77" t="s">
        <v>634</v>
      </c>
      <c r="G331" s="78">
        <v>0.87621189689170387</v>
      </c>
      <c r="H331" s="79">
        <v>37559</v>
      </c>
      <c r="I331" s="79">
        <v>42200</v>
      </c>
      <c r="J331" s="3">
        <f t="shared" si="26"/>
        <v>13</v>
      </c>
      <c r="K331" s="7">
        <v>1.338688085675388E-3</v>
      </c>
      <c r="L331" s="7">
        <v>5.4010261949799521E-4</v>
      </c>
      <c r="M331" s="7">
        <v>3.1114718614715375E-3</v>
      </c>
      <c r="N331" s="7">
        <v>4.7425474254740863E-3</v>
      </c>
      <c r="O331" s="7">
        <v>3.996003996005193E-3</v>
      </c>
      <c r="P331" s="7">
        <v>-9.9999999999965672E-3</v>
      </c>
      <c r="Q331" s="7">
        <v>-0.11000000000000232</v>
      </c>
      <c r="R331" s="7">
        <v>-0.46473236618308933</v>
      </c>
      <c r="S331" s="7">
        <v>-0.99500000000000455</v>
      </c>
      <c r="T331" s="7">
        <v>-1</v>
      </c>
      <c r="U331" s="1">
        <v>2142</v>
      </c>
      <c r="W331" s="1">
        <v>1754688</v>
      </c>
    </row>
    <row r="332" spans="1:23" x14ac:dyDescent="0.25">
      <c r="A332" s="76">
        <v>3</v>
      </c>
      <c r="B332" s="76" t="s">
        <v>54</v>
      </c>
      <c r="C332" s="76">
        <v>2002</v>
      </c>
      <c r="D332" s="76" t="str">
        <f t="shared" si="27"/>
        <v>A02N</v>
      </c>
      <c r="E332" s="76" t="s">
        <v>107</v>
      </c>
      <c r="F332" s="77" t="s">
        <v>635</v>
      </c>
      <c r="G332" s="78">
        <v>0.68060401936960369</v>
      </c>
      <c r="H332" s="79">
        <v>37559</v>
      </c>
      <c r="I332" s="79">
        <v>42200</v>
      </c>
      <c r="J332" s="3">
        <f t="shared" si="26"/>
        <v>13</v>
      </c>
      <c r="K332" s="7">
        <v>-1.0040160642571183E-2</v>
      </c>
      <c r="L332" s="7">
        <v>-8.2365649473393754E-3</v>
      </c>
      <c r="M332" s="7">
        <v>-1.1769480519480346E-2</v>
      </c>
      <c r="N332" s="7">
        <v>-8.1300813008131634E-3</v>
      </c>
      <c r="O332" s="7">
        <v>-2.3476523476522848E-2</v>
      </c>
      <c r="P332" s="7">
        <v>-0.17250000000000087</v>
      </c>
      <c r="Q332" s="7">
        <v>-0.99249999999999972</v>
      </c>
      <c r="R332" s="7">
        <v>-0.99749874937468674</v>
      </c>
      <c r="S332" s="7">
        <v>-0.99750000000000083</v>
      </c>
      <c r="T332" s="7">
        <v>-1</v>
      </c>
      <c r="U332" s="1">
        <v>2077</v>
      </c>
      <c r="W332" s="1">
        <v>1755013</v>
      </c>
    </row>
    <row r="333" spans="1:23" x14ac:dyDescent="0.25">
      <c r="A333" s="76">
        <v>3</v>
      </c>
      <c r="B333" s="76" t="s">
        <v>54</v>
      </c>
      <c r="C333" s="76">
        <v>2002</v>
      </c>
      <c r="D333" s="76" t="str">
        <f t="shared" si="27"/>
        <v>A02N</v>
      </c>
      <c r="E333" s="76" t="s">
        <v>107</v>
      </c>
      <c r="F333" s="77" t="s">
        <v>636</v>
      </c>
      <c r="G333" s="78">
        <v>0.81382413375233664</v>
      </c>
      <c r="H333" s="79">
        <v>37559</v>
      </c>
      <c r="I333" s="79">
        <v>42200</v>
      </c>
      <c r="J333" s="3">
        <f t="shared" si="26"/>
        <v>13</v>
      </c>
      <c r="K333" s="7">
        <v>-2.2204460492503131E-16</v>
      </c>
      <c r="L333" s="7">
        <v>5.9411288144746166E-3</v>
      </c>
      <c r="M333" s="7">
        <v>1.258116883116922E-2</v>
      </c>
      <c r="N333" s="7">
        <v>5.420054200542701E-3</v>
      </c>
      <c r="O333" s="7">
        <v>-9.9900099900096517E-4</v>
      </c>
      <c r="P333" s="7">
        <v>-4.5000000000004592E-2</v>
      </c>
      <c r="Q333" s="7">
        <v>-0.23249999999999882</v>
      </c>
      <c r="R333" s="7">
        <v>-0.99749874937468397</v>
      </c>
      <c r="S333" s="7">
        <v>-0.99500000000000455</v>
      </c>
      <c r="T333" s="7">
        <v>-1</v>
      </c>
      <c r="U333" s="1">
        <v>3819</v>
      </c>
      <c r="W333" s="1">
        <v>1754696</v>
      </c>
    </row>
    <row r="334" spans="1:23" x14ac:dyDescent="0.25">
      <c r="A334" s="76">
        <v>3</v>
      </c>
      <c r="B334" s="76" t="s">
        <v>54</v>
      </c>
      <c r="C334" s="76">
        <v>2002</v>
      </c>
      <c r="D334" s="76" t="str">
        <f t="shared" si="27"/>
        <v>A02N</v>
      </c>
      <c r="E334" s="76" t="s">
        <v>107</v>
      </c>
      <c r="F334" s="77" t="s">
        <v>637</v>
      </c>
      <c r="G334" s="78">
        <v>0.88089179669812467</v>
      </c>
      <c r="H334" s="79">
        <v>37559</v>
      </c>
      <c r="I334" s="79">
        <v>42200</v>
      </c>
      <c r="J334" s="3">
        <f t="shared" si="26"/>
        <v>13</v>
      </c>
      <c r="K334" s="7">
        <v>-3.3467202141894692E-3</v>
      </c>
      <c r="L334" s="7">
        <v>-8.1015392924654872E-4</v>
      </c>
      <c r="M334" s="7">
        <v>-5.6818181818182323E-3</v>
      </c>
      <c r="N334" s="7">
        <v>-2.0325203252035129E-3</v>
      </c>
      <c r="O334" s="7">
        <v>-9.9900099900096517E-4</v>
      </c>
      <c r="P334" s="7">
        <v>-2.5000000000000022E-2</v>
      </c>
      <c r="Q334" s="7">
        <v>-9.7500000000002252E-2</v>
      </c>
      <c r="R334" s="7">
        <v>-0.33716858429214613</v>
      </c>
      <c r="S334" s="7">
        <v>-0.99499999999999889</v>
      </c>
      <c r="T334" s="7">
        <v>-1</v>
      </c>
      <c r="U334" s="1">
        <v>929</v>
      </c>
      <c r="W334" s="1">
        <v>1754742</v>
      </c>
    </row>
    <row r="335" spans="1:23" x14ac:dyDescent="0.25">
      <c r="A335" s="76">
        <v>3</v>
      </c>
      <c r="B335" s="76" t="s">
        <v>54</v>
      </c>
      <c r="C335" s="76">
        <v>2002</v>
      </c>
      <c r="D335" s="76" t="str">
        <f t="shared" si="27"/>
        <v>A02N</v>
      </c>
      <c r="E335" s="76" t="s">
        <v>107</v>
      </c>
      <c r="F335" s="77" t="s">
        <v>638</v>
      </c>
      <c r="G335" s="78">
        <v>0.87257175739965631</v>
      </c>
      <c r="H335" s="79">
        <v>37546</v>
      </c>
      <c r="I335" s="79">
        <v>42200</v>
      </c>
      <c r="J335" s="3">
        <f t="shared" si="26"/>
        <v>13</v>
      </c>
      <c r="K335" s="7">
        <v>-6.6934404283796045E-3</v>
      </c>
      <c r="L335" s="7">
        <v>-3.5106670267349704E-3</v>
      </c>
      <c r="M335" s="7">
        <v>-1.0416666666666852E-2</v>
      </c>
      <c r="N335" s="7">
        <v>2.0325203252036239E-3</v>
      </c>
      <c r="O335" s="7">
        <v>-9.9900099900096517E-4</v>
      </c>
      <c r="P335" s="7">
        <v>-1.7500000000001181E-2</v>
      </c>
      <c r="Q335" s="7">
        <v>-0.11749999999999827</v>
      </c>
      <c r="R335" s="7">
        <v>-0.43721860930465239</v>
      </c>
      <c r="S335" s="7">
        <v>-0.99500000000000166</v>
      </c>
      <c r="T335" s="7">
        <v>-1</v>
      </c>
      <c r="U335" s="1">
        <v>1147</v>
      </c>
      <c r="W335" s="1">
        <v>1758365</v>
      </c>
    </row>
    <row r="336" spans="1:23" x14ac:dyDescent="0.25">
      <c r="A336" s="76">
        <v>3</v>
      </c>
      <c r="B336" s="76" t="s">
        <v>54</v>
      </c>
      <c r="C336" s="76">
        <v>2002</v>
      </c>
      <c r="D336" s="76" t="str">
        <f t="shared" si="27"/>
        <v>A02N</v>
      </c>
      <c r="E336" s="76" t="s">
        <v>107</v>
      </c>
      <c r="F336" s="77" t="s">
        <v>639</v>
      </c>
      <c r="G336" s="78">
        <v>0.8480799262911406</v>
      </c>
      <c r="H336" s="79">
        <v>37600</v>
      </c>
      <c r="I336" s="79">
        <v>42200</v>
      </c>
      <c r="J336" s="3">
        <f t="shared" si="26"/>
        <v>13</v>
      </c>
      <c r="K336" s="7">
        <v>1.0709504685408211E-2</v>
      </c>
      <c r="L336" s="7">
        <v>1.2017283283823676E-2</v>
      </c>
      <c r="M336" s="7">
        <v>1.1228354978354949E-2</v>
      </c>
      <c r="N336" s="7">
        <v>1.4227642276423147E-2</v>
      </c>
      <c r="O336" s="7">
        <v>1.8981018981017783E-2</v>
      </c>
      <c r="P336" s="7">
        <v>5.0000000000012257E-3</v>
      </c>
      <c r="Q336" s="7">
        <v>-0.10500000000000109</v>
      </c>
      <c r="R336" s="7">
        <v>-0.98999499749874997</v>
      </c>
      <c r="S336" s="7">
        <v>-0.99499999999999889</v>
      </c>
      <c r="T336" s="7">
        <v>-1</v>
      </c>
      <c r="U336" s="1">
        <v>2434</v>
      </c>
      <c r="W336" s="1">
        <v>1760416</v>
      </c>
    </row>
    <row r="337" spans="1:23" x14ac:dyDescent="0.25">
      <c r="A337" s="76">
        <v>3</v>
      </c>
      <c r="B337" s="76" t="s">
        <v>54</v>
      </c>
      <c r="C337" s="76">
        <v>2002</v>
      </c>
      <c r="D337" s="76" t="str">
        <f t="shared" si="27"/>
        <v>A02N</v>
      </c>
      <c r="E337" s="76" t="s">
        <v>107</v>
      </c>
      <c r="F337" s="77" t="s">
        <v>640</v>
      </c>
      <c r="G337" s="78">
        <v>0.82991078016432296</v>
      </c>
      <c r="H337" s="79">
        <v>37545</v>
      </c>
      <c r="I337" s="79">
        <v>42200</v>
      </c>
      <c r="J337" s="3">
        <f t="shared" si="26"/>
        <v>13</v>
      </c>
      <c r="K337" s="7">
        <v>2.4765729585006113E-2</v>
      </c>
      <c r="L337" s="7">
        <v>2.5519848771267117E-2</v>
      </c>
      <c r="M337" s="7">
        <v>2.6109307359307721E-2</v>
      </c>
      <c r="N337" s="7">
        <v>1.8292682926829062E-2</v>
      </c>
      <c r="O337" s="7">
        <v>1.8981018981017783E-2</v>
      </c>
      <c r="P337" s="7">
        <v>-1.9999999999998908E-2</v>
      </c>
      <c r="Q337" s="7">
        <v>-0.22499999999999998</v>
      </c>
      <c r="R337" s="7">
        <v>-0.99499749874937471</v>
      </c>
      <c r="S337" s="7">
        <v>-0.995</v>
      </c>
      <c r="T337" s="7">
        <v>-1</v>
      </c>
      <c r="U337" s="1">
        <v>2498</v>
      </c>
      <c r="W337" s="1">
        <v>1760602</v>
      </c>
    </row>
    <row r="338" spans="1:23" x14ac:dyDescent="0.25">
      <c r="A338" s="76">
        <v>3</v>
      </c>
      <c r="B338" s="76" t="s">
        <v>54</v>
      </c>
      <c r="C338" s="76">
        <v>2002</v>
      </c>
      <c r="D338" s="76" t="str">
        <f t="shared" si="27"/>
        <v>A02N</v>
      </c>
      <c r="E338" s="76" t="s">
        <v>107</v>
      </c>
      <c r="F338" s="77" t="s">
        <v>641</v>
      </c>
      <c r="G338" s="78">
        <v>0.89192669976923677</v>
      </c>
      <c r="H338" s="79">
        <v>37560</v>
      </c>
      <c r="I338" s="79">
        <v>42201</v>
      </c>
      <c r="J338" s="3">
        <f t="shared" si="26"/>
        <v>13</v>
      </c>
      <c r="K338" s="7">
        <v>-5.3547523427047716E-3</v>
      </c>
      <c r="L338" s="7">
        <v>-3.5106670267347484E-3</v>
      </c>
      <c r="M338" s="7">
        <v>-9.7402597402597157E-3</v>
      </c>
      <c r="N338" s="7">
        <v>2.0325203252031798E-3</v>
      </c>
      <c r="O338" s="7">
        <v>-9.9900099900096517E-4</v>
      </c>
      <c r="P338" s="7">
        <v>-9.9999999999994538E-3</v>
      </c>
      <c r="Q338" s="7">
        <v>-7.7499999999999125E-2</v>
      </c>
      <c r="R338" s="7">
        <v>-0.26713356678339295</v>
      </c>
      <c r="S338" s="7">
        <v>-0.99250000000000116</v>
      </c>
      <c r="T338" s="7">
        <v>-1</v>
      </c>
      <c r="U338" s="1">
        <v>1246</v>
      </c>
      <c r="W338" s="1">
        <v>1746911</v>
      </c>
    </row>
    <row r="339" spans="1:23" x14ac:dyDescent="0.25">
      <c r="A339" s="76">
        <v>3</v>
      </c>
      <c r="B339" s="76" t="s">
        <v>54</v>
      </c>
      <c r="C339" s="76">
        <v>2002</v>
      </c>
      <c r="D339" s="76" t="str">
        <f t="shared" ref="D339:D356" si="28">LEFT(F339,4)</f>
        <v>A02N</v>
      </c>
      <c r="E339" s="76" t="s">
        <v>107</v>
      </c>
      <c r="F339" s="77" t="s">
        <v>757</v>
      </c>
      <c r="G339" s="78">
        <v>0.85137749616942038</v>
      </c>
      <c r="H339" s="79">
        <v>37497</v>
      </c>
      <c r="I339" s="79">
        <v>42202</v>
      </c>
      <c r="J339" s="3">
        <f t="shared" si="26"/>
        <v>13</v>
      </c>
      <c r="K339" s="7">
        <v>1.268656716417893E-2</v>
      </c>
      <c r="L339" s="7">
        <v>1.5469061876247414E-2</v>
      </c>
      <c r="M339" s="7">
        <v>1.1261261261261257E-2</v>
      </c>
      <c r="N339" s="7">
        <v>3.7537537537535304E-3</v>
      </c>
      <c r="O339" s="7">
        <v>2.5000000000034994E-3</v>
      </c>
      <c r="P339" s="7">
        <v>0</v>
      </c>
      <c r="Q339" s="7">
        <v>-0.12000000000000455</v>
      </c>
      <c r="R339" s="7">
        <v>-0.4</v>
      </c>
      <c r="S339" s="7">
        <v>-1</v>
      </c>
      <c r="T339" s="7">
        <v>-1</v>
      </c>
      <c r="U339" s="1">
        <v>2117</v>
      </c>
      <c r="W339" s="1">
        <v>2237482</v>
      </c>
    </row>
    <row r="340" spans="1:23" x14ac:dyDescent="0.25">
      <c r="A340" s="76">
        <v>3</v>
      </c>
      <c r="B340" s="76" t="s">
        <v>54</v>
      </c>
      <c r="C340" s="76">
        <v>2002</v>
      </c>
      <c r="D340" s="76" t="str">
        <f t="shared" si="28"/>
        <v>A02N</v>
      </c>
      <c r="E340" s="76" t="s">
        <v>107</v>
      </c>
      <c r="F340" s="77" t="s">
        <v>758</v>
      </c>
      <c r="G340" s="78">
        <v>0.73104161957945069</v>
      </c>
      <c r="H340" s="79">
        <v>42145</v>
      </c>
      <c r="I340" s="79">
        <v>42145</v>
      </c>
      <c r="J340" s="3" t="str">
        <f t="shared" si="26"/>
        <v/>
      </c>
      <c r="K340" s="7">
        <v>-1.1940298507462588E-2</v>
      </c>
      <c r="L340" s="7">
        <v>-6.237524950099993E-3</v>
      </c>
      <c r="M340" s="7">
        <v>-2.5025025025027237E-4</v>
      </c>
      <c r="N340" s="7">
        <v>-1.1011011011010985E-2</v>
      </c>
      <c r="O340" s="7">
        <v>-1.4999999999999902E-2</v>
      </c>
      <c r="P340" s="7">
        <v>-2.9999999999999694E-2</v>
      </c>
      <c r="Q340" s="7">
        <v>-0.99000000000000055</v>
      </c>
      <c r="R340" s="7">
        <v>-1</v>
      </c>
      <c r="S340" s="7">
        <v>-1</v>
      </c>
      <c r="T340" s="7">
        <v>-1</v>
      </c>
      <c r="U340" s="1">
        <v>4057</v>
      </c>
      <c r="W340" s="1">
        <v>879843</v>
      </c>
    </row>
    <row r="341" spans="1:23" x14ac:dyDescent="0.25">
      <c r="A341" s="76">
        <v>3</v>
      </c>
      <c r="B341" s="76" t="s">
        <v>54</v>
      </c>
      <c r="C341" s="76">
        <v>2002</v>
      </c>
      <c r="D341" s="76" t="str">
        <f t="shared" si="28"/>
        <v>A02N</v>
      </c>
      <c r="E341" s="76" t="s">
        <v>107</v>
      </c>
      <c r="F341" s="77" t="s">
        <v>759</v>
      </c>
      <c r="G341" s="78">
        <v>0.73155274780652513</v>
      </c>
      <c r="H341" s="79">
        <v>37508</v>
      </c>
      <c r="I341" s="79">
        <v>42203</v>
      </c>
      <c r="J341" s="3">
        <f t="shared" si="26"/>
        <v>13</v>
      </c>
      <c r="K341" s="7">
        <v>1.442786069651758E-2</v>
      </c>
      <c r="L341" s="7">
        <v>2.2954091816367317E-2</v>
      </c>
      <c r="M341" s="7">
        <v>1.8018018018017168E-2</v>
      </c>
      <c r="N341" s="7">
        <v>9.7597597597596231E-3</v>
      </c>
      <c r="O341" s="7">
        <v>-7.5000000000002842E-3</v>
      </c>
      <c r="P341" s="7">
        <v>-5.9999999999996612E-2</v>
      </c>
      <c r="Q341" s="7">
        <v>-0.99500000000000455</v>
      </c>
      <c r="R341" s="7">
        <v>-1</v>
      </c>
      <c r="S341" s="7">
        <v>-1</v>
      </c>
      <c r="T341" s="7">
        <v>-1</v>
      </c>
      <c r="U341" s="1">
        <v>3552</v>
      </c>
      <c r="W341" s="1">
        <v>821187</v>
      </c>
    </row>
    <row r="342" spans="1:23" x14ac:dyDescent="0.25">
      <c r="A342" s="76">
        <v>3</v>
      </c>
      <c r="B342" s="76" t="s">
        <v>54</v>
      </c>
      <c r="C342" s="76">
        <v>2002</v>
      </c>
      <c r="D342" s="76" t="str">
        <f t="shared" si="28"/>
        <v>A02N</v>
      </c>
      <c r="E342" s="76" t="s">
        <v>107</v>
      </c>
      <c r="F342" s="77" t="s">
        <v>760</v>
      </c>
      <c r="G342" s="78">
        <v>0.82038114124930184</v>
      </c>
      <c r="H342" s="79">
        <v>42164</v>
      </c>
      <c r="I342" s="79">
        <v>42164</v>
      </c>
      <c r="J342" s="3" t="str">
        <f t="shared" si="26"/>
        <v/>
      </c>
      <c r="K342" s="7">
        <v>8.2089552238808761E-3</v>
      </c>
      <c r="L342" s="7">
        <v>1.1227544910179521E-2</v>
      </c>
      <c r="M342" s="7">
        <v>1.5515515515515332E-2</v>
      </c>
      <c r="N342" s="7">
        <v>9.2592592592593004E-3</v>
      </c>
      <c r="O342" s="7">
        <v>4.9999999999996714E-3</v>
      </c>
      <c r="P342" s="7">
        <v>0</v>
      </c>
      <c r="Q342" s="7">
        <v>-0.15000000000000002</v>
      </c>
      <c r="R342" s="7">
        <v>-0.83999999999999775</v>
      </c>
      <c r="S342" s="7">
        <v>-1</v>
      </c>
      <c r="T342" s="7">
        <v>-1</v>
      </c>
      <c r="U342" s="1">
        <v>1228</v>
      </c>
      <c r="W342" s="1">
        <v>1538675</v>
      </c>
    </row>
    <row r="343" spans="1:23" x14ac:dyDescent="0.25">
      <c r="A343" s="76">
        <v>3</v>
      </c>
      <c r="B343" s="76" t="s">
        <v>54</v>
      </c>
      <c r="C343" s="76">
        <v>2002</v>
      </c>
      <c r="D343" s="76" t="str">
        <f t="shared" si="28"/>
        <v>A02N</v>
      </c>
      <c r="E343" s="76" t="s">
        <v>107</v>
      </c>
      <c r="F343" s="77" t="s">
        <v>761</v>
      </c>
      <c r="G343" s="78">
        <v>0.73564133336621129</v>
      </c>
      <c r="H343" s="79">
        <v>39014</v>
      </c>
      <c r="I343" s="79">
        <v>39170</v>
      </c>
      <c r="J343" s="3">
        <f t="shared" si="26"/>
        <v>1</v>
      </c>
      <c r="K343" s="7">
        <v>1.393034825870676E-2</v>
      </c>
      <c r="L343" s="7">
        <v>1.7215568862275044E-2</v>
      </c>
      <c r="M343" s="7">
        <v>1.7017017017017633E-2</v>
      </c>
      <c r="N343" s="7">
        <v>7.2572572572571215E-3</v>
      </c>
      <c r="O343" s="7">
        <v>-5.0000000000011147E-3</v>
      </c>
      <c r="P343" s="7">
        <v>-4.4999999999998819E-2</v>
      </c>
      <c r="Q343" s="7">
        <v>-0.98499999999999654</v>
      </c>
      <c r="R343" s="7">
        <v>-1</v>
      </c>
      <c r="S343" s="7">
        <v>-1</v>
      </c>
      <c r="T343" s="7">
        <v>-1</v>
      </c>
      <c r="U343" s="1">
        <v>1670</v>
      </c>
      <c r="W343" s="1">
        <v>1172549</v>
      </c>
    </row>
    <row r="344" spans="1:23" x14ac:dyDescent="0.25">
      <c r="A344" s="76">
        <v>3</v>
      </c>
      <c r="B344" s="76" t="s">
        <v>54</v>
      </c>
      <c r="C344" s="76">
        <v>2002</v>
      </c>
      <c r="D344" s="76" t="str">
        <f t="shared" si="28"/>
        <v>A02N</v>
      </c>
      <c r="E344" s="76" t="s">
        <v>107</v>
      </c>
      <c r="F344" s="77" t="s">
        <v>762</v>
      </c>
      <c r="G344" s="78">
        <v>0</v>
      </c>
      <c r="H344" s="79">
        <v>42145</v>
      </c>
      <c r="I344" s="79">
        <v>42145</v>
      </c>
      <c r="J344" s="3" t="str">
        <f t="shared" si="26"/>
        <v/>
      </c>
      <c r="K344" s="7">
        <v>-1</v>
      </c>
      <c r="L344" s="7">
        <v>-1</v>
      </c>
      <c r="M344" s="7">
        <v>-1</v>
      </c>
      <c r="N344" s="7">
        <v>-1</v>
      </c>
      <c r="O344" s="7">
        <v>-1</v>
      </c>
      <c r="P344" s="7">
        <v>-1</v>
      </c>
      <c r="Q344" s="7">
        <v>-1</v>
      </c>
      <c r="R344" s="7">
        <v>-1</v>
      </c>
      <c r="S344" s="7">
        <v>-1</v>
      </c>
      <c r="T344" s="7">
        <v>-1</v>
      </c>
      <c r="U344" s="1">
        <v>2250</v>
      </c>
      <c r="W344" s="1">
        <v>881953</v>
      </c>
    </row>
    <row r="345" spans="1:23" x14ac:dyDescent="0.25">
      <c r="A345" s="76">
        <v>3</v>
      </c>
      <c r="B345" s="76" t="s">
        <v>54</v>
      </c>
      <c r="C345" s="76">
        <v>2002</v>
      </c>
      <c r="D345" s="76" t="str">
        <f t="shared" si="28"/>
        <v>A02N</v>
      </c>
      <c r="E345" s="76" t="s">
        <v>107</v>
      </c>
      <c r="F345" s="77" t="s">
        <v>1308</v>
      </c>
      <c r="G345" s="78">
        <v>0.76759401228885438</v>
      </c>
      <c r="H345" s="79">
        <v>37497</v>
      </c>
      <c r="I345" s="79">
        <v>42202</v>
      </c>
      <c r="J345" s="3">
        <f t="shared" si="26"/>
        <v>13</v>
      </c>
      <c r="K345" s="7">
        <v>2.5870646766169347E-2</v>
      </c>
      <c r="L345" s="7">
        <v>2.7445109780439347E-2</v>
      </c>
      <c r="M345" s="7">
        <v>2.5025025025024794E-2</v>
      </c>
      <c r="N345" s="7">
        <v>1.5015015015015232E-2</v>
      </c>
      <c r="O345" s="7">
        <v>1.4999999999997682E-2</v>
      </c>
      <c r="P345" s="7">
        <v>-2.5000000000000022E-2</v>
      </c>
      <c r="Q345" s="7">
        <v>-0.7100000000000023</v>
      </c>
      <c r="R345" s="7">
        <v>-1</v>
      </c>
      <c r="S345" s="7">
        <v>-1</v>
      </c>
      <c r="T345" s="7">
        <v>-1</v>
      </c>
      <c r="U345" s="1">
        <v>2442</v>
      </c>
      <c r="W345" s="1">
        <v>2237717</v>
      </c>
    </row>
    <row r="346" spans="1:23" x14ac:dyDescent="0.25">
      <c r="A346" s="76">
        <v>3</v>
      </c>
      <c r="B346" s="76" t="s">
        <v>54</v>
      </c>
      <c r="C346" s="76">
        <v>2002</v>
      </c>
      <c r="D346" s="76" t="str">
        <f t="shared" si="28"/>
        <v>A02N</v>
      </c>
      <c r="E346" s="76" t="s">
        <v>107</v>
      </c>
      <c r="F346" s="77" t="s">
        <v>1309</v>
      </c>
      <c r="G346" s="78">
        <v>0.78192655426125024</v>
      </c>
      <c r="H346" s="79">
        <v>37495</v>
      </c>
      <c r="I346" s="79">
        <v>42200</v>
      </c>
      <c r="J346" s="3">
        <f t="shared" si="26"/>
        <v>13</v>
      </c>
      <c r="K346" s="7">
        <v>3.9800995024872332E-3</v>
      </c>
      <c r="L346" s="7">
        <v>4.2415169660678931E-3</v>
      </c>
      <c r="M346" s="7">
        <v>1.7517517517515735E-3</v>
      </c>
      <c r="N346" s="7">
        <v>-2.5025025025025016E-3</v>
      </c>
      <c r="O346" s="7">
        <v>-2.4999999999977263E-3</v>
      </c>
      <c r="P346" s="7">
        <v>-3.5000000000002252E-2</v>
      </c>
      <c r="Q346" s="7">
        <v>-0.35</v>
      </c>
      <c r="R346" s="7">
        <v>-1</v>
      </c>
      <c r="S346" s="7">
        <v>-1</v>
      </c>
      <c r="T346" s="7">
        <v>-1</v>
      </c>
      <c r="U346" s="1">
        <v>2043</v>
      </c>
      <c r="W346" s="1">
        <v>2195577</v>
      </c>
    </row>
    <row r="347" spans="1:23" x14ac:dyDescent="0.25">
      <c r="A347" s="76">
        <v>3</v>
      </c>
      <c r="B347" s="76" t="s">
        <v>54</v>
      </c>
      <c r="C347" s="76">
        <v>2002</v>
      </c>
      <c r="D347" s="76" t="str">
        <f t="shared" si="28"/>
        <v>A02N</v>
      </c>
      <c r="E347" s="76" t="s">
        <v>107</v>
      </c>
      <c r="F347" s="77" t="s">
        <v>763</v>
      </c>
      <c r="G347" s="78">
        <v>0.80953399244928193</v>
      </c>
      <c r="H347" s="79">
        <v>37497</v>
      </c>
      <c r="I347" s="79">
        <v>42202</v>
      </c>
      <c r="J347" s="3">
        <f t="shared" si="26"/>
        <v>13</v>
      </c>
      <c r="K347" s="7">
        <v>1.1691542288557066E-2</v>
      </c>
      <c r="L347" s="7">
        <v>1.5469061876247414E-2</v>
      </c>
      <c r="M347" s="7">
        <v>1.951951951951969E-2</v>
      </c>
      <c r="N347" s="7">
        <v>-5.7557557557559313E-3</v>
      </c>
      <c r="O347" s="7">
        <v>-5.2500000000000546E-2</v>
      </c>
      <c r="P347" s="7">
        <v>9.500000000000175E-2</v>
      </c>
      <c r="Q347" s="7">
        <v>-0.24500000000000166</v>
      </c>
      <c r="R347" s="7">
        <v>-1</v>
      </c>
      <c r="S347" s="7">
        <v>-1</v>
      </c>
      <c r="T347" s="7">
        <v>-1</v>
      </c>
      <c r="U347" s="1">
        <v>2708</v>
      </c>
      <c r="W347" s="1">
        <v>2237521</v>
      </c>
    </row>
    <row r="348" spans="1:23" x14ac:dyDescent="0.25">
      <c r="A348" s="76">
        <v>3</v>
      </c>
      <c r="B348" s="76" t="s">
        <v>54</v>
      </c>
      <c r="C348" s="76">
        <v>2002</v>
      </c>
      <c r="D348" s="76" t="str">
        <f t="shared" si="28"/>
        <v>A02N</v>
      </c>
      <c r="E348" s="76" t="s">
        <v>107</v>
      </c>
      <c r="F348" s="77" t="s">
        <v>748</v>
      </c>
      <c r="G348" s="78">
        <v>0.48883273728237198</v>
      </c>
      <c r="H348" s="79">
        <v>37649</v>
      </c>
      <c r="I348" s="79">
        <v>37649</v>
      </c>
      <c r="J348" s="3" t="str">
        <f t="shared" si="26"/>
        <v/>
      </c>
      <c r="K348" s="7">
        <v>-1.2012012012012185E-2</v>
      </c>
      <c r="L348" s="7">
        <v>0</v>
      </c>
      <c r="M348" s="7">
        <v>-5.0100200400793327E-4</v>
      </c>
      <c r="N348" s="7">
        <v>-1.0521042084168042E-2</v>
      </c>
      <c r="O348" s="7">
        <v>-8.5000000000002296E-2</v>
      </c>
      <c r="P348" s="7">
        <v>-1</v>
      </c>
      <c r="Q348" s="7">
        <v>-1</v>
      </c>
      <c r="R348" s="7">
        <v>-1</v>
      </c>
      <c r="S348" s="7">
        <v>-1</v>
      </c>
      <c r="T348" s="7">
        <v>-1</v>
      </c>
      <c r="U348" s="1">
        <v>4037</v>
      </c>
      <c r="W348" s="1">
        <v>1395289</v>
      </c>
    </row>
    <row r="349" spans="1:23" x14ac:dyDescent="0.25">
      <c r="A349" s="76">
        <v>3</v>
      </c>
      <c r="B349" s="76" t="s">
        <v>54</v>
      </c>
      <c r="C349" s="76">
        <v>2002</v>
      </c>
      <c r="D349" s="76" t="str">
        <f t="shared" si="28"/>
        <v>A02N</v>
      </c>
      <c r="E349" s="76" t="s">
        <v>107</v>
      </c>
      <c r="F349" s="77" t="s">
        <v>749</v>
      </c>
      <c r="G349" s="78">
        <v>0.77600085354128046</v>
      </c>
      <c r="H349" s="79">
        <v>42185</v>
      </c>
      <c r="I349" s="79">
        <v>42185</v>
      </c>
      <c r="J349" s="3" t="str">
        <f t="shared" si="26"/>
        <v/>
      </c>
      <c r="K349" s="7">
        <v>1.0010010010008674E-3</v>
      </c>
      <c r="L349" s="7">
        <v>3.0030030030030463E-3</v>
      </c>
      <c r="M349" s="7">
        <v>1.1523046092184241E-2</v>
      </c>
      <c r="N349" s="7">
        <v>6.7635270541084314E-3</v>
      </c>
      <c r="O349" s="7">
        <v>7.4999999999989519E-3</v>
      </c>
      <c r="P349" s="7">
        <v>-9.8605577689236168E-2</v>
      </c>
      <c r="Q349" s="7">
        <v>-0.29500000000000459</v>
      </c>
      <c r="R349" s="7">
        <v>-0.98999999999999777</v>
      </c>
      <c r="S349" s="7">
        <v>-1</v>
      </c>
      <c r="T349" s="7">
        <v>-1</v>
      </c>
      <c r="U349" s="1">
        <v>1619</v>
      </c>
      <c r="W349" s="1">
        <v>3250741</v>
      </c>
    </row>
    <row r="350" spans="1:23" x14ac:dyDescent="0.25">
      <c r="A350" s="76">
        <v>3</v>
      </c>
      <c r="B350" s="76" t="s">
        <v>54</v>
      </c>
      <c r="C350" s="76">
        <v>2002</v>
      </c>
      <c r="D350" s="76" t="str">
        <f t="shared" si="28"/>
        <v>A02N</v>
      </c>
      <c r="E350" s="76" t="s">
        <v>107</v>
      </c>
      <c r="F350" s="77" t="s">
        <v>750</v>
      </c>
      <c r="G350" s="78">
        <v>0.74499471173731879</v>
      </c>
      <c r="H350" s="79">
        <v>37496</v>
      </c>
      <c r="I350" s="79">
        <v>42202</v>
      </c>
      <c r="J350" s="3">
        <f t="shared" si="26"/>
        <v>13</v>
      </c>
      <c r="K350" s="7">
        <v>-7.7577577577577772E-3</v>
      </c>
      <c r="L350" s="7">
        <v>-7.0070070070071822E-3</v>
      </c>
      <c r="M350" s="7">
        <v>-1.2525050100201662E-3</v>
      </c>
      <c r="N350" s="7">
        <v>-6.262525050100054E-3</v>
      </c>
      <c r="O350" s="7">
        <v>-7.4999999999988409E-3</v>
      </c>
      <c r="P350" s="7">
        <v>-0.16334661354581892</v>
      </c>
      <c r="Q350" s="7">
        <v>-0.40999999999999093</v>
      </c>
      <c r="R350" s="7">
        <v>-1</v>
      </c>
      <c r="S350" s="7">
        <v>-1</v>
      </c>
      <c r="T350" s="7">
        <v>-1</v>
      </c>
      <c r="U350" s="1">
        <v>2577</v>
      </c>
      <c r="W350" s="1">
        <v>2201721</v>
      </c>
    </row>
    <row r="351" spans="1:23" x14ac:dyDescent="0.25">
      <c r="A351" s="76">
        <v>3</v>
      </c>
      <c r="B351" s="76" t="s">
        <v>54</v>
      </c>
      <c r="C351" s="76">
        <v>2002</v>
      </c>
      <c r="D351" s="76" t="str">
        <f t="shared" si="28"/>
        <v>A02N</v>
      </c>
      <c r="E351" s="76" t="s">
        <v>107</v>
      </c>
      <c r="F351" s="77" t="s">
        <v>751</v>
      </c>
      <c r="G351" s="78">
        <v>0.7622687371721093</v>
      </c>
      <c r="H351" s="79">
        <v>37571</v>
      </c>
      <c r="I351" s="79">
        <v>42170</v>
      </c>
      <c r="J351" s="3">
        <f t="shared" si="26"/>
        <v>13</v>
      </c>
      <c r="K351" s="7">
        <v>-1.5015015015014122E-3</v>
      </c>
      <c r="L351" s="7">
        <v>2.5025025025060543E-4</v>
      </c>
      <c r="M351" s="7">
        <v>-2.0040080160318441E-3</v>
      </c>
      <c r="N351" s="7">
        <v>-2.2545090180361438E-3</v>
      </c>
      <c r="O351" s="7">
        <v>-5.0000000000011147E-3</v>
      </c>
      <c r="P351" s="7">
        <v>-0.10358565737051784</v>
      </c>
      <c r="Q351" s="7">
        <v>-0.38500000000000223</v>
      </c>
      <c r="R351" s="7">
        <v>-1</v>
      </c>
      <c r="S351" s="7">
        <v>-1</v>
      </c>
      <c r="T351" s="7">
        <v>-1</v>
      </c>
      <c r="U351" s="1">
        <v>1750</v>
      </c>
      <c r="W351" s="1">
        <v>3493301</v>
      </c>
    </row>
    <row r="352" spans="1:23" x14ac:dyDescent="0.25">
      <c r="A352" s="76">
        <v>3</v>
      </c>
      <c r="B352" s="76" t="s">
        <v>54</v>
      </c>
      <c r="C352" s="76">
        <v>2002</v>
      </c>
      <c r="D352" s="76" t="str">
        <f t="shared" si="28"/>
        <v>A02N</v>
      </c>
      <c r="E352" s="76" t="s">
        <v>107</v>
      </c>
      <c r="F352" s="77" t="s">
        <v>752</v>
      </c>
      <c r="G352" s="78">
        <v>0.53626141105734937</v>
      </c>
      <c r="H352" s="79">
        <v>42174</v>
      </c>
      <c r="I352" s="79">
        <v>42174</v>
      </c>
      <c r="J352" s="3" t="str">
        <f t="shared" si="26"/>
        <v/>
      </c>
      <c r="K352" s="7">
        <v>2.3773773773773543E-2</v>
      </c>
      <c r="L352" s="7">
        <v>2.3523523523523826E-2</v>
      </c>
      <c r="M352" s="7">
        <v>2.4799599198396693E-2</v>
      </c>
      <c r="N352" s="7">
        <v>2.3046092184368705E-2</v>
      </c>
      <c r="O352" s="7">
        <v>7.9999999999997629E-2</v>
      </c>
      <c r="P352" s="7">
        <v>-1</v>
      </c>
      <c r="Q352" s="7">
        <v>-1</v>
      </c>
      <c r="R352" s="7">
        <v>-1</v>
      </c>
      <c r="S352" s="7">
        <v>-1</v>
      </c>
      <c r="T352" s="7">
        <v>-1</v>
      </c>
      <c r="U352" s="1">
        <v>2344</v>
      </c>
      <c r="W352" s="1">
        <v>3613101</v>
      </c>
    </row>
    <row r="353" spans="1:23" x14ac:dyDescent="0.25">
      <c r="A353" s="76">
        <v>3</v>
      </c>
      <c r="B353" s="76" t="s">
        <v>54</v>
      </c>
      <c r="C353" s="76">
        <v>2002</v>
      </c>
      <c r="D353" s="76" t="str">
        <f t="shared" si="28"/>
        <v>A02N</v>
      </c>
      <c r="E353" s="76" t="s">
        <v>107</v>
      </c>
      <c r="F353" s="77" t="s">
        <v>753</v>
      </c>
      <c r="G353" s="78">
        <v>0.75673342416252898</v>
      </c>
      <c r="H353" s="79">
        <v>42145</v>
      </c>
      <c r="I353" s="79">
        <v>42145</v>
      </c>
      <c r="J353" s="3" t="str">
        <f t="shared" si="26"/>
        <v/>
      </c>
      <c r="K353" s="7">
        <v>-9.5095095095096838E-3</v>
      </c>
      <c r="L353" s="7">
        <v>5.505505505505548E-3</v>
      </c>
      <c r="M353" s="7">
        <v>5.2605210420841875E-3</v>
      </c>
      <c r="N353" s="7">
        <v>-5.7615230460917877E-3</v>
      </c>
      <c r="O353" s="7">
        <v>-1.7500000000001181E-2</v>
      </c>
      <c r="P353" s="7">
        <v>-0.12350597609561065</v>
      </c>
      <c r="Q353" s="7">
        <v>-0.36499999999999777</v>
      </c>
      <c r="R353" s="7">
        <v>-0.99500000000000455</v>
      </c>
      <c r="S353" s="7">
        <v>-1</v>
      </c>
      <c r="T353" s="7">
        <v>-1</v>
      </c>
      <c r="U353" s="1">
        <v>3968</v>
      </c>
      <c r="W353" s="1">
        <v>878987</v>
      </c>
    </row>
    <row r="354" spans="1:23" x14ac:dyDescent="0.25">
      <c r="A354" s="76">
        <v>3</v>
      </c>
      <c r="B354" s="76" t="s">
        <v>54</v>
      </c>
      <c r="C354" s="76">
        <v>2002</v>
      </c>
      <c r="D354" s="76" t="str">
        <f t="shared" si="28"/>
        <v>A02N</v>
      </c>
      <c r="E354" s="76" t="s">
        <v>107</v>
      </c>
      <c r="F354" s="77" t="s">
        <v>754</v>
      </c>
      <c r="G354" s="78">
        <v>0.80515529631341498</v>
      </c>
      <c r="H354" s="79">
        <v>37431</v>
      </c>
      <c r="I354" s="79">
        <v>37431</v>
      </c>
      <c r="J354" s="3" t="str">
        <f t="shared" si="26"/>
        <v/>
      </c>
      <c r="K354" s="7">
        <v>-1.4014014014014031E-2</v>
      </c>
      <c r="L354" s="7">
        <v>-1.3513513513513487E-2</v>
      </c>
      <c r="M354" s="7">
        <v>-7.2645290581161426E-3</v>
      </c>
      <c r="N354" s="7">
        <v>1.0020040080167547E-3</v>
      </c>
      <c r="O354" s="7">
        <v>7.4999999999989519E-3</v>
      </c>
      <c r="P354" s="7">
        <v>-0.10358565737051784</v>
      </c>
      <c r="Q354" s="7">
        <v>-0.4</v>
      </c>
      <c r="R354" s="7">
        <v>-0.38500000000000223</v>
      </c>
      <c r="S354" s="7">
        <v>-1</v>
      </c>
      <c r="T354" s="7">
        <v>-1</v>
      </c>
      <c r="U354" s="1">
        <v>1552</v>
      </c>
      <c r="W354" s="1">
        <v>1015117</v>
      </c>
    </row>
    <row r="355" spans="1:23" x14ac:dyDescent="0.25">
      <c r="A355" s="76">
        <v>3</v>
      </c>
      <c r="B355" s="76" t="s">
        <v>54</v>
      </c>
      <c r="C355" s="76">
        <v>2002</v>
      </c>
      <c r="D355" s="76" t="str">
        <f t="shared" si="28"/>
        <v>A02N</v>
      </c>
      <c r="E355" s="76" t="s">
        <v>107</v>
      </c>
      <c r="F355" s="77" t="s">
        <v>755</v>
      </c>
      <c r="G355" s="78">
        <v>4.3293293292556712E-6</v>
      </c>
      <c r="H355" s="79" t="s">
        <v>852</v>
      </c>
      <c r="I355" s="79">
        <v>42152</v>
      </c>
      <c r="J355" s="3" t="e">
        <f t="shared" si="26"/>
        <v>#VALUE!</v>
      </c>
      <c r="K355" s="7">
        <v>-0.99974974974974973</v>
      </c>
      <c r="L355" s="7">
        <v>-1</v>
      </c>
      <c r="M355" s="7">
        <v>-1</v>
      </c>
      <c r="N355" s="7">
        <v>-1</v>
      </c>
      <c r="O355" s="7">
        <v>-1</v>
      </c>
      <c r="P355" s="7">
        <v>-1</v>
      </c>
      <c r="Q355" s="7">
        <v>-1</v>
      </c>
      <c r="R355" s="7">
        <v>-1</v>
      </c>
      <c r="S355" s="7">
        <v>-1</v>
      </c>
      <c r="T355" s="7">
        <v>-1</v>
      </c>
      <c r="U355" s="1">
        <v>1100</v>
      </c>
      <c r="W355" s="1">
        <v>1795392</v>
      </c>
    </row>
    <row r="356" spans="1:23" x14ac:dyDescent="0.25">
      <c r="A356" s="76">
        <v>3</v>
      </c>
      <c r="B356" s="76" t="s">
        <v>54</v>
      </c>
      <c r="C356" s="76">
        <v>2002</v>
      </c>
      <c r="D356" s="76" t="str">
        <f t="shared" si="28"/>
        <v>A02N</v>
      </c>
      <c r="E356" s="76" t="s">
        <v>107</v>
      </c>
      <c r="F356" s="77" t="s">
        <v>756</v>
      </c>
      <c r="G356" s="78">
        <v>0.87089272404618057</v>
      </c>
      <c r="H356" s="79">
        <v>42177</v>
      </c>
      <c r="I356" s="79">
        <v>42177</v>
      </c>
      <c r="J356" s="3" t="str">
        <f t="shared" si="26"/>
        <v/>
      </c>
      <c r="K356" s="7">
        <v>3.503503503503369E-3</v>
      </c>
      <c r="L356" s="7">
        <v>5.0050050050052253E-3</v>
      </c>
      <c r="M356" s="7">
        <v>1.6282565130260052E-2</v>
      </c>
      <c r="N356" s="7">
        <v>1.1022044088176752E-2</v>
      </c>
      <c r="O356" s="7">
        <v>6.25E-2</v>
      </c>
      <c r="P356" s="7">
        <v>-2.8884462151394286E-2</v>
      </c>
      <c r="Q356" s="7">
        <v>-0.16500000000000337</v>
      </c>
      <c r="R356" s="7">
        <v>-0.18499999999999661</v>
      </c>
      <c r="S356" s="7">
        <v>-1</v>
      </c>
      <c r="T356" s="7">
        <v>-1</v>
      </c>
      <c r="U356" s="1">
        <v>2611</v>
      </c>
      <c r="W356" s="1">
        <v>1792954</v>
      </c>
    </row>
    <row r="357" spans="1:23" x14ac:dyDescent="0.25">
      <c r="A357" s="76">
        <v>3</v>
      </c>
      <c r="B357" s="76" t="s">
        <v>54</v>
      </c>
      <c r="C357" s="76">
        <v>2002</v>
      </c>
      <c r="D357" s="76" t="str">
        <f t="shared" ref="D357:D366" si="29">LEFT(F357,4)</f>
        <v>A02N</v>
      </c>
      <c r="E357" s="76" t="s">
        <v>107</v>
      </c>
      <c r="F357" s="77" t="s">
        <v>784</v>
      </c>
      <c r="G357" s="78">
        <v>0.80791297432723286</v>
      </c>
      <c r="H357" s="79">
        <v>37438</v>
      </c>
      <c r="I357" s="79">
        <v>42203</v>
      </c>
      <c r="J357" s="3">
        <f t="shared" si="26"/>
        <v>13</v>
      </c>
      <c r="K357" s="7">
        <v>-4.0000000000000036E-3</v>
      </c>
      <c r="L357" s="7">
        <v>-5.0000000000000044E-3</v>
      </c>
      <c r="M357" s="7">
        <v>-7.0070070070071822E-3</v>
      </c>
      <c r="N357" s="7">
        <v>-1.0020040080155335E-3</v>
      </c>
      <c r="O357" s="7">
        <v>-4.9999999999996714E-3</v>
      </c>
      <c r="P357" s="7">
        <v>-9.9999999999994538E-3</v>
      </c>
      <c r="Q357" s="7">
        <v>-0.31500000000000339</v>
      </c>
      <c r="R357" s="7">
        <v>-1</v>
      </c>
      <c r="S357" s="7">
        <v>-1</v>
      </c>
      <c r="T357" s="7">
        <v>-1</v>
      </c>
      <c r="U357" s="1">
        <v>3042</v>
      </c>
      <c r="W357" s="1">
        <v>3727459</v>
      </c>
    </row>
    <row r="358" spans="1:23" x14ac:dyDescent="0.25">
      <c r="A358" s="76">
        <v>3</v>
      </c>
      <c r="B358" s="76" t="s">
        <v>54</v>
      </c>
      <c r="C358" s="76">
        <v>2002</v>
      </c>
      <c r="D358" s="76" t="str">
        <f t="shared" si="29"/>
        <v>A02N</v>
      </c>
      <c r="E358" s="76" t="s">
        <v>107</v>
      </c>
      <c r="F358" s="77" t="s">
        <v>785</v>
      </c>
      <c r="G358" s="78">
        <v>0.82742776846164667</v>
      </c>
      <c r="H358" s="79">
        <v>37497</v>
      </c>
      <c r="I358" s="79">
        <v>42200</v>
      </c>
      <c r="J358" s="3">
        <f t="shared" si="26"/>
        <v>13</v>
      </c>
      <c r="K358" s="7">
        <v>1.0749999999999815E-2</v>
      </c>
      <c r="L358" s="7">
        <v>1.2999999999999901E-2</v>
      </c>
      <c r="M358" s="7">
        <v>1.9769769769770074E-2</v>
      </c>
      <c r="N358" s="7">
        <v>1.5280561122244407E-2</v>
      </c>
      <c r="O358" s="7">
        <v>5.0000000000012257E-3</v>
      </c>
      <c r="P358" s="7">
        <v>-5.0000000000067768E-3</v>
      </c>
      <c r="Q358" s="7">
        <v>-0.22499999999999998</v>
      </c>
      <c r="R358" s="7">
        <v>-1</v>
      </c>
      <c r="S358" s="7">
        <v>-1</v>
      </c>
      <c r="T358" s="7">
        <v>-1</v>
      </c>
      <c r="U358" s="1">
        <v>2091</v>
      </c>
      <c r="W358" s="1">
        <v>2199246</v>
      </c>
    </row>
    <row r="359" spans="1:23" x14ac:dyDescent="0.25">
      <c r="A359" s="76">
        <v>3</v>
      </c>
      <c r="B359" s="76" t="s">
        <v>54</v>
      </c>
      <c r="C359" s="76">
        <v>2002</v>
      </c>
      <c r="D359" s="76" t="str">
        <f t="shared" si="29"/>
        <v>A02N</v>
      </c>
      <c r="E359" s="76" t="s">
        <v>107</v>
      </c>
      <c r="F359" s="77" t="s">
        <v>786</v>
      </c>
      <c r="G359" s="78">
        <v>0.81348016696275438</v>
      </c>
      <c r="H359" s="79">
        <v>37496</v>
      </c>
      <c r="I359" s="79">
        <v>42202</v>
      </c>
      <c r="J359" s="3">
        <f t="shared" si="26"/>
        <v>13</v>
      </c>
      <c r="K359" s="7">
        <v>1.5000000000000568E-3</v>
      </c>
      <c r="L359" s="7">
        <v>-1.9999999999998908E-3</v>
      </c>
      <c r="M359" s="7">
        <v>-2.2522522522522292E-3</v>
      </c>
      <c r="N359" s="7">
        <v>5.7615230460921207E-3</v>
      </c>
      <c r="O359" s="7">
        <v>4.9999999999954525E-3</v>
      </c>
      <c r="P359" s="7">
        <v>-2.9999999999995475E-2</v>
      </c>
      <c r="Q359" s="7">
        <v>-0.25999999999999945</v>
      </c>
      <c r="R359" s="7">
        <v>-1</v>
      </c>
      <c r="S359" s="7">
        <v>-1</v>
      </c>
      <c r="T359" s="7">
        <v>-1</v>
      </c>
      <c r="U359" s="1">
        <v>1259</v>
      </c>
      <c r="W359" s="1">
        <v>2199866</v>
      </c>
    </row>
    <row r="360" spans="1:23" x14ac:dyDescent="0.25">
      <c r="A360" s="76">
        <v>3</v>
      </c>
      <c r="B360" s="76" t="s">
        <v>54</v>
      </c>
      <c r="C360" s="76">
        <v>2002</v>
      </c>
      <c r="D360" s="76" t="str">
        <f t="shared" si="29"/>
        <v>A02N</v>
      </c>
      <c r="E360" s="76" t="s">
        <v>107</v>
      </c>
      <c r="F360" s="77" t="s">
        <v>787</v>
      </c>
      <c r="G360" s="78">
        <v>0.80703213592415113</v>
      </c>
      <c r="H360" s="79">
        <v>37559</v>
      </c>
      <c r="I360" s="79">
        <v>42201</v>
      </c>
      <c r="J360" s="3">
        <f t="shared" si="26"/>
        <v>13</v>
      </c>
      <c r="K360" s="7">
        <v>-1.4999999999997238E-3</v>
      </c>
      <c r="L360" s="7">
        <v>-2.2500000000001963E-3</v>
      </c>
      <c r="M360" s="7">
        <v>-6.256256256255921E-3</v>
      </c>
      <c r="N360" s="7">
        <v>-2.5050100200374459E-4</v>
      </c>
      <c r="O360" s="7">
        <v>0</v>
      </c>
      <c r="P360" s="7">
        <v>-9.9999999999994538E-3</v>
      </c>
      <c r="Q360" s="7">
        <v>-0.33499999999999663</v>
      </c>
      <c r="R360" s="7">
        <v>-1</v>
      </c>
      <c r="S360" s="7">
        <v>-1</v>
      </c>
      <c r="T360" s="7">
        <v>-1</v>
      </c>
      <c r="U360" s="1">
        <v>1998</v>
      </c>
      <c r="W360" s="1">
        <v>1756801</v>
      </c>
    </row>
    <row r="361" spans="1:23" x14ac:dyDescent="0.25">
      <c r="A361" s="76">
        <v>3</v>
      </c>
      <c r="B361" s="76" t="s">
        <v>54</v>
      </c>
      <c r="C361" s="76">
        <v>2002</v>
      </c>
      <c r="D361" s="76" t="str">
        <f t="shared" si="29"/>
        <v>A02N</v>
      </c>
      <c r="E361" s="76" t="s">
        <v>107</v>
      </c>
      <c r="F361" s="77" t="s">
        <v>788</v>
      </c>
      <c r="G361" s="78">
        <v>0.92427316033724094</v>
      </c>
      <c r="H361" s="79">
        <v>37481</v>
      </c>
      <c r="I361" s="79">
        <v>42201</v>
      </c>
      <c r="J361" s="3">
        <f t="shared" si="26"/>
        <v>13</v>
      </c>
      <c r="K361" s="7">
        <v>2.0249999999999879E-2</v>
      </c>
      <c r="L361" s="7">
        <v>1.8750000000000044E-2</v>
      </c>
      <c r="M361" s="7">
        <v>1.4764764764764626E-2</v>
      </c>
      <c r="N361" s="7">
        <v>1.2274549098196585E-2</v>
      </c>
      <c r="O361" s="7">
        <v>2.249999999999952E-2</v>
      </c>
      <c r="P361" s="7">
        <v>1.9999999999998908E-2</v>
      </c>
      <c r="Q361" s="7">
        <v>-4.4999999999993157E-2</v>
      </c>
      <c r="R361" s="7">
        <v>-0.12000000000000455</v>
      </c>
      <c r="S361" s="7">
        <v>-0.99500000000000455</v>
      </c>
      <c r="T361" s="7">
        <v>-1</v>
      </c>
      <c r="U361" s="1">
        <v>893</v>
      </c>
      <c r="W361" s="1">
        <v>1757921</v>
      </c>
    </row>
    <row r="362" spans="1:23" x14ac:dyDescent="0.25">
      <c r="A362" s="76">
        <v>3</v>
      </c>
      <c r="B362" s="76" t="s">
        <v>54</v>
      </c>
      <c r="C362" s="76">
        <v>2002</v>
      </c>
      <c r="D362" s="76" t="str">
        <f t="shared" si="29"/>
        <v>A02N</v>
      </c>
      <c r="E362" s="76" t="s">
        <v>107</v>
      </c>
      <c r="F362" s="77" t="s">
        <v>789</v>
      </c>
      <c r="G362" s="78">
        <v>0.81480490436680308</v>
      </c>
      <c r="H362" s="79">
        <v>37587</v>
      </c>
      <c r="I362" s="79">
        <v>42201</v>
      </c>
      <c r="J362" s="3">
        <f t="shared" si="26"/>
        <v>13</v>
      </c>
      <c r="K362" s="7">
        <v>-1.7499999999999183E-3</v>
      </c>
      <c r="L362" s="7">
        <v>-5.5500000000000549E-3</v>
      </c>
      <c r="M362" s="7">
        <v>-6.7067067067065889E-3</v>
      </c>
      <c r="N362" s="7">
        <v>-6.0120240480963094E-3</v>
      </c>
      <c r="O362" s="7">
        <v>-5.0000000000011147E-3</v>
      </c>
      <c r="P362" s="7">
        <v>-1.9999999999993134E-2</v>
      </c>
      <c r="Q362" s="7">
        <v>-0.23999999999999988</v>
      </c>
      <c r="R362" s="7">
        <v>-0.99499999999999955</v>
      </c>
      <c r="S362" s="7">
        <v>-1</v>
      </c>
      <c r="T362" s="7">
        <v>-1</v>
      </c>
      <c r="U362" s="1">
        <v>1570</v>
      </c>
      <c r="W362" s="1">
        <v>2235862</v>
      </c>
    </row>
    <row r="363" spans="1:23" x14ac:dyDescent="0.25">
      <c r="A363" s="76">
        <v>3</v>
      </c>
      <c r="B363" s="76" t="s">
        <v>54</v>
      </c>
      <c r="C363" s="76">
        <v>2002</v>
      </c>
      <c r="D363" s="76" t="str">
        <f t="shared" si="29"/>
        <v>A02N</v>
      </c>
      <c r="E363" s="76" t="s">
        <v>107</v>
      </c>
      <c r="F363" s="77" t="s">
        <v>790</v>
      </c>
      <c r="G363" s="78">
        <v>0.82536461467324096</v>
      </c>
      <c r="H363" s="79">
        <v>37560</v>
      </c>
      <c r="I363" s="79">
        <v>42200</v>
      </c>
      <c r="J363" s="3">
        <f t="shared" si="26"/>
        <v>13</v>
      </c>
      <c r="K363" s="7">
        <v>-1.5499999999999958E-2</v>
      </c>
      <c r="L363" s="7">
        <v>-2.0249999999999879E-2</v>
      </c>
      <c r="M363" s="7">
        <v>-1.6016016016015988E-2</v>
      </c>
      <c r="N363" s="7">
        <v>-7.2645290581163646E-3</v>
      </c>
      <c r="O363" s="7">
        <v>0</v>
      </c>
      <c r="P363" s="7">
        <v>0</v>
      </c>
      <c r="Q363" s="7">
        <v>-0.1799999999999955</v>
      </c>
      <c r="R363" s="7">
        <v>-1</v>
      </c>
      <c r="S363" s="7">
        <v>-1</v>
      </c>
      <c r="T363" s="7">
        <v>-1</v>
      </c>
      <c r="U363" s="1">
        <v>2049</v>
      </c>
      <c r="W363" s="1">
        <v>1746561</v>
      </c>
    </row>
    <row r="364" spans="1:23" x14ac:dyDescent="0.25">
      <c r="A364" s="76">
        <v>3</v>
      </c>
      <c r="B364" s="76" t="s">
        <v>54</v>
      </c>
      <c r="C364" s="76">
        <v>2002</v>
      </c>
      <c r="D364" s="76" t="str">
        <f t="shared" si="29"/>
        <v>A02N</v>
      </c>
      <c r="E364" s="76" t="s">
        <v>107</v>
      </c>
      <c r="F364" s="77" t="s">
        <v>791</v>
      </c>
      <c r="G364" s="78">
        <v>0.75100721803837867</v>
      </c>
      <c r="H364" s="79">
        <v>37559</v>
      </c>
      <c r="I364" s="79">
        <v>42200</v>
      </c>
      <c r="J364" s="3">
        <f t="shared" si="26"/>
        <v>13</v>
      </c>
      <c r="K364" s="7">
        <v>-7.2500000000002007E-3</v>
      </c>
      <c r="L364" s="7">
        <v>-6.9999999999998952E-3</v>
      </c>
      <c r="M364" s="7">
        <v>-6.256256256255921E-3</v>
      </c>
      <c r="N364" s="7">
        <v>-7.014028056112287E-3</v>
      </c>
      <c r="O364" s="7">
        <v>1.2499999999999956E-2</v>
      </c>
      <c r="P364" s="7">
        <v>-0.28000000000000114</v>
      </c>
      <c r="Q364" s="7">
        <v>-0.28000000000000114</v>
      </c>
      <c r="R364" s="7">
        <v>-1</v>
      </c>
      <c r="S364" s="7">
        <v>-1</v>
      </c>
      <c r="T364" s="7">
        <v>-1</v>
      </c>
      <c r="U364" s="1">
        <v>2539</v>
      </c>
      <c r="W364" s="1">
        <v>1751166</v>
      </c>
    </row>
    <row r="365" spans="1:23" x14ac:dyDescent="0.25">
      <c r="A365" s="76">
        <v>3</v>
      </c>
      <c r="B365" s="76" t="s">
        <v>54</v>
      </c>
      <c r="C365" s="76">
        <v>2002</v>
      </c>
      <c r="D365" s="76" t="str">
        <f t="shared" si="29"/>
        <v>A02N</v>
      </c>
      <c r="E365" s="76" t="s">
        <v>107</v>
      </c>
      <c r="F365" s="77" t="s">
        <v>792</v>
      </c>
      <c r="G365" s="78">
        <v>0.87672104771429682</v>
      </c>
      <c r="H365" s="79">
        <v>37558</v>
      </c>
      <c r="I365" s="79">
        <v>42200</v>
      </c>
      <c r="J365" s="3">
        <f t="shared" si="26"/>
        <v>13</v>
      </c>
      <c r="K365" s="7">
        <v>1.0750000000000481E-2</v>
      </c>
      <c r="L365" s="7">
        <v>3.2499999999999751E-3</v>
      </c>
      <c r="M365" s="7">
        <v>8.5085085085085943E-3</v>
      </c>
      <c r="N365" s="7">
        <v>1.1523046092184241E-2</v>
      </c>
      <c r="O365" s="7">
        <v>1.2499999999999956E-2</v>
      </c>
      <c r="P365" s="7">
        <v>4.9999999999954525E-3</v>
      </c>
      <c r="Q365" s="7">
        <v>-0.23499999999999088</v>
      </c>
      <c r="R365" s="7">
        <v>-0.34000000000000907</v>
      </c>
      <c r="S365" s="7">
        <v>-1</v>
      </c>
      <c r="T365" s="7">
        <v>-1</v>
      </c>
      <c r="U365" s="1">
        <v>2514</v>
      </c>
      <c r="W365" s="1">
        <v>1757441</v>
      </c>
    </row>
    <row r="366" spans="1:23" x14ac:dyDescent="0.25">
      <c r="A366" s="76">
        <v>3</v>
      </c>
      <c r="B366" s="76" t="s">
        <v>54</v>
      </c>
      <c r="C366" s="76">
        <v>2002</v>
      </c>
      <c r="D366" s="76" t="str">
        <f t="shared" si="29"/>
        <v>A02N</v>
      </c>
      <c r="E366" s="76" t="s">
        <v>107</v>
      </c>
      <c r="F366" s="77" t="s">
        <v>793</v>
      </c>
      <c r="G366" s="78">
        <v>0.79740987293746723</v>
      </c>
      <c r="H366" s="79">
        <v>37560</v>
      </c>
      <c r="I366" s="79">
        <v>42200</v>
      </c>
      <c r="J366" s="3">
        <f t="shared" si="26"/>
        <v>13</v>
      </c>
      <c r="K366" s="7">
        <v>-6.7500000000001448E-3</v>
      </c>
      <c r="L366" s="7">
        <v>-7.499999999999396E-3</v>
      </c>
      <c r="M366" s="7">
        <v>-9.7597597597598451E-3</v>
      </c>
      <c r="N366" s="7">
        <v>-5.0100200400799988E-3</v>
      </c>
      <c r="O366" s="7">
        <v>-7.5000000000017275E-3</v>
      </c>
      <c r="P366" s="7">
        <v>-1.9999999999998908E-2</v>
      </c>
      <c r="Q366" s="7">
        <v>-0.36999999999999322</v>
      </c>
      <c r="R366" s="7">
        <v>-1</v>
      </c>
      <c r="S366" s="7">
        <v>-1</v>
      </c>
      <c r="T366" s="7">
        <v>-1</v>
      </c>
      <c r="U366" s="1">
        <v>1890</v>
      </c>
      <c r="W366" s="1">
        <v>1746723</v>
      </c>
    </row>
    <row r="367" spans="1:23" x14ac:dyDescent="0.25">
      <c r="A367" s="76">
        <v>3</v>
      </c>
      <c r="B367" s="76" t="s">
        <v>54</v>
      </c>
      <c r="C367" s="76">
        <v>2002</v>
      </c>
      <c r="D367" s="76" t="str">
        <f t="shared" ref="D367:D383" si="30">LEFT(F367,4)</f>
        <v>A02N</v>
      </c>
      <c r="E367" s="76" t="s">
        <v>107</v>
      </c>
      <c r="F367" s="77" t="s">
        <v>1207</v>
      </c>
      <c r="G367" s="78">
        <v>0.81823946951219528</v>
      </c>
      <c r="H367" s="79"/>
      <c r="I367" s="79"/>
      <c r="J367" s="3" t="str">
        <f t="shared" si="26"/>
        <v/>
      </c>
      <c r="K367" s="7">
        <v>1.0162601626015677E-2</v>
      </c>
      <c r="L367" s="7">
        <v>-1.6260162601625661E-2</v>
      </c>
      <c r="M367" s="7">
        <v>9.4850948509486166E-3</v>
      </c>
      <c r="N367" s="7">
        <v>-1.151761517615113E-2</v>
      </c>
      <c r="O367" s="7">
        <v>-5.0000000000000155E-2</v>
      </c>
      <c r="P367" s="7">
        <v>-9.9999999999997868E-3</v>
      </c>
      <c r="Q367" s="7">
        <v>-9.0000000000000191E-2</v>
      </c>
      <c r="R367" s="7">
        <v>-0.64750000000000019</v>
      </c>
      <c r="S367" s="7">
        <v>-0.99499999999999955</v>
      </c>
      <c r="T367" s="7">
        <v>-1</v>
      </c>
    </row>
    <row r="368" spans="1:23" x14ac:dyDescent="0.25">
      <c r="A368" s="76">
        <v>3</v>
      </c>
      <c r="B368" s="76" t="s">
        <v>54</v>
      </c>
      <c r="C368" s="76">
        <v>2002</v>
      </c>
      <c r="D368" s="76" t="str">
        <f t="shared" si="30"/>
        <v>A02N</v>
      </c>
      <c r="E368" s="76" t="s">
        <v>107</v>
      </c>
      <c r="F368" s="77" t="s">
        <v>1208</v>
      </c>
      <c r="G368" s="78">
        <v>0.80350230013550139</v>
      </c>
      <c r="H368" s="79"/>
      <c r="I368" s="79"/>
      <c r="J368" s="3" t="str">
        <f t="shared" si="26"/>
        <v/>
      </c>
      <c r="K368" s="7">
        <v>2.5745257452574499E-2</v>
      </c>
      <c r="L368" s="7">
        <v>2.3035230352303593E-2</v>
      </c>
      <c r="M368" s="7">
        <v>2.5067750677506995E-2</v>
      </c>
      <c r="N368" s="7">
        <v>3.048780487804903E-2</v>
      </c>
      <c r="O368" s="7">
        <v>0</v>
      </c>
      <c r="P368" s="7">
        <v>0</v>
      </c>
      <c r="Q368" s="7">
        <v>-0.28499999999999948</v>
      </c>
      <c r="R368" s="7">
        <v>-0.99000000000000055</v>
      </c>
      <c r="S368" s="7">
        <v>-0.99749999999999939</v>
      </c>
      <c r="T368" s="7">
        <v>-1</v>
      </c>
    </row>
    <row r="369" spans="1:20" x14ac:dyDescent="0.25">
      <c r="A369" s="76">
        <v>3</v>
      </c>
      <c r="B369" s="76" t="s">
        <v>54</v>
      </c>
      <c r="C369" s="76">
        <v>2002</v>
      </c>
      <c r="D369" s="76" t="str">
        <f t="shared" si="30"/>
        <v>A02N</v>
      </c>
      <c r="E369" s="76" t="s">
        <v>107</v>
      </c>
      <c r="F369" s="77" t="s">
        <v>1209</v>
      </c>
      <c r="G369" s="78">
        <v>0.7844145813008131</v>
      </c>
      <c r="H369" s="79"/>
      <c r="I369" s="79"/>
      <c r="J369" s="3" t="str">
        <f t="shared" si="26"/>
        <v/>
      </c>
      <c r="K369" s="7">
        <v>4.0650406504052494E-3</v>
      </c>
      <c r="L369" s="7">
        <v>2.032520325203846E-3</v>
      </c>
      <c r="M369" s="7">
        <v>2.032520325203846E-3</v>
      </c>
      <c r="N369" s="7">
        <v>-2.7100271002722387E-3</v>
      </c>
      <c r="O369" s="7">
        <v>-3.7499999999999978E-2</v>
      </c>
      <c r="P369" s="7">
        <v>-1.2499999999999956E-2</v>
      </c>
      <c r="Q369" s="7">
        <v>-0.52500000000000002</v>
      </c>
      <c r="R369" s="7">
        <v>-0.73000000000000109</v>
      </c>
      <c r="S369" s="7">
        <v>-0.99749999999999661</v>
      </c>
      <c r="T369" s="7">
        <v>-1</v>
      </c>
    </row>
    <row r="370" spans="1:20" x14ac:dyDescent="0.25">
      <c r="A370" s="76">
        <v>3</v>
      </c>
      <c r="B370" s="76" t="s">
        <v>54</v>
      </c>
      <c r="C370" s="76">
        <v>2002</v>
      </c>
      <c r="D370" s="76" t="str">
        <f t="shared" si="30"/>
        <v>A02N</v>
      </c>
      <c r="E370" s="76" t="s">
        <v>107</v>
      </c>
      <c r="F370" s="77" t="s">
        <v>1210</v>
      </c>
      <c r="G370" s="78">
        <v>0.76946936382113884</v>
      </c>
      <c r="H370" s="79"/>
      <c r="I370" s="79"/>
      <c r="J370" s="3" t="str">
        <f t="shared" si="26"/>
        <v/>
      </c>
      <c r="K370" s="7">
        <v>-7.4525745257452147E-3</v>
      </c>
      <c r="L370" s="7">
        <v>-1.151761517615113E-2</v>
      </c>
      <c r="M370" s="7">
        <v>-6.7750677506772661E-4</v>
      </c>
      <c r="N370" s="7">
        <v>-3.4552845528455278E-2</v>
      </c>
      <c r="O370" s="7">
        <v>-6.9999999999998841E-2</v>
      </c>
      <c r="P370" s="7">
        <v>-5.2499999999997771E-2</v>
      </c>
      <c r="Q370" s="7">
        <v>-0.18249999999999889</v>
      </c>
      <c r="R370" s="7">
        <v>-0.99250000000000116</v>
      </c>
      <c r="S370" s="7">
        <v>-0.99750000000000227</v>
      </c>
      <c r="T370" s="7">
        <v>-1</v>
      </c>
    </row>
    <row r="371" spans="1:20" x14ac:dyDescent="0.25">
      <c r="A371" s="76">
        <v>3</v>
      </c>
      <c r="B371" s="76" t="s">
        <v>54</v>
      </c>
      <c r="C371" s="76">
        <v>2002</v>
      </c>
      <c r="D371" s="76" t="str">
        <f t="shared" si="30"/>
        <v>A02N</v>
      </c>
      <c r="E371" s="76" t="s">
        <v>107</v>
      </c>
      <c r="F371" s="77" t="s">
        <v>1211</v>
      </c>
      <c r="G371" s="78">
        <v>0.87660475609756083</v>
      </c>
      <c r="H371" s="79"/>
      <c r="I371" s="79"/>
      <c r="J371" s="3" t="str">
        <f t="shared" si="26"/>
        <v/>
      </c>
      <c r="K371" s="7">
        <v>-6.7750677506772661E-4</v>
      </c>
      <c r="L371" s="7">
        <v>1.3550135501352312E-3</v>
      </c>
      <c r="M371" s="7">
        <v>6.0975609756097615E-3</v>
      </c>
      <c r="N371" s="7">
        <v>8.1300813008129413E-3</v>
      </c>
      <c r="O371" s="7">
        <v>1.7499999999999627E-2</v>
      </c>
      <c r="P371" s="7">
        <v>0</v>
      </c>
      <c r="Q371" s="7">
        <v>-5.4999999999999716E-2</v>
      </c>
      <c r="R371" s="7">
        <v>-0.14500000000000168</v>
      </c>
      <c r="S371" s="7">
        <v>-0.99499999999999889</v>
      </c>
      <c r="T371" s="7">
        <v>-1</v>
      </c>
    </row>
    <row r="372" spans="1:20" x14ac:dyDescent="0.25">
      <c r="A372" s="76">
        <v>3</v>
      </c>
      <c r="B372" s="76" t="s">
        <v>54</v>
      </c>
      <c r="C372" s="76">
        <v>2002</v>
      </c>
      <c r="D372" s="76" t="str">
        <f t="shared" si="30"/>
        <v>A02N</v>
      </c>
      <c r="E372" s="76" t="s">
        <v>107</v>
      </c>
      <c r="F372" s="77" t="s">
        <v>1212</v>
      </c>
      <c r="G372" s="78">
        <v>0.83230972154471528</v>
      </c>
      <c r="H372" s="79"/>
      <c r="I372" s="79"/>
      <c r="J372" s="3" t="str">
        <f t="shared" si="26"/>
        <v/>
      </c>
      <c r="K372" s="7">
        <v>-2.7100271002706844E-3</v>
      </c>
      <c r="L372" s="7">
        <v>-2.7100271002706844E-3</v>
      </c>
      <c r="M372" s="7">
        <v>5.4200542005409247E-3</v>
      </c>
      <c r="N372" s="7">
        <v>5.4200542005418129E-3</v>
      </c>
      <c r="O372" s="7">
        <v>1.2499999999999956E-2</v>
      </c>
      <c r="P372" s="7">
        <v>-6.5000000000000613E-2</v>
      </c>
      <c r="Q372" s="7">
        <v>-9.5000000000000306E-2</v>
      </c>
      <c r="R372" s="7">
        <v>-0.5</v>
      </c>
      <c r="S372" s="7">
        <v>-0.99749999999999939</v>
      </c>
      <c r="T372" s="7">
        <v>-1</v>
      </c>
    </row>
    <row r="373" spans="1:20" x14ac:dyDescent="0.25">
      <c r="A373" s="76">
        <v>3</v>
      </c>
      <c r="B373" s="76" t="s">
        <v>54</v>
      </c>
      <c r="C373" s="76">
        <v>2002</v>
      </c>
      <c r="D373" s="76" t="str">
        <f t="shared" si="30"/>
        <v>A02N</v>
      </c>
      <c r="E373" s="76" t="s">
        <v>107</v>
      </c>
      <c r="F373" s="77" t="s">
        <v>1213</v>
      </c>
      <c r="G373" s="78">
        <v>0.80141753048780484</v>
      </c>
      <c r="H373" s="79"/>
      <c r="I373" s="79"/>
      <c r="J373" s="3" t="str">
        <f t="shared" si="26"/>
        <v/>
      </c>
      <c r="K373" s="7">
        <v>-4.0650406504064707E-3</v>
      </c>
      <c r="L373" s="7">
        <v>-2.0325203252031798E-3</v>
      </c>
      <c r="M373" s="7">
        <v>2.7100271002706844E-3</v>
      </c>
      <c r="N373" s="7">
        <v>3.3875338753388551E-3</v>
      </c>
      <c r="O373" s="7">
        <v>7.4999999999989519E-3</v>
      </c>
      <c r="P373" s="7">
        <v>-6.9999999999998841E-2</v>
      </c>
      <c r="Q373" s="7">
        <v>-0.11500000000000055</v>
      </c>
      <c r="R373" s="7">
        <v>-0.89000000000000057</v>
      </c>
      <c r="S373" s="7">
        <v>-0.99749999999999939</v>
      </c>
      <c r="T373" s="7">
        <v>-1</v>
      </c>
    </row>
    <row r="374" spans="1:20" x14ac:dyDescent="0.25">
      <c r="A374" s="76">
        <v>3</v>
      </c>
      <c r="B374" s="76" t="s">
        <v>54</v>
      </c>
      <c r="C374" s="76">
        <v>2002</v>
      </c>
      <c r="D374" s="76" t="str">
        <f t="shared" si="30"/>
        <v>A02N</v>
      </c>
      <c r="E374" s="76" t="s">
        <v>107</v>
      </c>
      <c r="F374" s="77" t="s">
        <v>1214</v>
      </c>
      <c r="G374" s="78">
        <v>0.76655959078590841</v>
      </c>
      <c r="H374" s="79"/>
      <c r="I374" s="79"/>
      <c r="J374" s="3" t="str">
        <f t="shared" si="26"/>
        <v/>
      </c>
      <c r="K374" s="7">
        <v>-2.0325203252035129E-3</v>
      </c>
      <c r="L374" s="7">
        <v>-8.8075880758794467E-3</v>
      </c>
      <c r="M374" s="7">
        <v>-3.3875338753392992E-3</v>
      </c>
      <c r="N374" s="7">
        <v>-6.0975609756094284E-3</v>
      </c>
      <c r="O374" s="7">
        <v>-5.0000000000000044E-2</v>
      </c>
      <c r="P374" s="7">
        <v>-5.7499999999998885E-2</v>
      </c>
      <c r="Q374" s="7">
        <v>-0.31750000000000111</v>
      </c>
      <c r="R374" s="7">
        <v>-0.99499999999999889</v>
      </c>
      <c r="S374" s="7">
        <v>-0.99749999999999661</v>
      </c>
      <c r="T374" s="7">
        <v>-1</v>
      </c>
    </row>
    <row r="375" spans="1:20" x14ac:dyDescent="0.25">
      <c r="A375" s="76">
        <v>3</v>
      </c>
      <c r="B375" s="76" t="s">
        <v>54</v>
      </c>
      <c r="C375" s="76">
        <v>2002</v>
      </c>
      <c r="D375" s="76" t="str">
        <f t="shared" si="30"/>
        <v>A02N</v>
      </c>
      <c r="E375" s="76" t="s">
        <v>107</v>
      </c>
      <c r="F375" s="77" t="s">
        <v>1215</v>
      </c>
      <c r="G375" s="78">
        <v>0.26852946747967421</v>
      </c>
      <c r="H375" s="79"/>
      <c r="I375" s="79"/>
      <c r="J375" s="3" t="str">
        <f t="shared" si="26"/>
        <v/>
      </c>
      <c r="K375" s="7">
        <v>-5.2845528455284785E-2</v>
      </c>
      <c r="L375" s="7">
        <v>-8.536585365853655E-2</v>
      </c>
      <c r="M375" s="7">
        <v>-0.27371273712737099</v>
      </c>
      <c r="N375" s="7">
        <v>-0.56097560975609784</v>
      </c>
      <c r="O375" s="7">
        <v>-0.79750000000000232</v>
      </c>
      <c r="P375" s="7">
        <v>-0.82499999999999996</v>
      </c>
      <c r="Q375" s="7">
        <v>-0.9774999999999977</v>
      </c>
      <c r="R375" s="7">
        <v>-0.98500000000000232</v>
      </c>
      <c r="S375" s="7">
        <v>-1</v>
      </c>
      <c r="T375" s="7">
        <v>-1</v>
      </c>
    </row>
    <row r="376" spans="1:20" x14ac:dyDescent="0.25">
      <c r="A376" s="76">
        <v>3</v>
      </c>
      <c r="B376" s="76" t="s">
        <v>54</v>
      </c>
      <c r="C376" s="76">
        <v>2002</v>
      </c>
      <c r="D376" s="76" t="str">
        <f t="shared" si="30"/>
        <v>A02N</v>
      </c>
      <c r="E376" s="76" t="s">
        <v>107</v>
      </c>
      <c r="F376" s="77" t="s">
        <v>1216</v>
      </c>
      <c r="G376" s="78">
        <v>0.84964431727999057</v>
      </c>
      <c r="H376" s="79"/>
      <c r="I376" s="79"/>
      <c r="J376" s="3" t="str">
        <f t="shared" si="26"/>
        <v/>
      </c>
      <c r="K376" s="7">
        <v>1.6869095816464341E-2</v>
      </c>
      <c r="L376" s="7">
        <v>1.3513513513513598E-2</v>
      </c>
      <c r="M376" s="7">
        <v>7.4424898511500359E-3</v>
      </c>
      <c r="N376" s="7">
        <v>2.1002710027100635E-2</v>
      </c>
      <c r="O376" s="7">
        <v>-3.4999999999999476E-2</v>
      </c>
      <c r="P376" s="7">
        <v>4.9999999999983391E-3</v>
      </c>
      <c r="Q376" s="7">
        <v>-8.4999999999999409E-2</v>
      </c>
      <c r="R376" s="7">
        <v>-0.37750000000000061</v>
      </c>
      <c r="S376" s="7">
        <v>-0.99749999999999939</v>
      </c>
      <c r="T376" s="7">
        <v>-1</v>
      </c>
    </row>
    <row r="377" spans="1:20" x14ac:dyDescent="0.25">
      <c r="A377" s="76">
        <v>3</v>
      </c>
      <c r="B377" s="76" t="s">
        <v>54</v>
      </c>
      <c r="C377" s="76">
        <v>2002</v>
      </c>
      <c r="D377" s="76" t="str">
        <f t="shared" si="30"/>
        <v>A02N</v>
      </c>
      <c r="E377" s="76" t="s">
        <v>107</v>
      </c>
      <c r="F377" s="77" t="s">
        <v>1217</v>
      </c>
      <c r="G377" s="78">
        <v>0.74032149965731953</v>
      </c>
      <c r="H377" s="79"/>
      <c r="I377" s="79"/>
      <c r="J377" s="3" t="str">
        <f t="shared" si="26"/>
        <v/>
      </c>
      <c r="K377" s="7">
        <v>0</v>
      </c>
      <c r="L377" s="7">
        <v>1.8243243243243557E-2</v>
      </c>
      <c r="M377" s="7">
        <v>1.2855209742895335E-2</v>
      </c>
      <c r="N377" s="7">
        <v>6.7750677506777102E-3</v>
      </c>
      <c r="O377" s="7">
        <v>0</v>
      </c>
      <c r="P377" s="7">
        <v>-2.7499999999997748E-2</v>
      </c>
      <c r="Q377" s="7">
        <v>-0.99250000000000116</v>
      </c>
      <c r="R377" s="7">
        <v>-0.99499999999999889</v>
      </c>
      <c r="S377" s="7">
        <v>-0.99750000000000227</v>
      </c>
      <c r="T377" s="7">
        <v>-1</v>
      </c>
    </row>
    <row r="378" spans="1:20" x14ac:dyDescent="0.25">
      <c r="A378" s="76">
        <v>3</v>
      </c>
      <c r="B378" s="76" t="s">
        <v>54</v>
      </c>
      <c r="C378" s="76">
        <v>2002</v>
      </c>
      <c r="D378" s="76" t="str">
        <f t="shared" si="30"/>
        <v>A02N</v>
      </c>
      <c r="E378" s="76" t="s">
        <v>107</v>
      </c>
      <c r="F378" s="77" t="s">
        <v>1218</v>
      </c>
      <c r="G378" s="78">
        <v>0.79314941286367824</v>
      </c>
      <c r="H378" s="79"/>
      <c r="I378" s="79"/>
      <c r="J378" s="3" t="str">
        <f t="shared" si="26"/>
        <v/>
      </c>
      <c r="K378" s="7">
        <v>4.7233468286103086E-3</v>
      </c>
      <c r="L378" s="7">
        <v>4.0540540540539016E-3</v>
      </c>
      <c r="M378" s="7">
        <v>-2.0297699594042928E-3</v>
      </c>
      <c r="N378" s="7">
        <v>1.3550135501354532E-2</v>
      </c>
      <c r="O378" s="7">
        <v>-5.0000000000000044E-2</v>
      </c>
      <c r="P378" s="7">
        <v>-2.5000000000000022E-2</v>
      </c>
      <c r="Q378" s="7">
        <v>-0.125</v>
      </c>
      <c r="R378" s="7">
        <v>-0.97249999999999948</v>
      </c>
      <c r="S378" s="7">
        <v>-0.99749999999999939</v>
      </c>
      <c r="T378" s="7">
        <v>-1</v>
      </c>
    </row>
    <row r="379" spans="1:20" x14ac:dyDescent="0.25">
      <c r="A379" s="76">
        <v>3</v>
      </c>
      <c r="B379" s="76" t="s">
        <v>54</v>
      </c>
      <c r="C379" s="76">
        <v>2002</v>
      </c>
      <c r="D379" s="76" t="str">
        <f t="shared" si="30"/>
        <v>A02N</v>
      </c>
      <c r="E379" s="76" t="s">
        <v>107</v>
      </c>
      <c r="F379" s="77" t="s">
        <v>1219</v>
      </c>
      <c r="G379" s="78">
        <v>0.8764815245331653</v>
      </c>
      <c r="H379" s="79"/>
      <c r="I379" s="79"/>
      <c r="J379" s="3" t="str">
        <f t="shared" si="26"/>
        <v/>
      </c>
      <c r="K379" s="7">
        <v>-1.4844804318488891E-2</v>
      </c>
      <c r="L379" s="7">
        <v>-1.486486486486438E-2</v>
      </c>
      <c r="M379" s="7">
        <v>-1.1502029769959288E-2</v>
      </c>
      <c r="N379" s="7">
        <v>-1.0840108401083959E-2</v>
      </c>
      <c r="O379" s="7">
        <v>7.4999999999989519E-3</v>
      </c>
      <c r="P379" s="7">
        <v>1.4999999999997682E-2</v>
      </c>
      <c r="Q379" s="7">
        <v>-1.9999999999998908E-2</v>
      </c>
      <c r="R379" s="7">
        <v>-0.13000000000000111</v>
      </c>
      <c r="S379" s="7">
        <v>-0.99499999999999889</v>
      </c>
      <c r="T379" s="7">
        <v>-1</v>
      </c>
    </row>
    <row r="380" spans="1:20" x14ac:dyDescent="0.25">
      <c r="A380" s="76">
        <v>3</v>
      </c>
      <c r="B380" s="76" t="s">
        <v>54</v>
      </c>
      <c r="C380" s="76">
        <v>2002</v>
      </c>
      <c r="D380" s="76" t="str">
        <f t="shared" si="30"/>
        <v>A02N</v>
      </c>
      <c r="E380" s="76" t="s">
        <v>107</v>
      </c>
      <c r="F380" s="77" t="s">
        <v>1220</v>
      </c>
      <c r="G380" s="78">
        <v>0.86384924130934071</v>
      </c>
      <c r="H380" s="79"/>
      <c r="I380" s="79"/>
      <c r="J380" s="3" t="str">
        <f t="shared" si="26"/>
        <v/>
      </c>
      <c r="K380" s="7">
        <v>-6.7476383265856477E-3</v>
      </c>
      <c r="L380" s="7">
        <v>-4.7297297297296259E-3</v>
      </c>
      <c r="M380" s="7">
        <v>4.0595399188090298E-3</v>
      </c>
      <c r="N380" s="7">
        <v>-2.3712737127371097E-2</v>
      </c>
      <c r="O380" s="7">
        <v>0</v>
      </c>
      <c r="P380" s="7">
        <v>9.0000000000000524E-2</v>
      </c>
      <c r="Q380" s="7">
        <v>-9.0000000000000524E-2</v>
      </c>
      <c r="R380" s="7">
        <v>-0.46999999999999886</v>
      </c>
      <c r="S380" s="7">
        <v>-0.99750000000000227</v>
      </c>
      <c r="T380" s="7">
        <v>-1</v>
      </c>
    </row>
    <row r="381" spans="1:20" x14ac:dyDescent="0.25">
      <c r="A381" s="76">
        <v>3</v>
      </c>
      <c r="B381" s="76" t="s">
        <v>54</v>
      </c>
      <c r="C381" s="76">
        <v>2002</v>
      </c>
      <c r="D381" s="76" t="str">
        <f t="shared" si="30"/>
        <v>A02N</v>
      </c>
      <c r="E381" s="76" t="s">
        <v>107</v>
      </c>
      <c r="F381" s="77" t="s">
        <v>1221</v>
      </c>
      <c r="G381" s="78">
        <v>0.88085974195867389</v>
      </c>
      <c r="H381" s="79"/>
      <c r="I381" s="79"/>
      <c r="J381" s="3" t="str">
        <f t="shared" si="26"/>
        <v/>
      </c>
      <c r="K381" s="7">
        <v>-2.0242914979765603E-3</v>
      </c>
      <c r="L381" s="7">
        <v>1.0810810810811811E-2</v>
      </c>
      <c r="M381" s="7">
        <v>1.3531799729363581E-2</v>
      </c>
      <c r="N381" s="7">
        <v>4.0650406504068037E-3</v>
      </c>
      <c r="O381" s="7">
        <v>5.0000000000012257E-3</v>
      </c>
      <c r="P381" s="7">
        <v>9.9999999999966782E-3</v>
      </c>
      <c r="Q381" s="7">
        <v>-1.4999999999997682E-2</v>
      </c>
      <c r="R381" s="7">
        <v>-0.15500000000000114</v>
      </c>
      <c r="S381" s="7">
        <v>-0.96499999999999775</v>
      </c>
      <c r="T381" s="7">
        <v>-1</v>
      </c>
    </row>
    <row r="382" spans="1:20" x14ac:dyDescent="0.25">
      <c r="A382" s="76">
        <v>3</v>
      </c>
      <c r="B382" s="76" t="s">
        <v>54</v>
      </c>
      <c r="C382" s="76">
        <v>2002</v>
      </c>
      <c r="D382" s="76" t="str">
        <f t="shared" si="30"/>
        <v>A02N</v>
      </c>
      <c r="E382" s="76" t="s">
        <v>107</v>
      </c>
      <c r="F382" s="77" t="s">
        <v>1222</v>
      </c>
      <c r="G382" s="78">
        <v>0.78648927544482494</v>
      </c>
      <c r="H382" s="79"/>
      <c r="I382" s="79"/>
      <c r="J382" s="3" t="str">
        <f t="shared" si="26"/>
        <v/>
      </c>
      <c r="K382" s="7">
        <v>-1.4170040485829705E-2</v>
      </c>
      <c r="L382" s="7">
        <v>0</v>
      </c>
      <c r="M382" s="7">
        <v>1.3531799729362692E-3</v>
      </c>
      <c r="N382" s="7">
        <v>2.7100271002711285E-3</v>
      </c>
      <c r="O382" s="7">
        <v>-2.5000000000033884E-3</v>
      </c>
      <c r="P382" s="7">
        <v>-3.7499999999999978E-2</v>
      </c>
      <c r="Q382" s="7">
        <v>-0.2899999999999977</v>
      </c>
      <c r="R382" s="7">
        <v>-0.99499999999999889</v>
      </c>
      <c r="S382" s="7">
        <v>-0.99499999999999889</v>
      </c>
      <c r="T382" s="7">
        <v>-1</v>
      </c>
    </row>
    <row r="383" spans="1:20" x14ac:dyDescent="0.25">
      <c r="A383" s="76">
        <v>3</v>
      </c>
      <c r="B383" s="76" t="s">
        <v>54</v>
      </c>
      <c r="C383" s="76">
        <v>2002</v>
      </c>
      <c r="D383" s="76" t="str">
        <f t="shared" si="30"/>
        <v>A02N</v>
      </c>
      <c r="E383" s="76" t="s">
        <v>107</v>
      </c>
      <c r="F383" s="77" t="s">
        <v>1223</v>
      </c>
      <c r="G383" s="78">
        <v>0.89234119913190546</v>
      </c>
      <c r="H383" s="79"/>
      <c r="I383" s="79"/>
      <c r="J383" s="3" t="str">
        <f t="shared" si="26"/>
        <v/>
      </c>
      <c r="K383" s="7">
        <v>3.238866396761142E-2</v>
      </c>
      <c r="L383" s="7">
        <v>5.4054054054051281E-3</v>
      </c>
      <c r="M383" s="7">
        <v>1.8944519621110434E-2</v>
      </c>
      <c r="N383" s="7">
        <v>2.5067750677506995E-2</v>
      </c>
      <c r="O383" s="7">
        <v>3.5000000000000142E-2</v>
      </c>
      <c r="P383" s="7">
        <v>2.9999999999999805E-2</v>
      </c>
      <c r="Q383" s="7">
        <v>-4.9999999999996714E-3</v>
      </c>
      <c r="R383" s="7">
        <v>-0.18499999999999939</v>
      </c>
      <c r="S383" s="7">
        <v>-0.99750000000000083</v>
      </c>
      <c r="T383" s="7">
        <v>-1</v>
      </c>
    </row>
    <row r="384" spans="1:20" x14ac:dyDescent="0.25">
      <c r="A384" s="76">
        <v>3</v>
      </c>
      <c r="B384" s="76" t="s">
        <v>54</v>
      </c>
      <c r="C384" s="76">
        <v>2002</v>
      </c>
      <c r="D384" s="76" t="str">
        <f t="shared" ref="D384:D413" si="31">LEFT(F384,4)</f>
        <v>A02N</v>
      </c>
      <c r="E384" s="76" t="s">
        <v>107</v>
      </c>
      <c r="F384" s="77" t="s">
        <v>1233</v>
      </c>
      <c r="G384" s="78">
        <v>0.86164771061245438</v>
      </c>
      <c r="H384" s="79"/>
      <c r="I384" s="79"/>
      <c r="J384" s="3" t="str">
        <f t="shared" si="26"/>
        <v/>
      </c>
      <c r="K384" s="7">
        <v>2.2297297297297458E-2</v>
      </c>
      <c r="L384" s="7">
        <v>3.8617886178861749E-2</v>
      </c>
      <c r="M384" s="7">
        <v>1.4945652173913304E-2</v>
      </c>
      <c r="N384" s="7">
        <v>2.5135869565217739E-2</v>
      </c>
      <c r="O384" s="7">
        <v>2.7499999999997637E-2</v>
      </c>
      <c r="P384" s="7">
        <v>-2.5000000000006128E-3</v>
      </c>
      <c r="Q384" s="7">
        <v>-3.2499999999998863E-2</v>
      </c>
      <c r="R384" s="7">
        <v>-0.60250000000000059</v>
      </c>
      <c r="S384" s="7">
        <v>-0.88749999999999996</v>
      </c>
      <c r="T384" s="7">
        <v>-1</v>
      </c>
    </row>
    <row r="385" spans="1:20" x14ac:dyDescent="0.25">
      <c r="A385" s="76">
        <v>3</v>
      </c>
      <c r="B385" s="76" t="s">
        <v>54</v>
      </c>
      <c r="C385" s="76">
        <v>2002</v>
      </c>
      <c r="D385" s="76" t="str">
        <f t="shared" si="31"/>
        <v>A02N</v>
      </c>
      <c r="E385" s="76" t="s">
        <v>107</v>
      </c>
      <c r="F385" s="77" t="s">
        <v>1234</v>
      </c>
      <c r="G385" s="78">
        <v>0.83808780552948103</v>
      </c>
      <c r="H385" s="79"/>
      <c r="I385" s="79"/>
      <c r="J385" s="3" t="str">
        <f t="shared" si="26"/>
        <v/>
      </c>
      <c r="K385" s="7">
        <v>-8.1081081081076922E-3</v>
      </c>
      <c r="L385" s="7">
        <v>2.0325203252031798E-3</v>
      </c>
      <c r="M385" s="7">
        <v>9.5108695652175168E-3</v>
      </c>
      <c r="N385" s="7">
        <v>8.8315217391305989E-3</v>
      </c>
      <c r="O385" s="7">
        <v>1.4999999999997682E-2</v>
      </c>
      <c r="P385" s="7">
        <v>-3.2500000000004525E-2</v>
      </c>
      <c r="Q385" s="7">
        <v>-0.13999999999999768</v>
      </c>
      <c r="R385" s="7">
        <v>-0.74250000000000116</v>
      </c>
      <c r="S385" s="7">
        <v>-0.75999999999999657</v>
      </c>
      <c r="T385" s="7">
        <v>-1</v>
      </c>
    </row>
    <row r="386" spans="1:20" x14ac:dyDescent="0.25">
      <c r="A386" s="76">
        <v>3</v>
      </c>
      <c r="B386" s="76" t="s">
        <v>54</v>
      </c>
      <c r="C386" s="76">
        <v>2002</v>
      </c>
      <c r="D386" s="76" t="str">
        <f t="shared" si="31"/>
        <v>A02N</v>
      </c>
      <c r="E386" s="76" t="s">
        <v>107</v>
      </c>
      <c r="F386" s="77" t="s">
        <v>1235</v>
      </c>
      <c r="G386" s="78">
        <v>0.84164589657254041</v>
      </c>
      <c r="H386" s="79"/>
      <c r="I386" s="79"/>
      <c r="J386" s="3" t="str">
        <f t="shared" si="26"/>
        <v/>
      </c>
      <c r="K386" s="7">
        <v>-2.4324324324323743E-2</v>
      </c>
      <c r="L386" s="7">
        <v>-6.0975609756105387E-3</v>
      </c>
      <c r="M386" s="7">
        <v>-5.4347826086955653E-3</v>
      </c>
      <c r="N386" s="7">
        <v>-3.3967391304348116E-3</v>
      </c>
      <c r="O386" s="7">
        <v>7.5000000000002842E-3</v>
      </c>
      <c r="P386" s="7">
        <v>-1.4999999999999125E-2</v>
      </c>
      <c r="Q386" s="7">
        <v>-2.7500000000000524E-2</v>
      </c>
      <c r="R386" s="7">
        <v>-0.55500000000000116</v>
      </c>
      <c r="S386" s="7">
        <v>-0.99499999999999889</v>
      </c>
      <c r="T386" s="7">
        <v>-1</v>
      </c>
    </row>
    <row r="387" spans="1:20" x14ac:dyDescent="0.25">
      <c r="A387" s="76">
        <v>3</v>
      </c>
      <c r="B387" s="76" t="s">
        <v>54</v>
      </c>
      <c r="C387" s="76">
        <v>2002</v>
      </c>
      <c r="D387" s="76" t="str">
        <f t="shared" si="31"/>
        <v>A02N</v>
      </c>
      <c r="E387" s="76" t="s">
        <v>107</v>
      </c>
      <c r="F387" s="77" t="s">
        <v>1236</v>
      </c>
      <c r="G387" s="78">
        <v>0.84143966683166438</v>
      </c>
      <c r="H387" s="79"/>
      <c r="I387" s="79"/>
      <c r="J387" s="3" t="str">
        <f t="shared" si="26"/>
        <v/>
      </c>
      <c r="K387" s="7">
        <v>3.1081081081080431E-2</v>
      </c>
      <c r="L387" s="7">
        <v>3.5907859078591509E-2</v>
      </c>
      <c r="M387" s="7">
        <v>3.6684782608695565E-2</v>
      </c>
      <c r="N387" s="7">
        <v>3.3288043478260976E-2</v>
      </c>
      <c r="O387" s="7">
        <v>3.9999999999999813E-2</v>
      </c>
      <c r="P387" s="7">
        <v>2.4999999999990585E-3</v>
      </c>
      <c r="Q387" s="7">
        <v>-0.12999999999999967</v>
      </c>
      <c r="R387" s="7">
        <v>-0.8</v>
      </c>
      <c r="S387" s="7">
        <v>-0.97750000000000059</v>
      </c>
      <c r="T387" s="7">
        <v>-1</v>
      </c>
    </row>
    <row r="388" spans="1:20" x14ac:dyDescent="0.25">
      <c r="A388" s="76">
        <v>3</v>
      </c>
      <c r="B388" s="76" t="s">
        <v>54</v>
      </c>
      <c r="C388" s="76">
        <v>2002</v>
      </c>
      <c r="D388" s="76" t="str">
        <f t="shared" si="31"/>
        <v>A02N</v>
      </c>
      <c r="E388" s="76" t="s">
        <v>107</v>
      </c>
      <c r="F388" s="77" t="s">
        <v>1237</v>
      </c>
      <c r="G388" s="78">
        <v>9.5266891891891969E-3</v>
      </c>
      <c r="H388" s="79"/>
      <c r="I388" s="79"/>
      <c r="J388" s="3" t="str">
        <f t="shared" si="26"/>
        <v/>
      </c>
      <c r="K388" s="7">
        <v>-0.44932432432432434</v>
      </c>
      <c r="L388" s="7">
        <v>-1</v>
      </c>
      <c r="M388" s="7">
        <v>-1</v>
      </c>
      <c r="N388" s="7">
        <v>-1</v>
      </c>
      <c r="O388" s="7">
        <v>-1</v>
      </c>
      <c r="P388" s="7">
        <v>-1</v>
      </c>
      <c r="Q388" s="7">
        <v>-1</v>
      </c>
      <c r="R388" s="7">
        <v>-1</v>
      </c>
      <c r="S388" s="7">
        <v>-1</v>
      </c>
      <c r="T388" s="7">
        <v>-1</v>
      </c>
    </row>
    <row r="389" spans="1:20" x14ac:dyDescent="0.25">
      <c r="A389" s="76">
        <v>3</v>
      </c>
      <c r="B389" s="76" t="s">
        <v>54</v>
      </c>
      <c r="C389" s="76">
        <v>2002</v>
      </c>
      <c r="D389" s="76" t="str">
        <f t="shared" si="31"/>
        <v>A02N</v>
      </c>
      <c r="E389" s="76" t="s">
        <v>107</v>
      </c>
      <c r="F389" s="77" t="s">
        <v>1238</v>
      </c>
      <c r="G389" s="78">
        <v>0</v>
      </c>
      <c r="H389" s="79"/>
      <c r="I389" s="79"/>
      <c r="J389" s="3" t="str">
        <f t="shared" ref="J389:J452" si="32">IF(YEAR(I389)-YEAR(H389)=0,"",YEAR(I389)-YEAR(H389))</f>
        <v/>
      </c>
      <c r="K389" s="7">
        <v>-1</v>
      </c>
      <c r="L389" s="7">
        <v>-1</v>
      </c>
      <c r="M389" s="7">
        <v>-1</v>
      </c>
      <c r="N389" s="7">
        <v>-1</v>
      </c>
      <c r="O389" s="7">
        <v>-1</v>
      </c>
      <c r="P389" s="7">
        <v>-1</v>
      </c>
      <c r="Q389" s="7">
        <v>-1</v>
      </c>
      <c r="R389" s="7">
        <v>-1</v>
      </c>
      <c r="S389" s="7">
        <v>-1</v>
      </c>
      <c r="T389" s="7">
        <v>-1</v>
      </c>
    </row>
    <row r="390" spans="1:20" x14ac:dyDescent="0.25">
      <c r="A390" s="76">
        <v>3</v>
      </c>
      <c r="B390" s="76" t="s">
        <v>54</v>
      </c>
      <c r="C390" s="76">
        <v>2002</v>
      </c>
      <c r="D390" s="76" t="str">
        <f t="shared" si="31"/>
        <v>A02N</v>
      </c>
      <c r="E390" s="76" t="s">
        <v>107</v>
      </c>
      <c r="F390" s="77" t="s">
        <v>1239</v>
      </c>
      <c r="G390" s="78">
        <v>0.84099122721833641</v>
      </c>
      <c r="H390" s="79"/>
      <c r="I390" s="79"/>
      <c r="J390" s="3" t="str">
        <f t="shared" si="32"/>
        <v/>
      </c>
      <c r="K390" s="7">
        <v>1.1486486486486758E-2</v>
      </c>
      <c r="L390" s="7">
        <v>1.8292682926829062E-2</v>
      </c>
      <c r="M390" s="7">
        <v>3.8722826086956541E-2</v>
      </c>
      <c r="N390" s="7">
        <v>7.4728260869569851E-3</v>
      </c>
      <c r="O390" s="7">
        <v>1.7499999999998295E-2</v>
      </c>
      <c r="P390" s="7">
        <v>7.7499999999997682E-2</v>
      </c>
      <c r="Q390" s="7">
        <v>-0.1024999999999977</v>
      </c>
      <c r="R390" s="7">
        <v>-0.93000000000000116</v>
      </c>
      <c r="S390" s="7">
        <v>-0.99499999999999889</v>
      </c>
      <c r="T390" s="7">
        <v>-1</v>
      </c>
    </row>
    <row r="391" spans="1:20" x14ac:dyDescent="0.25">
      <c r="A391" s="76">
        <v>3</v>
      </c>
      <c r="B391" s="76" t="s">
        <v>54</v>
      </c>
      <c r="C391" s="76">
        <v>2002</v>
      </c>
      <c r="D391" s="76" t="str">
        <f t="shared" si="31"/>
        <v>A02N</v>
      </c>
      <c r="E391" s="76" t="s">
        <v>107</v>
      </c>
      <c r="F391" s="77" t="s">
        <v>1240</v>
      </c>
      <c r="G391" s="78">
        <v>0.84042799417173097</v>
      </c>
      <c r="H391" s="79"/>
      <c r="I391" s="79"/>
      <c r="J391" s="3" t="str">
        <f t="shared" si="32"/>
        <v/>
      </c>
      <c r="K391" s="7">
        <v>-1.1486486486486758E-2</v>
      </c>
      <c r="L391" s="7">
        <v>-8.1300813008123862E-3</v>
      </c>
      <c r="M391" s="7">
        <v>-1.0190217391305545E-2</v>
      </c>
      <c r="N391" s="7">
        <v>4.4408920985006262E-16</v>
      </c>
      <c r="O391" s="7">
        <v>5.0000000000034461E-3</v>
      </c>
      <c r="P391" s="7">
        <v>-1.9999999999999907E-2</v>
      </c>
      <c r="Q391" s="7">
        <v>-8.7499999999999689E-2</v>
      </c>
      <c r="R391" s="7">
        <v>-0.69750000000000012</v>
      </c>
      <c r="S391" s="7">
        <v>-0.78749999999999998</v>
      </c>
      <c r="T391" s="7">
        <v>-1</v>
      </c>
    </row>
    <row r="392" spans="1:20" x14ac:dyDescent="0.25">
      <c r="A392" s="76">
        <v>3</v>
      </c>
      <c r="B392" s="76" t="s">
        <v>54</v>
      </c>
      <c r="C392" s="76">
        <v>2002</v>
      </c>
      <c r="D392" s="76" t="str">
        <f t="shared" si="31"/>
        <v>A02N</v>
      </c>
      <c r="E392" s="76" t="s">
        <v>107</v>
      </c>
      <c r="F392" s="77" t="s">
        <v>1241</v>
      </c>
      <c r="G392" s="78">
        <v>2.1944028052442666E-2</v>
      </c>
      <c r="H392" s="79"/>
      <c r="I392" s="79"/>
      <c r="J392" s="3" t="str">
        <f t="shared" si="32"/>
        <v/>
      </c>
      <c r="K392" s="7">
        <v>-0.19054054054054048</v>
      </c>
      <c r="L392" s="7">
        <v>-0.86449864498644979</v>
      </c>
      <c r="M392" s="7">
        <v>-1</v>
      </c>
      <c r="N392" s="7">
        <v>-1</v>
      </c>
      <c r="O392" s="7">
        <v>-1</v>
      </c>
      <c r="P392" s="7">
        <v>-1</v>
      </c>
      <c r="Q392" s="7">
        <v>-1</v>
      </c>
      <c r="R392" s="7">
        <v>-1</v>
      </c>
      <c r="S392" s="7">
        <v>-1</v>
      </c>
      <c r="T392" s="7">
        <v>-1</v>
      </c>
    </row>
    <row r="393" spans="1:20" x14ac:dyDescent="0.25">
      <c r="A393" s="76">
        <v>3</v>
      </c>
      <c r="B393" s="76" t="s">
        <v>54</v>
      </c>
      <c r="C393" s="76">
        <v>2002</v>
      </c>
      <c r="D393" s="76" t="str">
        <f t="shared" si="31"/>
        <v>A02N</v>
      </c>
      <c r="E393" s="76" t="s">
        <v>107</v>
      </c>
      <c r="F393" s="77" t="s">
        <v>1242</v>
      </c>
      <c r="G393" s="78">
        <v>0.87446023324623701</v>
      </c>
      <c r="H393" s="79"/>
      <c r="I393" s="79"/>
      <c r="J393" s="3" t="str">
        <f t="shared" si="32"/>
        <v/>
      </c>
      <c r="K393" s="7">
        <v>1.9594594594594561E-2</v>
      </c>
      <c r="L393" s="7">
        <v>-2.7100271002710175E-3</v>
      </c>
      <c r="M393" s="7">
        <v>2.4456521739130155E-2</v>
      </c>
      <c r="N393" s="7">
        <v>2.7173913043481157E-3</v>
      </c>
      <c r="O393" s="7">
        <v>2.0000000000001794E-2</v>
      </c>
      <c r="P393" s="7">
        <v>-2.5000000000006128E-3</v>
      </c>
      <c r="Q393" s="7">
        <v>-5.2500000000000546E-2</v>
      </c>
      <c r="R393" s="7">
        <v>-0.59000000000000052</v>
      </c>
      <c r="S393" s="7">
        <v>-0.60499999999999832</v>
      </c>
      <c r="T393" s="7">
        <v>-1</v>
      </c>
    </row>
    <row r="394" spans="1:20" x14ac:dyDescent="0.25">
      <c r="A394" s="76">
        <v>3</v>
      </c>
      <c r="B394" s="76" t="s">
        <v>54</v>
      </c>
      <c r="C394" s="76">
        <v>2002</v>
      </c>
      <c r="D394" s="76" t="str">
        <f t="shared" si="31"/>
        <v>A02N</v>
      </c>
      <c r="E394" s="76" t="s">
        <v>107</v>
      </c>
      <c r="F394" s="77" t="s">
        <v>1253</v>
      </c>
      <c r="G394" s="78">
        <v>0.7315616587516961</v>
      </c>
      <c r="H394" s="79"/>
      <c r="I394" s="79"/>
      <c r="J394" s="3" t="str">
        <f t="shared" si="32"/>
        <v/>
      </c>
      <c r="K394" s="7">
        <v>-2.7137042062413963E-3</v>
      </c>
      <c r="L394" s="7">
        <v>1.2211668928087338E-2</v>
      </c>
      <c r="M394" s="7">
        <v>1.1533242876526018E-2</v>
      </c>
      <c r="N394" s="7">
        <v>2.035278154681075E-3</v>
      </c>
      <c r="O394" s="7">
        <v>3.7500000000000089E-2</v>
      </c>
      <c r="P394" s="7">
        <v>-0.11499999999999988</v>
      </c>
      <c r="Q394" s="7">
        <v>-0.94499999999999962</v>
      </c>
      <c r="R394" s="7">
        <v>-0.99250000000000038</v>
      </c>
      <c r="S394" s="7">
        <v>-0.99750000000000016</v>
      </c>
      <c r="T394" s="7">
        <v>-1</v>
      </c>
    </row>
    <row r="395" spans="1:20" x14ac:dyDescent="0.25">
      <c r="A395" s="76">
        <v>3</v>
      </c>
      <c r="B395" s="76" t="s">
        <v>54</v>
      </c>
      <c r="C395" s="76">
        <v>2002</v>
      </c>
      <c r="D395" s="76" t="str">
        <f t="shared" si="31"/>
        <v>A02N</v>
      </c>
      <c r="E395" s="76" t="s">
        <v>107</v>
      </c>
      <c r="F395" s="77" t="s">
        <v>1254</v>
      </c>
      <c r="G395" s="78">
        <v>0.74377330088195359</v>
      </c>
      <c r="H395" s="79"/>
      <c r="I395" s="79"/>
      <c r="J395" s="3" t="str">
        <f t="shared" si="32"/>
        <v/>
      </c>
      <c r="K395" s="7">
        <v>4.7489823609221382E-3</v>
      </c>
      <c r="L395" s="7">
        <v>1.0854816824966251E-2</v>
      </c>
      <c r="M395" s="7">
        <v>8.1411126187249661E-3</v>
      </c>
      <c r="N395" s="7">
        <v>-6.105834464043447E-3</v>
      </c>
      <c r="O395" s="7">
        <v>-1.0000000000000897E-2</v>
      </c>
      <c r="P395" s="7">
        <v>-7.0000000000000284E-2</v>
      </c>
      <c r="Q395" s="7">
        <v>-0.74749999999999939</v>
      </c>
      <c r="R395" s="7">
        <v>-0.99499999999999889</v>
      </c>
      <c r="S395" s="7">
        <v>-0.99750000000000227</v>
      </c>
      <c r="T395" s="7">
        <v>-1</v>
      </c>
    </row>
    <row r="396" spans="1:20" x14ac:dyDescent="0.25">
      <c r="A396" s="76">
        <v>3</v>
      </c>
      <c r="B396" s="76" t="s">
        <v>54</v>
      </c>
      <c r="C396" s="76">
        <v>2002</v>
      </c>
      <c r="D396" s="76" t="str">
        <f t="shared" si="31"/>
        <v>A02N</v>
      </c>
      <c r="E396" s="76" t="s">
        <v>107</v>
      </c>
      <c r="F396" s="77" t="s">
        <v>1255</v>
      </c>
      <c r="G396" s="78">
        <v>0.78170377442333749</v>
      </c>
      <c r="H396" s="79"/>
      <c r="I396" s="79"/>
      <c r="J396" s="3" t="str">
        <f t="shared" si="32"/>
        <v/>
      </c>
      <c r="K396" s="7">
        <v>1.1533242876526684E-2</v>
      </c>
      <c r="L396" s="7">
        <v>1.5603799185889278E-2</v>
      </c>
      <c r="M396" s="7">
        <v>1.2211668928087338E-2</v>
      </c>
      <c r="N396" s="7">
        <v>1.0854816824966029E-2</v>
      </c>
      <c r="O396" s="7">
        <v>2.4999999999977263E-3</v>
      </c>
      <c r="P396" s="7">
        <v>-5.0000000000000044E-2</v>
      </c>
      <c r="Q396" s="7">
        <v>-0.37250000000000227</v>
      </c>
      <c r="R396" s="7">
        <v>-0.99499999999999889</v>
      </c>
      <c r="S396" s="7">
        <v>-0.99749999999999661</v>
      </c>
      <c r="T396" s="7">
        <v>-1</v>
      </c>
    </row>
    <row r="397" spans="1:20" x14ac:dyDescent="0.25">
      <c r="A397" s="76">
        <v>3</v>
      </c>
      <c r="B397" s="76" t="s">
        <v>54</v>
      </c>
      <c r="C397" s="76">
        <v>2002</v>
      </c>
      <c r="D397" s="76" t="str">
        <f t="shared" si="31"/>
        <v>A02N</v>
      </c>
      <c r="E397" s="76" t="s">
        <v>107</v>
      </c>
      <c r="F397" s="77" t="s">
        <v>1256</v>
      </c>
      <c r="G397" s="78">
        <v>0.85911971268656717</v>
      </c>
      <c r="H397" s="79"/>
      <c r="I397" s="79"/>
      <c r="J397" s="3" t="str">
        <f t="shared" si="32"/>
        <v/>
      </c>
      <c r="K397" s="7">
        <v>1.8995929443690995E-2</v>
      </c>
      <c r="L397" s="7">
        <v>2.0352781546812082E-2</v>
      </c>
      <c r="M397" s="7">
        <v>1.5603799185889278E-2</v>
      </c>
      <c r="N397" s="7">
        <v>1.0176390773404709E-2</v>
      </c>
      <c r="O397" s="7">
        <v>1.9999999999998908E-2</v>
      </c>
      <c r="P397" s="7">
        <v>1.2499999999999956E-2</v>
      </c>
      <c r="Q397" s="7">
        <v>1.2499999999999956E-2</v>
      </c>
      <c r="R397" s="7">
        <v>-0.56499999999999773</v>
      </c>
      <c r="S397" s="7">
        <v>-0.98999999999999777</v>
      </c>
      <c r="T397" s="7">
        <v>-1</v>
      </c>
    </row>
    <row r="398" spans="1:20" x14ac:dyDescent="0.25">
      <c r="A398" s="76">
        <v>3</v>
      </c>
      <c r="B398" s="76" t="s">
        <v>54</v>
      </c>
      <c r="C398" s="76">
        <v>2002</v>
      </c>
      <c r="D398" s="76" t="str">
        <f t="shared" si="31"/>
        <v>A02N</v>
      </c>
      <c r="E398" s="76" t="s">
        <v>107</v>
      </c>
      <c r="F398" s="77" t="s">
        <v>1257</v>
      </c>
      <c r="G398" s="78">
        <v>0.79453895997286317</v>
      </c>
      <c r="H398" s="79"/>
      <c r="I398" s="79"/>
      <c r="J398" s="3" t="str">
        <f t="shared" si="32"/>
        <v/>
      </c>
      <c r="K398" s="7">
        <v>6.7842605156043234E-4</v>
      </c>
      <c r="L398" s="7">
        <v>2.7137042062417294E-3</v>
      </c>
      <c r="M398" s="7">
        <v>1.3568521031210867E-3</v>
      </c>
      <c r="N398" s="7">
        <v>-3.3921302578020507E-3</v>
      </c>
      <c r="O398" s="7">
        <v>2.5000000000006128E-3</v>
      </c>
      <c r="P398" s="7">
        <v>-3.4999999999999476E-2</v>
      </c>
      <c r="Q398" s="7">
        <v>-0.19999999999999996</v>
      </c>
      <c r="R398" s="7">
        <v>-0.99500000000000166</v>
      </c>
      <c r="S398" s="7">
        <v>-0.99499999999999889</v>
      </c>
      <c r="T398" s="7">
        <v>-1</v>
      </c>
    </row>
    <row r="399" spans="1:20" x14ac:dyDescent="0.25">
      <c r="A399" s="76">
        <v>3</v>
      </c>
      <c r="B399" s="76" t="s">
        <v>54</v>
      </c>
      <c r="C399" s="76">
        <v>2002</v>
      </c>
      <c r="D399" s="76" t="str">
        <f t="shared" si="31"/>
        <v>A02N</v>
      </c>
      <c r="E399" s="76" t="s">
        <v>107</v>
      </c>
      <c r="F399" s="77" t="s">
        <v>1258</v>
      </c>
      <c r="G399" s="78">
        <v>0.6681369606512888</v>
      </c>
      <c r="H399" s="79"/>
      <c r="I399" s="79"/>
      <c r="J399" s="3" t="str">
        <f t="shared" si="32"/>
        <v/>
      </c>
      <c r="K399" s="7">
        <v>1.0854816824966251E-2</v>
      </c>
      <c r="L399" s="7">
        <v>1.6282225237449044E-2</v>
      </c>
      <c r="M399" s="7">
        <v>2.7815468113975728E-2</v>
      </c>
      <c r="N399" s="7">
        <v>2.0352781546812082E-2</v>
      </c>
      <c r="O399" s="7">
        <v>-3.0000000000001137E-2</v>
      </c>
      <c r="P399" s="7">
        <v>-0.31750000000000111</v>
      </c>
      <c r="Q399" s="7">
        <v>-0.99499999999999889</v>
      </c>
      <c r="R399" s="7">
        <v>-0.99749999999999661</v>
      </c>
      <c r="S399" s="7">
        <v>-1</v>
      </c>
      <c r="T399" s="7">
        <v>-1</v>
      </c>
    </row>
    <row r="400" spans="1:20" x14ac:dyDescent="0.25">
      <c r="A400" s="76">
        <v>3</v>
      </c>
      <c r="B400" s="76" t="s">
        <v>54</v>
      </c>
      <c r="C400" s="76">
        <v>2002</v>
      </c>
      <c r="D400" s="76" t="str">
        <f t="shared" si="31"/>
        <v>A02N</v>
      </c>
      <c r="E400" s="76" t="s">
        <v>107</v>
      </c>
      <c r="F400" s="77" t="s">
        <v>1259</v>
      </c>
      <c r="G400" s="78">
        <v>0.82710301492537319</v>
      </c>
      <c r="H400" s="79"/>
      <c r="I400" s="79"/>
      <c r="J400" s="3" t="str">
        <f t="shared" si="32"/>
        <v/>
      </c>
      <c r="K400" s="7">
        <v>3.3921302578026058E-3</v>
      </c>
      <c r="L400" s="7">
        <v>8.1411126187240779E-3</v>
      </c>
      <c r="M400" s="7">
        <v>2.1031207598371848E-2</v>
      </c>
      <c r="N400" s="7">
        <v>3.9348710990502411E-2</v>
      </c>
      <c r="O400" s="7">
        <v>3.7500000000000089E-2</v>
      </c>
      <c r="P400" s="7">
        <v>1.7500000000000071E-2</v>
      </c>
      <c r="Q400" s="7">
        <v>-0.12999999999999967</v>
      </c>
      <c r="R400" s="7">
        <v>-0.99500000000000033</v>
      </c>
      <c r="S400" s="7">
        <v>-0.99750000000000016</v>
      </c>
      <c r="T400" s="7">
        <v>-1</v>
      </c>
    </row>
    <row r="401" spans="1:23" x14ac:dyDescent="0.25">
      <c r="A401" s="76">
        <v>3</v>
      </c>
      <c r="B401" s="76" t="s">
        <v>54</v>
      </c>
      <c r="C401" s="76">
        <v>2002</v>
      </c>
      <c r="D401" s="76" t="str">
        <f t="shared" si="31"/>
        <v>A02N</v>
      </c>
      <c r="E401" s="76" t="s">
        <v>107</v>
      </c>
      <c r="F401" s="77" t="s">
        <v>1260</v>
      </c>
      <c r="G401" s="78">
        <v>0.75955988534599772</v>
      </c>
      <c r="H401" s="79"/>
      <c r="I401" s="79"/>
      <c r="J401" s="3" t="str">
        <f t="shared" si="32"/>
        <v/>
      </c>
      <c r="K401" s="7">
        <v>-1.424694708276808E-2</v>
      </c>
      <c r="L401" s="7">
        <v>-8.1411126187240779E-3</v>
      </c>
      <c r="M401" s="7">
        <v>-8.8195386702853984E-3</v>
      </c>
      <c r="N401" s="7">
        <v>-1.153324287652624E-2</v>
      </c>
      <c r="O401" s="7">
        <v>-1.2499999999999956E-2</v>
      </c>
      <c r="P401" s="7">
        <v>-7.7499999999997682E-2</v>
      </c>
      <c r="Q401" s="7">
        <v>-0.45500000000000118</v>
      </c>
      <c r="R401" s="7">
        <v>-0.99499999999999889</v>
      </c>
      <c r="S401" s="7">
        <v>-0.99750000000000227</v>
      </c>
      <c r="T401" s="7">
        <v>-1</v>
      </c>
    </row>
    <row r="402" spans="1:23" x14ac:dyDescent="0.25">
      <c r="A402" s="76">
        <v>3</v>
      </c>
      <c r="B402" s="76" t="s">
        <v>54</v>
      </c>
      <c r="C402" s="76">
        <v>2002</v>
      </c>
      <c r="D402" s="76" t="str">
        <f t="shared" si="31"/>
        <v>A02N</v>
      </c>
      <c r="E402" s="76" t="s">
        <v>107</v>
      </c>
      <c r="F402" s="77" t="s">
        <v>1261</v>
      </c>
      <c r="G402" s="78">
        <v>0.86984294911804616</v>
      </c>
      <c r="H402" s="79"/>
      <c r="I402" s="79"/>
      <c r="J402" s="3" t="str">
        <f t="shared" si="32"/>
        <v/>
      </c>
      <c r="K402" s="7">
        <v>-7.7715611723760958E-16</v>
      </c>
      <c r="L402" s="7">
        <v>4.070556309362372E-3</v>
      </c>
      <c r="M402" s="7">
        <v>1.3568521031217529E-3</v>
      </c>
      <c r="N402" s="7">
        <v>0</v>
      </c>
      <c r="O402" s="7">
        <v>9.9999999999993427E-3</v>
      </c>
      <c r="P402" s="7">
        <v>2.5000000000006128E-3</v>
      </c>
      <c r="Q402" s="7">
        <v>-4.249999999999976E-2</v>
      </c>
      <c r="R402" s="7">
        <v>-0.22250000000000081</v>
      </c>
      <c r="S402" s="7">
        <v>-0.99500000000000033</v>
      </c>
      <c r="T402" s="7">
        <v>-1</v>
      </c>
    </row>
    <row r="403" spans="1:23" x14ac:dyDescent="0.25">
      <c r="A403" s="76">
        <v>3</v>
      </c>
      <c r="B403" s="76" t="s">
        <v>54</v>
      </c>
      <c r="C403" s="76">
        <v>2002</v>
      </c>
      <c r="D403" s="76" t="str">
        <f t="shared" si="31"/>
        <v>A02N</v>
      </c>
      <c r="E403" s="76" t="s">
        <v>107</v>
      </c>
      <c r="F403" s="77" t="s">
        <v>1262</v>
      </c>
      <c r="G403" s="78">
        <v>0.78978102170963371</v>
      </c>
      <c r="H403" s="79"/>
      <c r="I403" s="79"/>
      <c r="J403" s="3" t="str">
        <f t="shared" si="32"/>
        <v/>
      </c>
      <c r="K403" s="7">
        <v>-1.1533242876524463E-2</v>
      </c>
      <c r="L403" s="7">
        <v>-1.0176390773405708E-2</v>
      </c>
      <c r="M403" s="7">
        <v>-1.2211668928086561E-2</v>
      </c>
      <c r="N403" s="7">
        <v>-1.0854816824966029E-2</v>
      </c>
      <c r="O403" s="7">
        <v>0</v>
      </c>
      <c r="P403" s="7">
        <v>-3.4999999999999476E-2</v>
      </c>
      <c r="Q403" s="7">
        <v>-0.21750000000000114</v>
      </c>
      <c r="R403" s="7">
        <v>-0.99250000000000116</v>
      </c>
      <c r="S403" s="7">
        <v>-0.99749999999999939</v>
      </c>
      <c r="T403" s="7">
        <v>-1</v>
      </c>
    </row>
    <row r="404" spans="1:23" x14ac:dyDescent="0.25">
      <c r="A404" s="76">
        <v>3</v>
      </c>
      <c r="B404" s="76" t="s">
        <v>54</v>
      </c>
      <c r="C404" s="76">
        <v>2002</v>
      </c>
      <c r="D404" s="76" t="str">
        <f t="shared" si="31"/>
        <v>A02N</v>
      </c>
      <c r="E404" s="76" t="s">
        <v>107</v>
      </c>
      <c r="F404" s="77" t="s">
        <v>1263</v>
      </c>
      <c r="G404" s="78">
        <v>0.90303427353811094</v>
      </c>
      <c r="H404" s="79"/>
      <c r="I404" s="79"/>
      <c r="J404" s="3" t="str">
        <f t="shared" si="32"/>
        <v/>
      </c>
      <c r="K404" s="7">
        <v>-1.9933554817275767E-2</v>
      </c>
      <c r="L404" s="7">
        <v>-8.6898395721928257E-3</v>
      </c>
      <c r="M404" s="7">
        <v>-1.3368983957228187E-3</v>
      </c>
      <c r="N404" s="7">
        <v>-4.0133779264207581E-3</v>
      </c>
      <c r="O404" s="7">
        <v>1.2499999999999956E-2</v>
      </c>
      <c r="P404" s="7">
        <v>3.0000000000001137E-2</v>
      </c>
      <c r="Q404" s="7">
        <v>5.5000000000001048E-2</v>
      </c>
      <c r="R404" s="7">
        <v>7.9999999999995408E-2</v>
      </c>
      <c r="S404" s="7">
        <v>-0.9924999999999955</v>
      </c>
      <c r="T404" s="7">
        <v>-1</v>
      </c>
    </row>
    <row r="405" spans="1:23" x14ac:dyDescent="0.25">
      <c r="A405" s="76">
        <v>3</v>
      </c>
      <c r="B405" s="76" t="s">
        <v>54</v>
      </c>
      <c r="C405" s="76">
        <v>2002</v>
      </c>
      <c r="D405" s="76" t="str">
        <f t="shared" si="31"/>
        <v>A02N</v>
      </c>
      <c r="E405" s="76" t="s">
        <v>107</v>
      </c>
      <c r="F405" s="77" t="s">
        <v>1264</v>
      </c>
      <c r="G405" s="78">
        <v>0.92747724328174386</v>
      </c>
      <c r="H405" s="79"/>
      <c r="I405" s="79"/>
      <c r="J405" s="3" t="str">
        <f t="shared" si="32"/>
        <v/>
      </c>
      <c r="K405" s="7">
        <v>-6.6445182724252927E-3</v>
      </c>
      <c r="L405" s="7">
        <v>-2.0053475935831733E-3</v>
      </c>
      <c r="M405" s="7">
        <v>1.4705882352942456E-2</v>
      </c>
      <c r="N405" s="7">
        <v>1.270903010033364E-2</v>
      </c>
      <c r="O405" s="7">
        <v>4.0000000000003366E-2</v>
      </c>
      <c r="P405" s="7">
        <v>6.4999999999997726E-2</v>
      </c>
      <c r="Q405" s="7">
        <v>0.10750000000000104</v>
      </c>
      <c r="R405" s="7">
        <v>0.11250000000000004</v>
      </c>
      <c r="S405" s="7">
        <v>-0.99499999999999988</v>
      </c>
      <c r="T405" s="7">
        <v>-1</v>
      </c>
    </row>
    <row r="406" spans="1:23" x14ac:dyDescent="0.25">
      <c r="A406" s="76">
        <v>3</v>
      </c>
      <c r="B406" s="76" t="s">
        <v>54</v>
      </c>
      <c r="C406" s="76">
        <v>2002</v>
      </c>
      <c r="D406" s="76" t="str">
        <f t="shared" si="31"/>
        <v>A02N</v>
      </c>
      <c r="E406" s="76" t="s">
        <v>107</v>
      </c>
      <c r="F406" s="77" t="s">
        <v>1265</v>
      </c>
      <c r="G406" s="78">
        <v>0.88620195688875181</v>
      </c>
      <c r="H406" s="79"/>
      <c r="I406" s="79"/>
      <c r="J406" s="3" t="str">
        <f t="shared" si="32"/>
        <v/>
      </c>
      <c r="K406" s="7">
        <v>-8.637873754153258E-3</v>
      </c>
      <c r="L406" s="7">
        <v>-3.3422459893046597E-3</v>
      </c>
      <c r="M406" s="7">
        <v>1.136363636363602E-2</v>
      </c>
      <c r="N406" s="7">
        <v>5.3511705685616029E-3</v>
      </c>
      <c r="O406" s="7">
        <v>2.2500000000002185E-2</v>
      </c>
      <c r="P406" s="7">
        <v>3.7500000000000089E-2</v>
      </c>
      <c r="Q406" s="7">
        <v>-7.4999999999988409E-3</v>
      </c>
      <c r="R406" s="7">
        <v>-0.19250000000000111</v>
      </c>
      <c r="S406" s="7">
        <v>-0.99750000000000227</v>
      </c>
      <c r="T406" s="7">
        <v>-1</v>
      </c>
    </row>
    <row r="407" spans="1:23" x14ac:dyDescent="0.25">
      <c r="A407" s="76">
        <v>3</v>
      </c>
      <c r="B407" s="76" t="s">
        <v>54</v>
      </c>
      <c r="C407" s="76">
        <v>2002</v>
      </c>
      <c r="D407" s="76" t="str">
        <f t="shared" si="31"/>
        <v>A02N</v>
      </c>
      <c r="E407" s="76" t="s">
        <v>107</v>
      </c>
      <c r="F407" s="77" t="s">
        <v>1266</v>
      </c>
      <c r="G407" s="78">
        <v>0.8950315558229609</v>
      </c>
      <c r="H407" s="79"/>
      <c r="I407" s="79"/>
      <c r="J407" s="3" t="str">
        <f t="shared" si="32"/>
        <v/>
      </c>
      <c r="K407" s="7">
        <v>8.6378737541525918E-3</v>
      </c>
      <c r="L407" s="7">
        <v>1.4037433155080548E-2</v>
      </c>
      <c r="M407" s="7">
        <v>1.3368983957219527E-2</v>
      </c>
      <c r="N407" s="7">
        <v>2.2073578595317445E-2</v>
      </c>
      <c r="O407" s="7">
        <v>2.7499999999997637E-2</v>
      </c>
      <c r="P407" s="7">
        <v>5.0000000000000044E-2</v>
      </c>
      <c r="Q407" s="7">
        <v>-3.7499999999999978E-2</v>
      </c>
      <c r="R407" s="7">
        <v>-0.14499999999999891</v>
      </c>
      <c r="S407" s="7">
        <v>-0.99499999999999889</v>
      </c>
      <c r="T407" s="7">
        <v>-1</v>
      </c>
    </row>
    <row r="408" spans="1:23" x14ac:dyDescent="0.25">
      <c r="A408" s="76">
        <v>3</v>
      </c>
      <c r="B408" s="76" t="s">
        <v>54</v>
      </c>
      <c r="C408" s="76">
        <v>2002</v>
      </c>
      <c r="D408" s="76" t="str">
        <f t="shared" si="31"/>
        <v>A02N</v>
      </c>
      <c r="E408" s="76" t="s">
        <v>107</v>
      </c>
      <c r="F408" s="77" t="s">
        <v>1267</v>
      </c>
      <c r="G408" s="78">
        <v>0.9071669995678644</v>
      </c>
      <c r="H408" s="79"/>
      <c r="I408" s="79"/>
      <c r="J408" s="3" t="str">
        <f t="shared" si="32"/>
        <v/>
      </c>
      <c r="K408" s="7">
        <v>-1.2624584717607856E-2</v>
      </c>
      <c r="L408" s="7">
        <v>-6.6844919786094303E-3</v>
      </c>
      <c r="M408" s="7">
        <v>-5.347593582887944E-3</v>
      </c>
      <c r="N408" s="7">
        <v>-2.6755852842800243E-3</v>
      </c>
      <c r="O408" s="7">
        <v>2.4999999999999911E-2</v>
      </c>
      <c r="P408" s="7">
        <v>4.2499999999995541E-2</v>
      </c>
      <c r="Q408" s="7">
        <v>5.5000000000001048E-2</v>
      </c>
      <c r="R408" s="7">
        <v>5.0000000000000044E-2</v>
      </c>
      <c r="S408" s="7">
        <v>-0.98999999999999777</v>
      </c>
      <c r="T408" s="7">
        <v>-1</v>
      </c>
    </row>
    <row r="409" spans="1:23" x14ac:dyDescent="0.25">
      <c r="A409" s="76">
        <v>3</v>
      </c>
      <c r="B409" s="76" t="s">
        <v>54</v>
      </c>
      <c r="C409" s="76">
        <v>2002</v>
      </c>
      <c r="D409" s="76" t="str">
        <f t="shared" si="31"/>
        <v>A02N</v>
      </c>
      <c r="E409" s="76" t="s">
        <v>107</v>
      </c>
      <c r="F409" s="77" t="s">
        <v>1268</v>
      </c>
      <c r="G409" s="78">
        <v>0.89098497384794162</v>
      </c>
      <c r="H409" s="79"/>
      <c r="I409" s="79"/>
      <c r="J409" s="3" t="str">
        <f t="shared" si="32"/>
        <v/>
      </c>
      <c r="K409" s="7">
        <v>4.3853820598007465E-2</v>
      </c>
      <c r="L409" s="7">
        <v>6.0160427807486094E-2</v>
      </c>
      <c r="M409" s="7">
        <v>5.8823529411765385E-2</v>
      </c>
      <c r="N409" s="7">
        <v>6.2876254180601165E-2</v>
      </c>
      <c r="O409" s="7">
        <v>0.12250000000000005</v>
      </c>
      <c r="P409" s="7">
        <v>2.7499999999999858E-2</v>
      </c>
      <c r="Q409" s="7">
        <v>-4.7499999999999765E-2</v>
      </c>
      <c r="R409" s="7">
        <v>-0.61750000000000005</v>
      </c>
      <c r="S409" s="7">
        <v>-0.99750000000000016</v>
      </c>
      <c r="T409" s="7">
        <v>-1</v>
      </c>
    </row>
    <row r="410" spans="1:23" x14ac:dyDescent="0.25">
      <c r="A410" s="76">
        <v>3</v>
      </c>
      <c r="B410" s="76" t="s">
        <v>54</v>
      </c>
      <c r="C410" s="76">
        <v>2002</v>
      </c>
      <c r="D410" s="76" t="str">
        <f t="shared" si="31"/>
        <v>A02N</v>
      </c>
      <c r="E410" s="76" t="s">
        <v>107</v>
      </c>
      <c r="F410" s="77" t="s">
        <v>1269</v>
      </c>
      <c r="G410" s="78">
        <v>0.83549957418702503</v>
      </c>
      <c r="H410" s="79"/>
      <c r="I410" s="79"/>
      <c r="J410" s="3" t="str">
        <f t="shared" si="32"/>
        <v/>
      </c>
      <c r="K410" s="7">
        <v>-1.5946843853820392E-2</v>
      </c>
      <c r="L410" s="7">
        <v>3.9438502673796894E-2</v>
      </c>
      <c r="M410" s="7">
        <v>2.3395721925133062E-2</v>
      </c>
      <c r="N410" s="7">
        <v>1.8729096989966276E-2</v>
      </c>
      <c r="O410" s="7">
        <v>3.5000000000002363E-2</v>
      </c>
      <c r="P410" s="7">
        <v>3.7500000000000089E-2</v>
      </c>
      <c r="Q410" s="7">
        <v>-8.0000000000001181E-2</v>
      </c>
      <c r="R410" s="7">
        <v>-0.97499999999999998</v>
      </c>
      <c r="S410" s="7">
        <v>-0.99499999999999889</v>
      </c>
      <c r="T410" s="7">
        <v>-1</v>
      </c>
    </row>
    <row r="411" spans="1:23" x14ac:dyDescent="0.25">
      <c r="A411" s="76">
        <v>3</v>
      </c>
      <c r="B411" s="76" t="s">
        <v>54</v>
      </c>
      <c r="C411" s="76">
        <v>2002</v>
      </c>
      <c r="D411" s="76" t="str">
        <f t="shared" si="31"/>
        <v>A02N</v>
      </c>
      <c r="E411" s="76" t="s">
        <v>107</v>
      </c>
      <c r="F411" s="77" t="s">
        <v>1270</v>
      </c>
      <c r="G411" s="78">
        <v>0.8852588608918297</v>
      </c>
      <c r="H411" s="79"/>
      <c r="I411" s="79"/>
      <c r="J411" s="3" t="str">
        <f t="shared" si="32"/>
        <v/>
      </c>
      <c r="K411" s="7">
        <v>-2.6578073089701393E-3</v>
      </c>
      <c r="L411" s="7">
        <v>-1.3368983957220415E-3</v>
      </c>
      <c r="M411" s="7">
        <v>4.6791443850269232E-3</v>
      </c>
      <c r="N411" s="7">
        <v>6.6889632106992281E-4</v>
      </c>
      <c r="O411" s="7">
        <v>1.2499999999999956E-2</v>
      </c>
      <c r="P411" s="7">
        <v>2.2500000000002185E-2</v>
      </c>
      <c r="Q411" s="7">
        <v>-1.5000000000000568E-2</v>
      </c>
      <c r="R411" s="7">
        <v>-0.10250000000000059</v>
      </c>
      <c r="S411" s="7">
        <v>-0.99499999999999889</v>
      </c>
      <c r="T411" s="7">
        <v>-1</v>
      </c>
    </row>
    <row r="412" spans="1:23" x14ac:dyDescent="0.25">
      <c r="A412" s="76">
        <v>3</v>
      </c>
      <c r="B412" s="76" t="s">
        <v>54</v>
      </c>
      <c r="C412" s="76">
        <v>2002</v>
      </c>
      <c r="D412" s="76" t="str">
        <f t="shared" si="31"/>
        <v>A02N</v>
      </c>
      <c r="E412" s="76" t="s">
        <v>107</v>
      </c>
      <c r="F412" s="77" t="s">
        <v>1271</v>
      </c>
      <c r="G412" s="78">
        <v>0.89635704649020687</v>
      </c>
      <c r="H412" s="79"/>
      <c r="I412" s="79"/>
      <c r="J412" s="3" t="str">
        <f t="shared" si="32"/>
        <v/>
      </c>
      <c r="K412" s="7">
        <v>-9.3023255813952099E-3</v>
      </c>
      <c r="L412" s="7">
        <v>2.2204460492503131E-16</v>
      </c>
      <c r="M412" s="7">
        <v>6.6844919786090973E-3</v>
      </c>
      <c r="N412" s="7">
        <v>1.070234113712476E-2</v>
      </c>
      <c r="O412" s="7">
        <v>2.7499999999997637E-2</v>
      </c>
      <c r="P412" s="7">
        <v>3.9999999999997815E-2</v>
      </c>
      <c r="Q412" s="7">
        <v>3.0000000000001137E-2</v>
      </c>
      <c r="R412" s="7">
        <v>-0.11999999999999889</v>
      </c>
      <c r="S412" s="7">
        <v>-0.99499999999999889</v>
      </c>
      <c r="T412" s="7">
        <v>-1</v>
      </c>
    </row>
    <row r="413" spans="1:23" x14ac:dyDescent="0.25">
      <c r="A413" s="76">
        <v>3</v>
      </c>
      <c r="B413" s="76" t="s">
        <v>54</v>
      </c>
      <c r="C413" s="76">
        <v>2002</v>
      </c>
      <c r="D413" s="76" t="str">
        <f t="shared" si="31"/>
        <v>A02N</v>
      </c>
      <c r="E413" s="76" t="s">
        <v>107</v>
      </c>
      <c r="F413" s="77" t="s">
        <v>1272</v>
      </c>
      <c r="G413" s="78">
        <v>0.8700360345649707</v>
      </c>
      <c r="H413" s="79"/>
      <c r="I413" s="79"/>
      <c r="J413" s="3" t="str">
        <f t="shared" si="32"/>
        <v/>
      </c>
      <c r="K413" s="7">
        <v>-2.2591362126246461E-2</v>
      </c>
      <c r="L413" s="7">
        <v>-1.804812834224534E-2</v>
      </c>
      <c r="M413" s="7">
        <v>-1.6711229946524631E-2</v>
      </c>
      <c r="N413" s="7">
        <v>-1.6053511705684698E-2</v>
      </c>
      <c r="O413" s="7">
        <v>-2.5000000000033884E-3</v>
      </c>
      <c r="P413" s="7">
        <v>5.0000000000012257E-3</v>
      </c>
      <c r="Q413" s="7">
        <v>-3.0000000000001137E-2</v>
      </c>
      <c r="R413" s="7">
        <v>-0.125</v>
      </c>
      <c r="S413" s="7">
        <v>-0.99499999999999889</v>
      </c>
      <c r="T413" s="7">
        <v>-1</v>
      </c>
    </row>
    <row r="414" spans="1:23" x14ac:dyDescent="0.25">
      <c r="A414" s="76">
        <v>1.5</v>
      </c>
      <c r="B414" s="76" t="s">
        <v>54</v>
      </c>
      <c r="C414" s="76">
        <v>2003</v>
      </c>
      <c r="D414" s="76" t="str">
        <f t="shared" ref="D414:D431" si="33">LEFT(F414,4)</f>
        <v>Y03N</v>
      </c>
      <c r="E414" s="76" t="s">
        <v>107</v>
      </c>
      <c r="F414" s="77" t="s">
        <v>129</v>
      </c>
      <c r="G414" s="78">
        <v>0.89390501949332035</v>
      </c>
      <c r="H414" s="79">
        <v>37699</v>
      </c>
      <c r="I414" s="79">
        <v>40200</v>
      </c>
      <c r="J414" s="3">
        <f t="shared" si="32"/>
        <v>7</v>
      </c>
      <c r="K414" s="9">
        <v>-1.6990291262136359E-2</v>
      </c>
      <c r="L414" s="9">
        <v>-2.6429341963322472E-2</v>
      </c>
      <c r="M414" s="9">
        <v>-2.8177889809146039E-2</v>
      </c>
      <c r="N414" s="9">
        <v>3.65569956796441E-3</v>
      </c>
      <c r="O414" s="9">
        <v>-6.0000000000002274E-2</v>
      </c>
      <c r="P414" s="9">
        <v>-2.6666666666665173E-2</v>
      </c>
      <c r="Q414" s="9">
        <v>-9.6666666666666012E-2</v>
      </c>
      <c r="R414" s="9">
        <v>-0.3066666666666682</v>
      </c>
      <c r="S414" s="9">
        <v>-0.86333333333333262</v>
      </c>
      <c r="T414" s="9">
        <v>-1</v>
      </c>
      <c r="U414" s="1">
        <v>3018</v>
      </c>
      <c r="W414" s="1">
        <v>932744</v>
      </c>
    </row>
    <row r="415" spans="1:23" x14ac:dyDescent="0.25">
      <c r="A415" s="76">
        <v>1.5</v>
      </c>
      <c r="B415" s="76" t="s">
        <v>54</v>
      </c>
      <c r="C415" s="76">
        <v>2003</v>
      </c>
      <c r="D415" s="76" t="str">
        <f t="shared" si="33"/>
        <v>Y03N</v>
      </c>
      <c r="E415" s="76" t="s">
        <v>107</v>
      </c>
      <c r="F415" s="77" t="s">
        <v>130</v>
      </c>
      <c r="G415" s="78">
        <v>0.93495315043416316</v>
      </c>
      <c r="H415" s="79">
        <v>37778</v>
      </c>
      <c r="I415" s="79">
        <v>41769</v>
      </c>
      <c r="J415" s="3">
        <f t="shared" si="32"/>
        <v>11</v>
      </c>
      <c r="K415" s="9">
        <v>-3.092412801150668E-2</v>
      </c>
      <c r="L415" s="9">
        <v>-3.1823085221143521E-2</v>
      </c>
      <c r="M415" s="9">
        <v>-4.4832553114872886E-2</v>
      </c>
      <c r="N415" s="9">
        <v>3.3233632436102667E-4</v>
      </c>
      <c r="O415" s="9">
        <v>-5.8333333333333348E-2</v>
      </c>
      <c r="P415" s="9">
        <v>1.8333333333331758E-2</v>
      </c>
      <c r="Q415" s="9">
        <v>-5.6666666666664312E-2</v>
      </c>
      <c r="R415" s="9">
        <v>-8.5000000000002296E-2</v>
      </c>
      <c r="S415" s="9">
        <v>-0.35499999999999932</v>
      </c>
      <c r="T415" s="9">
        <v>-1</v>
      </c>
      <c r="U415" s="1">
        <v>2433</v>
      </c>
      <c r="W415" s="1">
        <v>931233</v>
      </c>
    </row>
    <row r="416" spans="1:23" x14ac:dyDescent="0.25">
      <c r="A416" s="76">
        <v>1.5</v>
      </c>
      <c r="B416" s="76" t="s">
        <v>54</v>
      </c>
      <c r="C416" s="76">
        <v>2003</v>
      </c>
      <c r="D416" s="76" t="str">
        <f t="shared" si="33"/>
        <v>Y03N</v>
      </c>
      <c r="E416" s="76" t="s">
        <v>107</v>
      </c>
      <c r="F416" s="77" t="s">
        <v>131</v>
      </c>
      <c r="G416" s="78">
        <v>0.91612065692792322</v>
      </c>
      <c r="H416" s="79">
        <v>37754</v>
      </c>
      <c r="I416" s="79">
        <v>41776</v>
      </c>
      <c r="J416" s="3">
        <f t="shared" si="32"/>
        <v>11</v>
      </c>
      <c r="K416" s="9">
        <v>-1.4293419633225501E-2</v>
      </c>
      <c r="L416" s="9">
        <v>-2.3732470334411726E-2</v>
      </c>
      <c r="M416" s="9">
        <v>-2.7277637738567173E-2</v>
      </c>
      <c r="N416" s="9">
        <v>1.1964107676970537E-2</v>
      </c>
      <c r="O416" s="9">
        <v>-2.3333333333334871E-2</v>
      </c>
      <c r="P416" s="9">
        <v>1.166666666666738E-2</v>
      </c>
      <c r="Q416" s="9">
        <v>-1.8333333333335644E-2</v>
      </c>
      <c r="R416" s="9">
        <v>-0.22333333333333105</v>
      </c>
      <c r="S416" s="9">
        <v>-0.92333333333333489</v>
      </c>
      <c r="T416" s="9">
        <v>-1</v>
      </c>
      <c r="U416" s="1">
        <v>3083</v>
      </c>
      <c r="W416" s="1">
        <v>1000454</v>
      </c>
    </row>
    <row r="417" spans="1:23" x14ac:dyDescent="0.25">
      <c r="A417" s="76">
        <v>1.5</v>
      </c>
      <c r="B417" s="76" t="s">
        <v>54</v>
      </c>
      <c r="C417" s="76">
        <v>2003</v>
      </c>
      <c r="D417" s="76" t="str">
        <f t="shared" si="33"/>
        <v>Y03N</v>
      </c>
      <c r="E417" s="76" t="s">
        <v>107</v>
      </c>
      <c r="F417" s="77" t="s">
        <v>132</v>
      </c>
      <c r="G417" s="78">
        <v>0.92184536192625188</v>
      </c>
      <c r="H417" s="79">
        <v>37783</v>
      </c>
      <c r="I417" s="79">
        <v>41870</v>
      </c>
      <c r="J417" s="3">
        <f t="shared" si="32"/>
        <v>11</v>
      </c>
      <c r="K417" s="9">
        <v>1.1326860841423869E-2</v>
      </c>
      <c r="L417" s="9">
        <v>1.0877382236605504E-2</v>
      </c>
      <c r="M417" s="9">
        <v>6.0316888728844109E-3</v>
      </c>
      <c r="N417" s="9">
        <v>6.9790628115649067E-3</v>
      </c>
      <c r="O417" s="9">
        <v>1.0000000000000231E-2</v>
      </c>
      <c r="P417" s="9">
        <v>-6.6666666666671537E-3</v>
      </c>
      <c r="Q417" s="9">
        <v>-7.9999999999999183E-2</v>
      </c>
      <c r="R417" s="9">
        <v>-0.26833333333333376</v>
      </c>
      <c r="S417" s="9">
        <v>-0.92833333333333312</v>
      </c>
      <c r="T417" s="9">
        <v>-1</v>
      </c>
    </row>
    <row r="418" spans="1:23" x14ac:dyDescent="0.25">
      <c r="A418" s="76">
        <v>1.5</v>
      </c>
      <c r="B418" s="76" t="s">
        <v>54</v>
      </c>
      <c r="C418" s="76">
        <v>2003</v>
      </c>
      <c r="D418" s="76" t="str">
        <f t="shared" si="33"/>
        <v>Y03N</v>
      </c>
      <c r="E418" s="76" t="s">
        <v>107</v>
      </c>
      <c r="F418" s="77" t="s">
        <v>133</v>
      </c>
      <c r="G418" s="78">
        <v>0.92539893904731885</v>
      </c>
      <c r="H418" s="79"/>
      <c r="I418" s="79"/>
      <c r="J418" s="3" t="str">
        <f t="shared" si="32"/>
        <v/>
      </c>
      <c r="K418" s="9">
        <v>7.7310320028767254E-3</v>
      </c>
      <c r="L418" s="9">
        <v>1.0427903631787139E-2</v>
      </c>
      <c r="M418" s="9">
        <v>1.1883327331653204E-2</v>
      </c>
      <c r="N418" s="9">
        <v>1.3625789298770341E-2</v>
      </c>
      <c r="O418" s="9">
        <v>1.499999999999968E-2</v>
      </c>
      <c r="P418" s="9">
        <v>-3.3333333333331883E-3</v>
      </c>
      <c r="Q418" s="9">
        <v>-8.5000000000000298E-2</v>
      </c>
      <c r="R418" s="9">
        <v>-0.26333333333333298</v>
      </c>
      <c r="S418" s="9">
        <v>-0.92666666666666653</v>
      </c>
      <c r="T418" s="9">
        <v>-1</v>
      </c>
      <c r="U418" s="1">
        <v>2120</v>
      </c>
      <c r="W418" s="1">
        <v>1084534</v>
      </c>
    </row>
    <row r="419" spans="1:23" x14ac:dyDescent="0.25">
      <c r="A419" s="76">
        <v>1.5</v>
      </c>
      <c r="B419" s="76" t="s">
        <v>54</v>
      </c>
      <c r="C419" s="76">
        <v>2003</v>
      </c>
      <c r="D419" s="76" t="str">
        <f t="shared" si="33"/>
        <v>Y03N</v>
      </c>
      <c r="E419" s="76" t="s">
        <v>107</v>
      </c>
      <c r="F419" s="77" t="s">
        <v>134</v>
      </c>
      <c r="G419" s="78">
        <v>0.9239297253243044</v>
      </c>
      <c r="H419" s="79">
        <v>38194</v>
      </c>
      <c r="I419" s="79">
        <v>41878</v>
      </c>
      <c r="J419" s="3">
        <f t="shared" si="32"/>
        <v>10</v>
      </c>
      <c r="K419" s="9">
        <v>-5.7533261416757853E-3</v>
      </c>
      <c r="L419" s="9">
        <v>-1.3394462423589326E-2</v>
      </c>
      <c r="M419" s="9">
        <v>-1.6474612891609675E-2</v>
      </c>
      <c r="N419" s="9">
        <v>3.6889332003985809E-2</v>
      </c>
      <c r="O419" s="9">
        <v>8.3333333333333037E-3</v>
      </c>
      <c r="P419" s="9">
        <v>-1.8333333333331758E-2</v>
      </c>
      <c r="Q419" s="9">
        <v>-6.3333333333332575E-2</v>
      </c>
      <c r="R419" s="9">
        <v>-0.22000000000000075</v>
      </c>
      <c r="S419" s="9">
        <v>-0.99000000000000155</v>
      </c>
      <c r="T419" s="9">
        <v>-1</v>
      </c>
      <c r="U419" s="1">
        <v>1998</v>
      </c>
      <c r="W419" s="1">
        <v>938221</v>
      </c>
    </row>
    <row r="420" spans="1:23" x14ac:dyDescent="0.25">
      <c r="A420" s="76">
        <v>1.5</v>
      </c>
      <c r="B420" s="76" t="s">
        <v>54</v>
      </c>
      <c r="C420" s="76">
        <v>2003</v>
      </c>
      <c r="D420" s="76" t="str">
        <f t="shared" si="33"/>
        <v>Y03N</v>
      </c>
      <c r="E420" s="76" t="s">
        <v>107</v>
      </c>
      <c r="F420" s="77" t="s">
        <v>135</v>
      </c>
      <c r="G420" s="78">
        <v>0.92091261445721506</v>
      </c>
      <c r="H420" s="79">
        <v>38189</v>
      </c>
      <c r="I420" s="79">
        <v>41828</v>
      </c>
      <c r="J420" s="3">
        <f t="shared" si="32"/>
        <v>10</v>
      </c>
      <c r="K420" s="9">
        <v>1.177633944624179E-2</v>
      </c>
      <c r="L420" s="9">
        <v>1.4023732470334505E-2</v>
      </c>
      <c r="M420" s="9">
        <v>1.5034209578682178E-2</v>
      </c>
      <c r="N420" s="9">
        <v>2.193419740777669E-2</v>
      </c>
      <c r="O420" s="9">
        <v>2.1666666666666945E-2</v>
      </c>
      <c r="P420" s="9">
        <v>-1.6666666666665941E-3</v>
      </c>
      <c r="Q420" s="9">
        <v>-8.333333333333337E-2</v>
      </c>
      <c r="R420" s="9">
        <v>-0.37999999999999967</v>
      </c>
      <c r="S420" s="9">
        <v>-0.94833333333333347</v>
      </c>
      <c r="T420" s="9">
        <v>-1</v>
      </c>
      <c r="U420" s="1">
        <v>1191</v>
      </c>
      <c r="W420" s="1">
        <v>937819</v>
      </c>
    </row>
    <row r="421" spans="1:23" x14ac:dyDescent="0.25">
      <c r="A421" s="76">
        <v>1.5</v>
      </c>
      <c r="B421" s="76" t="s">
        <v>54</v>
      </c>
      <c r="C421" s="76">
        <v>2003</v>
      </c>
      <c r="D421" s="76" t="str">
        <f t="shared" si="33"/>
        <v>Y03N</v>
      </c>
      <c r="E421" s="76" t="s">
        <v>107</v>
      </c>
      <c r="F421" s="77" t="s">
        <v>136</v>
      </c>
      <c r="G421" s="78">
        <v>0.93572285450778092</v>
      </c>
      <c r="H421" s="79">
        <v>38189</v>
      </c>
      <c r="I421" s="79">
        <v>41838</v>
      </c>
      <c r="J421" s="3">
        <f t="shared" si="32"/>
        <v>10</v>
      </c>
      <c r="K421" s="9">
        <v>1.8967997123336966E-2</v>
      </c>
      <c r="L421" s="9">
        <v>1.8518518518518379E-2</v>
      </c>
      <c r="M421" s="9">
        <v>1.8185091825712485E-2</v>
      </c>
      <c r="N421" s="9">
        <v>2.0272515785973333E-2</v>
      </c>
      <c r="O421" s="9">
        <v>2.333333333333476E-2</v>
      </c>
      <c r="P421" s="9">
        <v>9.9999999999984546E-3</v>
      </c>
      <c r="Q421" s="9">
        <v>-8.1666666666664334E-2</v>
      </c>
      <c r="R421" s="9">
        <v>-0.26333333333333253</v>
      </c>
      <c r="S421" s="9">
        <v>-0.84833333333333483</v>
      </c>
      <c r="T421" s="9">
        <v>-1</v>
      </c>
      <c r="U421" s="1">
        <v>1687</v>
      </c>
      <c r="W421" s="1">
        <v>933121</v>
      </c>
    </row>
    <row r="422" spans="1:23" x14ac:dyDescent="0.25">
      <c r="A422" s="76">
        <v>1.5</v>
      </c>
      <c r="B422" s="76" t="s">
        <v>54</v>
      </c>
      <c r="C422" s="76">
        <v>2003</v>
      </c>
      <c r="D422" s="76" t="str">
        <f t="shared" si="33"/>
        <v>Y03N</v>
      </c>
      <c r="E422" s="76" t="s">
        <v>107</v>
      </c>
      <c r="F422" s="77" t="s">
        <v>137</v>
      </c>
      <c r="G422" s="78">
        <v>0.94235595847109777</v>
      </c>
      <c r="H422" s="79">
        <v>38189</v>
      </c>
      <c r="I422" s="79">
        <v>41827</v>
      </c>
      <c r="J422" s="3">
        <f t="shared" si="32"/>
        <v>10</v>
      </c>
      <c r="K422" s="9">
        <v>2.3912261776339205E-2</v>
      </c>
      <c r="L422" s="9">
        <v>2.5260697590795189E-2</v>
      </c>
      <c r="M422" s="9">
        <v>2.6737486496218654E-2</v>
      </c>
      <c r="N422" s="9">
        <v>3.1904287138584619E-2</v>
      </c>
      <c r="O422" s="9">
        <v>3.1666666666666288E-2</v>
      </c>
      <c r="P422" s="9">
        <v>1.8333333333333757E-2</v>
      </c>
      <c r="Q422" s="9">
        <v>-0.13000000000000111</v>
      </c>
      <c r="R422" s="9">
        <v>-0.21166666666666645</v>
      </c>
      <c r="S422" s="9">
        <v>-0.8666666666666667</v>
      </c>
      <c r="T422" s="9">
        <v>-1</v>
      </c>
      <c r="U422" s="1">
        <v>4247</v>
      </c>
      <c r="W422" s="1">
        <v>1000888</v>
      </c>
    </row>
    <row r="423" spans="1:23" x14ac:dyDescent="0.25">
      <c r="A423" s="76">
        <v>1.5</v>
      </c>
      <c r="B423" s="76" t="s">
        <v>54</v>
      </c>
      <c r="C423" s="76">
        <v>2003</v>
      </c>
      <c r="D423" s="76" t="str">
        <f t="shared" si="33"/>
        <v>Y03N</v>
      </c>
      <c r="E423" s="76" t="s">
        <v>107</v>
      </c>
      <c r="F423" s="77" t="s">
        <v>138</v>
      </c>
      <c r="G423" s="78">
        <v>0.94866270611777082</v>
      </c>
      <c r="H423" s="79">
        <v>38285</v>
      </c>
      <c r="I423" s="79">
        <v>41871</v>
      </c>
      <c r="J423" s="3">
        <f t="shared" si="32"/>
        <v>10</v>
      </c>
      <c r="K423" s="9">
        <v>1.2225818051060378E-2</v>
      </c>
      <c r="L423" s="9">
        <v>1.8069039913700236E-2</v>
      </c>
      <c r="M423" s="9">
        <v>2.1335974072739683E-2</v>
      </c>
      <c r="N423" s="9">
        <v>0.10003323363243299</v>
      </c>
      <c r="O423" s="9">
        <v>-8.3333333333334147E-3</v>
      </c>
      <c r="P423" s="9">
        <v>5.6666666666668197E-2</v>
      </c>
      <c r="Q423" s="9">
        <v>-3.4999999999998588E-2</v>
      </c>
      <c r="R423" s="9">
        <v>-0.26500000000000157</v>
      </c>
      <c r="S423" s="9">
        <v>-0.9633333333333326</v>
      </c>
      <c r="T423" s="9">
        <v>-1</v>
      </c>
      <c r="U423" s="1">
        <v>1370</v>
      </c>
      <c r="W423" s="1">
        <v>1000632</v>
      </c>
    </row>
    <row r="424" spans="1:23" x14ac:dyDescent="0.25">
      <c r="A424" s="76">
        <v>3</v>
      </c>
      <c r="B424" s="76" t="s">
        <v>1283</v>
      </c>
      <c r="C424" s="76">
        <v>2000</v>
      </c>
      <c r="D424" s="76" t="str">
        <f t="shared" si="33"/>
        <v>A00L</v>
      </c>
      <c r="E424" s="76" t="s">
        <v>147</v>
      </c>
      <c r="F424" s="77" t="s">
        <v>139</v>
      </c>
      <c r="G424" s="78">
        <v>0.90465276339896739</v>
      </c>
      <c r="H424" s="79">
        <v>38189</v>
      </c>
      <c r="I424" s="79">
        <v>41871</v>
      </c>
      <c r="J424" s="3">
        <f t="shared" si="32"/>
        <v>10</v>
      </c>
      <c r="K424" s="7">
        <v>-2.090747330960796E-2</v>
      </c>
      <c r="L424" s="7">
        <v>-2.3326210826210891E-2</v>
      </c>
      <c r="M424" s="7">
        <v>-2.6423124667494413E-2</v>
      </c>
      <c r="N424" s="7">
        <v>-1.8333333333332869E-2</v>
      </c>
      <c r="O424" s="7">
        <v>-1.166666666666738E-2</v>
      </c>
      <c r="P424" s="7">
        <v>-4.9999999999992273E-3</v>
      </c>
      <c r="Q424" s="7">
        <v>-8.166666666666722E-2</v>
      </c>
      <c r="R424" s="7">
        <v>-0.23499999999999988</v>
      </c>
      <c r="S424" s="7">
        <v>-0.98666666666666647</v>
      </c>
      <c r="T424" s="7">
        <v>-1</v>
      </c>
      <c r="U424" s="1">
        <v>3174</v>
      </c>
      <c r="W424" s="1">
        <v>934682</v>
      </c>
    </row>
    <row r="425" spans="1:23" x14ac:dyDescent="0.25">
      <c r="A425" s="76">
        <v>3</v>
      </c>
      <c r="B425" s="76" t="s">
        <v>1283</v>
      </c>
      <c r="C425" s="76">
        <v>2000</v>
      </c>
      <c r="D425" s="76" t="str">
        <f t="shared" si="33"/>
        <v>A00L</v>
      </c>
      <c r="E425" s="76" t="s">
        <v>147</v>
      </c>
      <c r="F425" s="77" t="s">
        <v>140</v>
      </c>
      <c r="G425" s="78">
        <v>0.91772822349640271</v>
      </c>
      <c r="H425" s="79">
        <v>36753</v>
      </c>
      <c r="I425" s="79">
        <v>41828</v>
      </c>
      <c r="J425" s="3">
        <f t="shared" si="32"/>
        <v>14</v>
      </c>
      <c r="K425" s="7">
        <v>-3.3362989323843184E-2</v>
      </c>
      <c r="L425" s="7">
        <v>-3.1339031339031487E-2</v>
      </c>
      <c r="M425" s="7">
        <v>-2.7753147721227056E-2</v>
      </c>
      <c r="N425" s="7">
        <v>-1.8333333333333202E-2</v>
      </c>
      <c r="O425" s="7">
        <v>-1.000000000000012E-2</v>
      </c>
      <c r="P425" s="7">
        <v>1.1666666666666048E-2</v>
      </c>
      <c r="Q425" s="7">
        <v>-2.6666666666665173E-2</v>
      </c>
      <c r="R425" s="7">
        <v>-0.13500000000000223</v>
      </c>
      <c r="S425" s="7">
        <v>-0.85499999999999932</v>
      </c>
      <c r="T425" s="7">
        <v>-1</v>
      </c>
      <c r="U425" s="1">
        <v>3281</v>
      </c>
      <c r="W425" s="1">
        <v>938246</v>
      </c>
    </row>
    <row r="426" spans="1:23" x14ac:dyDescent="0.25">
      <c r="A426" s="76">
        <v>3</v>
      </c>
      <c r="B426" s="76" t="s">
        <v>1283</v>
      </c>
      <c r="C426" s="76">
        <v>2000</v>
      </c>
      <c r="D426" s="76" t="str">
        <f t="shared" si="33"/>
        <v>A00L</v>
      </c>
      <c r="E426" s="76" t="s">
        <v>147</v>
      </c>
      <c r="F426" s="77" t="s">
        <v>141</v>
      </c>
      <c r="G426" s="78">
        <v>0.95926902295214944</v>
      </c>
      <c r="H426" s="79">
        <v>36754</v>
      </c>
      <c r="I426" s="79">
        <v>41828</v>
      </c>
      <c r="J426" s="3">
        <f t="shared" si="32"/>
        <v>14</v>
      </c>
      <c r="K426" s="7">
        <v>8.0071174377225329E-3</v>
      </c>
      <c r="L426" s="7">
        <v>5.1638176638175715E-3</v>
      </c>
      <c r="M426" s="7">
        <v>5.0540876041853533E-3</v>
      </c>
      <c r="N426" s="7">
        <v>1.1666666666666492E-2</v>
      </c>
      <c r="O426" s="7">
        <v>1.0000000000000231E-2</v>
      </c>
      <c r="P426" s="7">
        <v>2.1666666666666279E-2</v>
      </c>
      <c r="Q426" s="7">
        <v>1.1666666666666714E-2</v>
      </c>
      <c r="R426" s="7">
        <v>-2.5000000000000022E-2</v>
      </c>
      <c r="S426" s="7">
        <v>-0.18833333333333191</v>
      </c>
      <c r="T426" s="7">
        <v>-1</v>
      </c>
      <c r="U426" s="1">
        <v>4399</v>
      </c>
      <c r="W426" s="1">
        <v>17612</v>
      </c>
    </row>
    <row r="427" spans="1:23" x14ac:dyDescent="0.25">
      <c r="A427" s="76">
        <v>3</v>
      </c>
      <c r="B427" s="76" t="s">
        <v>1283</v>
      </c>
      <c r="C427" s="76">
        <v>2000</v>
      </c>
      <c r="D427" s="76" t="str">
        <f t="shared" si="33"/>
        <v>A00L</v>
      </c>
      <c r="E427" s="76" t="s">
        <v>147</v>
      </c>
      <c r="F427" s="77" t="s">
        <v>142</v>
      </c>
      <c r="G427" s="78">
        <v>0.95084269738225757</v>
      </c>
      <c r="H427" s="79">
        <v>36663</v>
      </c>
      <c r="I427" s="79">
        <v>41555</v>
      </c>
      <c r="J427" s="3">
        <f t="shared" si="32"/>
        <v>13</v>
      </c>
      <c r="K427" s="7">
        <v>-4.0035587188608224E-3</v>
      </c>
      <c r="L427" s="7">
        <v>-6.8554131054134881E-3</v>
      </c>
      <c r="M427" s="7">
        <v>-4.2560737719447017E-3</v>
      </c>
      <c r="N427" s="7">
        <v>3.3333333333340764E-3</v>
      </c>
      <c r="O427" s="7">
        <v>6.6666666666643781E-3</v>
      </c>
      <c r="P427" s="7">
        <v>1.3333333333334529E-2</v>
      </c>
      <c r="Q427" s="7">
        <v>0</v>
      </c>
      <c r="R427" s="7">
        <v>-4.3333333333333668E-2</v>
      </c>
      <c r="S427" s="7">
        <v>-0.21166666666666745</v>
      </c>
      <c r="T427" s="7">
        <v>-1</v>
      </c>
      <c r="U427" s="1">
        <v>2781</v>
      </c>
      <c r="W427" s="1">
        <v>937321</v>
      </c>
    </row>
    <row r="428" spans="1:23" x14ac:dyDescent="0.25">
      <c r="A428" s="76">
        <v>3</v>
      </c>
      <c r="B428" s="76" t="s">
        <v>1283</v>
      </c>
      <c r="C428" s="76">
        <v>2000</v>
      </c>
      <c r="D428" s="76" t="str">
        <f t="shared" si="33"/>
        <v>A00L</v>
      </c>
      <c r="E428" s="76" t="s">
        <v>147</v>
      </c>
      <c r="F428" s="77" t="s">
        <v>143</v>
      </c>
      <c r="G428" s="78">
        <v>0.96782964008458805</v>
      </c>
      <c r="H428" s="79">
        <v>36748</v>
      </c>
      <c r="I428" s="79">
        <v>41771</v>
      </c>
      <c r="J428" s="3">
        <f t="shared" si="32"/>
        <v>14</v>
      </c>
      <c r="K428" s="7">
        <v>1.2900355871886093E-2</v>
      </c>
      <c r="L428" s="7">
        <v>9.6153846153850253E-3</v>
      </c>
      <c r="M428" s="7">
        <v>9.0441567653833932E-3</v>
      </c>
      <c r="N428" s="7">
        <v>1.3333333333332531E-2</v>
      </c>
      <c r="O428" s="7">
        <v>1.6666666666666607E-2</v>
      </c>
      <c r="P428" s="7">
        <v>3.3333333333333437E-2</v>
      </c>
      <c r="Q428" s="7">
        <v>3.5000000000002363E-2</v>
      </c>
      <c r="R428" s="7">
        <v>4.9999999999992273E-3</v>
      </c>
      <c r="S428" s="7">
        <v>-0.14500000000000079</v>
      </c>
      <c r="T428" s="7">
        <v>-1</v>
      </c>
      <c r="U428" s="1">
        <v>2821</v>
      </c>
      <c r="W428" s="1">
        <v>934658</v>
      </c>
    </row>
    <row r="429" spans="1:23" x14ac:dyDescent="0.25">
      <c r="A429" s="76">
        <v>3</v>
      </c>
      <c r="B429" s="76" t="s">
        <v>1283</v>
      </c>
      <c r="C429" s="76">
        <v>2000</v>
      </c>
      <c r="D429" s="76" t="str">
        <f t="shared" si="33"/>
        <v>A00L</v>
      </c>
      <c r="E429" s="76" t="s">
        <v>147</v>
      </c>
      <c r="F429" s="77" t="s">
        <v>144</v>
      </c>
      <c r="G429" s="78">
        <v>0.94138569770544822</v>
      </c>
      <c r="H429" s="79">
        <v>36753</v>
      </c>
      <c r="I429" s="79">
        <v>41828</v>
      </c>
      <c r="J429" s="3">
        <f t="shared" si="32"/>
        <v>14</v>
      </c>
      <c r="K429" s="7">
        <v>-6.6725978647689255E-3</v>
      </c>
      <c r="L429" s="7">
        <v>-7.7457264957261351E-3</v>
      </c>
      <c r="M429" s="7">
        <v>-3.8127327540341538E-3</v>
      </c>
      <c r="N429" s="7">
        <v>4.9999999999992273E-3</v>
      </c>
      <c r="O429" s="7">
        <v>8.3333333333333037E-3</v>
      </c>
      <c r="P429" s="7">
        <v>1.9999999999999796E-2</v>
      </c>
      <c r="Q429" s="7">
        <v>-2.5000000000000022E-2</v>
      </c>
      <c r="R429" s="7">
        <v>-0.10333333333333317</v>
      </c>
      <c r="S429" s="7">
        <v>-0.53000000000000014</v>
      </c>
      <c r="T429" s="7">
        <v>-1</v>
      </c>
      <c r="U429" s="1">
        <v>4785</v>
      </c>
      <c r="W429" s="1">
        <v>938467</v>
      </c>
    </row>
    <row r="430" spans="1:23" x14ac:dyDescent="0.25">
      <c r="A430" s="76">
        <v>3</v>
      </c>
      <c r="B430" s="76" t="s">
        <v>1283</v>
      </c>
      <c r="C430" s="76">
        <v>2000</v>
      </c>
      <c r="D430" s="76" t="str">
        <f t="shared" si="33"/>
        <v>A00L</v>
      </c>
      <c r="E430" s="76" t="s">
        <v>147</v>
      </c>
      <c r="F430" s="77" t="s">
        <v>145</v>
      </c>
      <c r="G430" s="78">
        <v>0.96079602654661633</v>
      </c>
      <c r="H430" s="79">
        <v>36754</v>
      </c>
      <c r="I430" s="79">
        <v>41829</v>
      </c>
      <c r="J430" s="3">
        <f t="shared" si="32"/>
        <v>14</v>
      </c>
      <c r="K430" s="7">
        <v>1.1120996441280839E-2</v>
      </c>
      <c r="L430" s="7">
        <v>1.0505698005698116E-2</v>
      </c>
      <c r="M430" s="7">
        <v>1.2147543890760559E-2</v>
      </c>
      <c r="N430" s="7">
        <v>2.1666666666666057E-2</v>
      </c>
      <c r="O430" s="7">
        <v>2.1666666666666057E-2</v>
      </c>
      <c r="P430" s="7">
        <v>2.1666666666666057E-2</v>
      </c>
      <c r="Q430" s="7">
        <v>-1.6666666666651508E-3</v>
      </c>
      <c r="R430" s="7">
        <v>-4.166666666666663E-2</v>
      </c>
      <c r="S430" s="7">
        <v>-0.3466666666666659</v>
      </c>
      <c r="T430" s="7">
        <v>-1</v>
      </c>
      <c r="U430" s="1">
        <v>3904</v>
      </c>
      <c r="W430" s="1">
        <v>938394</v>
      </c>
    </row>
    <row r="431" spans="1:23" x14ac:dyDescent="0.25">
      <c r="A431" s="76">
        <v>3</v>
      </c>
      <c r="B431" s="76" t="s">
        <v>1283</v>
      </c>
      <c r="C431" s="76">
        <v>2000</v>
      </c>
      <c r="D431" s="76" t="str">
        <f t="shared" si="33"/>
        <v>A00L</v>
      </c>
      <c r="E431" s="76" t="s">
        <v>147</v>
      </c>
      <c r="F431" s="77" t="s">
        <v>146</v>
      </c>
      <c r="G431" s="78">
        <v>0.93817153842595169</v>
      </c>
      <c r="H431" s="79">
        <v>36754</v>
      </c>
      <c r="I431" s="79">
        <v>41828</v>
      </c>
      <c r="J431" s="3">
        <f t="shared" si="32"/>
        <v>14</v>
      </c>
      <c r="K431" s="7">
        <v>-1.3345195729537407E-2</v>
      </c>
      <c r="L431" s="7">
        <v>-1.2197293447293367E-2</v>
      </c>
      <c r="M431" s="7">
        <v>-9.5761659868761617E-3</v>
      </c>
      <c r="N431" s="7">
        <v>-3.3333333333340764E-3</v>
      </c>
      <c r="O431" s="7">
        <v>-8.3333333333334147E-3</v>
      </c>
      <c r="P431" s="7">
        <v>0</v>
      </c>
      <c r="Q431" s="7">
        <v>-1.8333333333331758E-2</v>
      </c>
      <c r="R431" s="7">
        <v>-6.6666666666666652E-2</v>
      </c>
      <c r="S431" s="7">
        <v>-0.3150000000000015</v>
      </c>
      <c r="T431" s="7">
        <v>-1</v>
      </c>
      <c r="U431" s="1">
        <v>3131</v>
      </c>
      <c r="W431" s="1">
        <v>91715</v>
      </c>
    </row>
    <row r="432" spans="1:23" x14ac:dyDescent="0.25">
      <c r="A432" s="76">
        <v>3</v>
      </c>
      <c r="B432" s="76" t="s">
        <v>1283</v>
      </c>
      <c r="C432" s="76">
        <v>2000</v>
      </c>
      <c r="D432" s="76" t="str">
        <f t="shared" ref="D432:D441" si="34">LEFT(F432,4)</f>
        <v>A00L</v>
      </c>
      <c r="E432" s="76" t="s">
        <v>147</v>
      </c>
      <c r="F432" s="77" t="s">
        <v>1310</v>
      </c>
      <c r="G432" s="78">
        <v>0.98388598349385914</v>
      </c>
      <c r="H432" s="79">
        <v>37942</v>
      </c>
      <c r="I432" s="79">
        <v>42291</v>
      </c>
      <c r="J432" s="3">
        <f t="shared" si="32"/>
        <v>12</v>
      </c>
      <c r="K432" s="7">
        <v>-1.9422310756971983E-2</v>
      </c>
      <c r="L432" s="7">
        <v>-1.4735264735264653E-2</v>
      </c>
      <c r="M432" s="7">
        <v>-1.0291164658634555E-2</v>
      </c>
      <c r="N432" s="7">
        <v>1.7517517517522396E-3</v>
      </c>
      <c r="O432" s="7">
        <v>1.25000000000004E-2</v>
      </c>
      <c r="P432" s="7">
        <v>1.888667992047699E-2</v>
      </c>
      <c r="Q432" s="7">
        <v>2.4999999999999911E-2</v>
      </c>
      <c r="R432" s="7">
        <v>-5.0000000000011147E-3</v>
      </c>
      <c r="S432" s="7">
        <v>-0.10999999999999943</v>
      </c>
      <c r="T432" s="7">
        <v>-1</v>
      </c>
      <c r="U432" s="1">
        <v>1642</v>
      </c>
      <c r="W432" s="1">
        <v>2313413</v>
      </c>
    </row>
    <row r="433" spans="1:23" x14ac:dyDescent="0.25">
      <c r="A433" s="76">
        <v>3</v>
      </c>
      <c r="B433" s="76" t="s">
        <v>1283</v>
      </c>
      <c r="C433" s="76">
        <v>2000</v>
      </c>
      <c r="D433" s="76" t="str">
        <f t="shared" si="34"/>
        <v>A00L</v>
      </c>
      <c r="E433" s="76" t="s">
        <v>147</v>
      </c>
      <c r="F433" s="77" t="s">
        <v>1038</v>
      </c>
      <c r="G433" s="78">
        <v>0.98012922143300529</v>
      </c>
      <c r="H433" s="79">
        <v>42151</v>
      </c>
      <c r="I433" s="79">
        <v>42151</v>
      </c>
      <c r="J433" s="3" t="str">
        <f t="shared" si="32"/>
        <v/>
      </c>
      <c r="K433" s="7">
        <v>2.0418326693227185E-2</v>
      </c>
      <c r="L433" s="7">
        <v>2.5724275724275936E-2</v>
      </c>
      <c r="M433" s="7">
        <v>3.0120481927711218E-2</v>
      </c>
      <c r="N433" s="7">
        <v>3.4034034034033933E-2</v>
      </c>
      <c r="O433" s="7">
        <v>9.4999999999998863E-2</v>
      </c>
      <c r="P433" s="7">
        <v>-5.5666003976143186E-2</v>
      </c>
      <c r="Q433" s="7">
        <v>4.0000000000003366E-2</v>
      </c>
      <c r="R433" s="7">
        <v>-4.4999999999998819E-2</v>
      </c>
      <c r="S433" s="7">
        <v>-0.34500000000000453</v>
      </c>
      <c r="T433" s="7">
        <v>-1</v>
      </c>
      <c r="U433" s="1">
        <v>1232</v>
      </c>
      <c r="W433" s="1">
        <v>3563197</v>
      </c>
    </row>
    <row r="434" spans="1:23" x14ac:dyDescent="0.25">
      <c r="A434" s="76">
        <v>3</v>
      </c>
      <c r="B434" s="76" t="s">
        <v>1283</v>
      </c>
      <c r="C434" s="76">
        <v>2000</v>
      </c>
      <c r="D434" s="76" t="str">
        <f t="shared" si="34"/>
        <v>A00L</v>
      </c>
      <c r="E434" s="76" t="s">
        <v>147</v>
      </c>
      <c r="F434" s="77" t="s">
        <v>1039</v>
      </c>
      <c r="G434" s="78">
        <v>0.93245469770416756</v>
      </c>
      <c r="H434" s="79">
        <v>38946</v>
      </c>
      <c r="I434" s="79">
        <v>38946</v>
      </c>
      <c r="J434" s="3" t="str">
        <f t="shared" si="32"/>
        <v/>
      </c>
      <c r="K434" s="7">
        <v>-7.7689243027888599E-2</v>
      </c>
      <c r="L434" s="7">
        <v>-7.3176823176823058E-2</v>
      </c>
      <c r="M434" s="7">
        <v>-5.8734939759036098E-2</v>
      </c>
      <c r="N434" s="7">
        <v>-4.8048048048047853E-2</v>
      </c>
      <c r="O434" s="7">
        <v>-1.7500000000001181E-2</v>
      </c>
      <c r="P434" s="7">
        <v>8.9463220675920496E-3</v>
      </c>
      <c r="Q434" s="7">
        <v>-1.4999999999997682E-2</v>
      </c>
      <c r="R434" s="7">
        <v>-0.11000000000000232</v>
      </c>
      <c r="S434" s="7">
        <v>-0.37999999999999545</v>
      </c>
      <c r="T434" s="7">
        <v>-1</v>
      </c>
      <c r="U434" s="1">
        <v>1133</v>
      </c>
      <c r="W434" s="1">
        <v>259331</v>
      </c>
    </row>
    <row r="435" spans="1:23" x14ac:dyDescent="0.25">
      <c r="A435" s="76">
        <v>3</v>
      </c>
      <c r="B435" s="76" t="s">
        <v>1283</v>
      </c>
      <c r="C435" s="76">
        <v>2000</v>
      </c>
      <c r="D435" s="76" t="str">
        <f t="shared" si="34"/>
        <v>A00L</v>
      </c>
      <c r="E435" s="76" t="s">
        <v>147</v>
      </c>
      <c r="F435" s="77" t="s">
        <v>1040</v>
      </c>
      <c r="G435" s="78">
        <v>0.99130425654349397</v>
      </c>
      <c r="H435" s="79">
        <v>39981</v>
      </c>
      <c r="I435" s="79">
        <v>39981</v>
      </c>
      <c r="J435" s="3" t="str">
        <f t="shared" si="32"/>
        <v/>
      </c>
      <c r="K435" s="7">
        <v>2.3157370517928211E-2</v>
      </c>
      <c r="L435" s="7">
        <v>3.1718281718281727E-2</v>
      </c>
      <c r="M435" s="7">
        <v>3.5140562248996199E-2</v>
      </c>
      <c r="N435" s="7">
        <v>4.8048048048047409E-2</v>
      </c>
      <c r="O435" s="7">
        <v>6.2499999999999556E-2</v>
      </c>
      <c r="P435" s="7">
        <v>7.8528827037774196E-2</v>
      </c>
      <c r="Q435" s="7">
        <v>5.4999999999999716E-2</v>
      </c>
      <c r="R435" s="7">
        <v>-5.4999999999999716E-2</v>
      </c>
      <c r="S435" s="7">
        <v>-0.625</v>
      </c>
      <c r="T435" s="7">
        <v>-1</v>
      </c>
      <c r="U435" s="1">
        <v>1844</v>
      </c>
      <c r="W435" s="1">
        <v>1039962</v>
      </c>
    </row>
    <row r="436" spans="1:23" x14ac:dyDescent="0.25">
      <c r="A436" s="76">
        <v>3</v>
      </c>
      <c r="B436" s="76" t="s">
        <v>1283</v>
      </c>
      <c r="C436" s="76">
        <v>2000</v>
      </c>
      <c r="D436" s="76" t="str">
        <f t="shared" si="34"/>
        <v>A00L</v>
      </c>
      <c r="E436" s="76" t="s">
        <v>147</v>
      </c>
      <c r="F436" s="77" t="s">
        <v>1041</v>
      </c>
      <c r="G436" s="78">
        <v>0.96935293713461645</v>
      </c>
      <c r="H436" s="79">
        <v>36601</v>
      </c>
      <c r="I436" s="79">
        <v>42203</v>
      </c>
      <c r="J436" s="3">
        <f t="shared" si="32"/>
        <v>15</v>
      </c>
      <c r="K436" s="7">
        <v>1.2450199203184464E-3</v>
      </c>
      <c r="L436" s="7">
        <v>3.9960039960040827E-3</v>
      </c>
      <c r="M436" s="7">
        <v>7.0281124497997283E-3</v>
      </c>
      <c r="N436" s="7">
        <v>9.2592592592590783E-3</v>
      </c>
      <c r="O436" s="7">
        <v>1.0000000000002229E-2</v>
      </c>
      <c r="P436" s="7">
        <v>1.888667992047699E-2</v>
      </c>
      <c r="Q436" s="7">
        <v>-5.0000000000011147E-3</v>
      </c>
      <c r="R436" s="7">
        <v>-8.0000000000001181E-2</v>
      </c>
      <c r="S436" s="7">
        <v>-0.26000000000000223</v>
      </c>
      <c r="T436" s="7">
        <v>-1</v>
      </c>
      <c r="U436" s="1">
        <v>1864</v>
      </c>
      <c r="W436" s="1">
        <v>818021</v>
      </c>
    </row>
    <row r="437" spans="1:23" x14ac:dyDescent="0.25">
      <c r="A437" s="76">
        <v>3</v>
      </c>
      <c r="B437" s="76" t="s">
        <v>1283</v>
      </c>
      <c r="C437" s="76">
        <v>2000</v>
      </c>
      <c r="D437" s="76" t="str">
        <f t="shared" si="34"/>
        <v>A00L</v>
      </c>
      <c r="E437" s="76" t="s">
        <v>147</v>
      </c>
      <c r="F437" s="77" t="s">
        <v>1042</v>
      </c>
      <c r="G437" s="78">
        <v>0.68335806395405641</v>
      </c>
      <c r="H437" s="79">
        <v>42145</v>
      </c>
      <c r="I437" s="79">
        <v>42145</v>
      </c>
      <c r="J437" s="3" t="str">
        <f t="shared" si="32"/>
        <v/>
      </c>
      <c r="K437" s="7">
        <v>-3.3306690738754696E-16</v>
      </c>
      <c r="L437" s="7">
        <v>5.4945054945059191E-3</v>
      </c>
      <c r="M437" s="7">
        <v>7.0281124497992842E-3</v>
      </c>
      <c r="N437" s="7">
        <v>5.7557557557559313E-3</v>
      </c>
      <c r="O437" s="7">
        <v>-2.7500000000000524E-2</v>
      </c>
      <c r="P437" s="7">
        <v>-0.1699801192842948</v>
      </c>
      <c r="Q437" s="7">
        <v>-0.99499999999999889</v>
      </c>
      <c r="R437" s="7">
        <v>-1</v>
      </c>
      <c r="S437" s="7">
        <v>-1</v>
      </c>
      <c r="T437" s="7">
        <v>-1</v>
      </c>
      <c r="U437" s="1">
        <v>9695</v>
      </c>
      <c r="W437" s="1">
        <v>168424</v>
      </c>
    </row>
    <row r="438" spans="1:23" x14ac:dyDescent="0.25">
      <c r="A438" s="76">
        <v>3</v>
      </c>
      <c r="B438" s="76" t="s">
        <v>1283</v>
      </c>
      <c r="C438" s="76">
        <v>2000</v>
      </c>
      <c r="D438" s="76" t="str">
        <f t="shared" si="34"/>
        <v>A00L</v>
      </c>
      <c r="E438" s="76" t="s">
        <v>147</v>
      </c>
      <c r="F438" s="77" t="s">
        <v>1043</v>
      </c>
      <c r="G438" s="78">
        <v>0.97642365995226243</v>
      </c>
      <c r="H438" s="79">
        <v>36601</v>
      </c>
      <c r="I438" s="79">
        <v>42203</v>
      </c>
      <c r="J438" s="3">
        <f t="shared" si="32"/>
        <v>15</v>
      </c>
      <c r="K438" s="7">
        <v>-2.2410358565737365E-2</v>
      </c>
      <c r="L438" s="7">
        <v>-2.0229770229770239E-2</v>
      </c>
      <c r="M438" s="7">
        <v>-1.2801204819276601E-2</v>
      </c>
      <c r="N438" s="7">
        <v>-7.5075075075148323E-4</v>
      </c>
      <c r="O438" s="7">
        <v>1.0000000000000897E-2</v>
      </c>
      <c r="P438" s="7">
        <v>2.3856858846916795E-2</v>
      </c>
      <c r="Q438" s="7">
        <v>2.0000000000001794E-2</v>
      </c>
      <c r="R438" s="7">
        <v>-3.5000000000002252E-2</v>
      </c>
      <c r="S438" s="7">
        <v>-0.18499999999999939</v>
      </c>
      <c r="T438" s="7">
        <v>-1</v>
      </c>
      <c r="U438" s="1">
        <v>2808</v>
      </c>
      <c r="W438" s="1">
        <v>823651</v>
      </c>
    </row>
    <row r="439" spans="1:23" x14ac:dyDescent="0.25">
      <c r="A439" s="76">
        <v>3</v>
      </c>
      <c r="B439" s="76" t="s">
        <v>1283</v>
      </c>
      <c r="C439" s="76">
        <v>2000</v>
      </c>
      <c r="D439" s="76" t="str">
        <f t="shared" si="34"/>
        <v>A00L</v>
      </c>
      <c r="E439" s="76" t="s">
        <v>147</v>
      </c>
      <c r="F439" s="77" t="s">
        <v>1044</v>
      </c>
      <c r="G439" s="78">
        <v>0.97726786675271415</v>
      </c>
      <c r="H439" s="79">
        <v>42137</v>
      </c>
      <c r="I439" s="79">
        <v>42137</v>
      </c>
      <c r="J439" s="3" t="str">
        <f t="shared" si="32"/>
        <v/>
      </c>
      <c r="K439" s="7">
        <v>-2.0667330677290763E-2</v>
      </c>
      <c r="L439" s="7">
        <v>-2.2977022977022754E-2</v>
      </c>
      <c r="M439" s="7">
        <v>-1.9578313253012181E-2</v>
      </c>
      <c r="N439" s="7">
        <v>-5.5055055055053259E-3</v>
      </c>
      <c r="O439" s="7">
        <v>9.9999999999966782E-3</v>
      </c>
      <c r="P439" s="7">
        <v>1.888667992047699E-2</v>
      </c>
      <c r="Q439" s="7">
        <v>2.4999999999999911E-2</v>
      </c>
      <c r="R439" s="7">
        <v>-3.5000000000000142E-2</v>
      </c>
      <c r="S439" s="7">
        <v>-0.14499999999999957</v>
      </c>
      <c r="T439" s="7">
        <v>-1</v>
      </c>
      <c r="U439" s="1">
        <v>3895</v>
      </c>
      <c r="W439" s="1">
        <v>407038</v>
      </c>
    </row>
    <row r="440" spans="1:23" x14ac:dyDescent="0.25">
      <c r="A440" s="76">
        <v>3</v>
      </c>
      <c r="B440" s="76" t="s">
        <v>1283</v>
      </c>
      <c r="C440" s="76">
        <v>2000</v>
      </c>
      <c r="D440" s="76" t="str">
        <f t="shared" si="34"/>
        <v>A00L</v>
      </c>
      <c r="E440" s="76" t="s">
        <v>147</v>
      </c>
      <c r="F440" s="77" t="s">
        <v>1045</v>
      </c>
      <c r="G440" s="78">
        <v>0.97571833924070261</v>
      </c>
      <c r="H440" s="79">
        <v>36601</v>
      </c>
      <c r="I440" s="79">
        <v>42203</v>
      </c>
      <c r="J440" s="3">
        <f t="shared" si="32"/>
        <v>15</v>
      </c>
      <c r="K440" s="7">
        <v>-2.3655378486055811E-2</v>
      </c>
      <c r="L440" s="7">
        <v>-1.8231768231768086E-2</v>
      </c>
      <c r="M440" s="7">
        <v>-6.5261044176707639E-3</v>
      </c>
      <c r="N440" s="7">
        <v>1.4264264264264082E-2</v>
      </c>
      <c r="O440" s="7">
        <v>2.000000000000024E-2</v>
      </c>
      <c r="P440" s="7">
        <v>3.8767395626242873E-2</v>
      </c>
      <c r="Q440" s="7">
        <v>2.999999999999825E-2</v>
      </c>
      <c r="R440" s="7">
        <v>-7.9999999999998295E-2</v>
      </c>
      <c r="S440" s="7">
        <v>-0.29000000000000059</v>
      </c>
      <c r="T440" s="7">
        <v>-1</v>
      </c>
      <c r="U440" s="1">
        <v>4295</v>
      </c>
      <c r="W440" s="1">
        <v>823181</v>
      </c>
    </row>
    <row r="441" spans="1:23" x14ac:dyDescent="0.25">
      <c r="A441" s="76">
        <v>3</v>
      </c>
      <c r="B441" s="76" t="s">
        <v>1283</v>
      </c>
      <c r="C441" s="76">
        <v>2000</v>
      </c>
      <c r="D441" s="76" t="str">
        <f t="shared" si="34"/>
        <v>A00L</v>
      </c>
      <c r="E441" s="76" t="s">
        <v>147</v>
      </c>
      <c r="F441" s="77" t="s">
        <v>1046</v>
      </c>
      <c r="G441" s="78">
        <v>0.98246072482451285</v>
      </c>
      <c r="H441" s="79">
        <v>42137</v>
      </c>
      <c r="I441" s="79">
        <v>42137</v>
      </c>
      <c r="J441" s="3" t="str">
        <f t="shared" si="32"/>
        <v/>
      </c>
      <c r="K441" s="7">
        <v>-5.2290836653383632E-3</v>
      </c>
      <c r="L441" s="7">
        <v>-4.2457542457546849E-3</v>
      </c>
      <c r="M441" s="7">
        <v>-2.0080321285136371E-3</v>
      </c>
      <c r="N441" s="7">
        <v>3.0030030030032684E-3</v>
      </c>
      <c r="O441" s="7">
        <v>1.7499999999999627E-2</v>
      </c>
      <c r="P441" s="7">
        <v>2.8827037773359265E-2</v>
      </c>
      <c r="Q441" s="7">
        <v>1.5000000000000568E-2</v>
      </c>
      <c r="R441" s="7">
        <v>-4.0000000000000591E-2</v>
      </c>
      <c r="S441" s="7">
        <v>-0.1649999999999977</v>
      </c>
      <c r="T441" s="7">
        <v>-1</v>
      </c>
      <c r="U441" s="1">
        <v>3514</v>
      </c>
      <c r="W441" s="1">
        <v>453781</v>
      </c>
    </row>
    <row r="442" spans="1:23" ht="12.75" customHeight="1" x14ac:dyDescent="0.25">
      <c r="A442" s="76">
        <v>3</v>
      </c>
      <c r="B442" s="76" t="s">
        <v>54</v>
      </c>
      <c r="C442" s="76">
        <v>2006</v>
      </c>
      <c r="D442" s="76" t="str">
        <f t="shared" ref="D442:D485" si="35">LEFT(F442,4)</f>
        <v>A06A</v>
      </c>
      <c r="E442" s="76" t="s">
        <v>158</v>
      </c>
      <c r="F442" s="77" t="s">
        <v>148</v>
      </c>
      <c r="G442" s="78">
        <v>0.79145604878048792</v>
      </c>
      <c r="H442" s="79">
        <v>36609</v>
      </c>
      <c r="I442" s="79">
        <v>41727</v>
      </c>
      <c r="J442" s="3">
        <f t="shared" si="32"/>
        <v>14</v>
      </c>
      <c r="K442" s="9">
        <v>-4.561878952122822E-2</v>
      </c>
      <c r="L442" s="9">
        <v>6.1427280939476026E-2</v>
      </c>
      <c r="M442" s="9">
        <v>-0.10569105691056968</v>
      </c>
      <c r="N442" s="9">
        <v>-9.0334236675670976E-4</v>
      </c>
      <c r="O442" s="11">
        <v>-1.8333333333331758E-2</v>
      </c>
      <c r="P442" s="9">
        <v>4.9999999999992273E-3</v>
      </c>
      <c r="Q442" s="9">
        <v>-0.23499999999999843</v>
      </c>
      <c r="R442" s="9">
        <v>-0.9916666666666667</v>
      </c>
      <c r="S442" s="9">
        <v>-0.99333333333333562</v>
      </c>
      <c r="T442" s="9">
        <v>-1</v>
      </c>
      <c r="U442" s="1" t="s">
        <v>1116</v>
      </c>
      <c r="W442" s="1">
        <v>1603922</v>
      </c>
    </row>
    <row r="443" spans="1:23" ht="12.75" customHeight="1" x14ac:dyDescent="0.25">
      <c r="A443" s="76">
        <v>3</v>
      </c>
      <c r="B443" s="76" t="s">
        <v>54</v>
      </c>
      <c r="C443" s="76">
        <v>2006</v>
      </c>
      <c r="D443" s="76" t="str">
        <f t="shared" si="35"/>
        <v>A06A</v>
      </c>
      <c r="E443" s="76" t="s">
        <v>158</v>
      </c>
      <c r="F443" s="77" t="s">
        <v>149</v>
      </c>
      <c r="G443" s="78">
        <v>7.8517831978319741E-3</v>
      </c>
      <c r="H443" s="79">
        <v>39017</v>
      </c>
      <c r="I443" s="79">
        <v>42079</v>
      </c>
      <c r="J443" s="3">
        <f t="shared" si="32"/>
        <v>9</v>
      </c>
      <c r="K443" s="9">
        <v>-0.92231255645889787</v>
      </c>
      <c r="L443" s="9">
        <v>-0.91011743450767835</v>
      </c>
      <c r="M443" s="9">
        <v>-0.98509485094850946</v>
      </c>
      <c r="N443" s="9">
        <v>-0.99954832881662148</v>
      </c>
      <c r="O443" s="11">
        <v>-0.99833333333333329</v>
      </c>
      <c r="P443" s="9">
        <v>-1</v>
      </c>
      <c r="Q443" s="9">
        <v>-1</v>
      </c>
      <c r="R443" s="9">
        <v>-1</v>
      </c>
      <c r="S443" s="9">
        <v>-1</v>
      </c>
      <c r="T443" s="9">
        <v>-1</v>
      </c>
      <c r="U443" s="1" t="s">
        <v>1116</v>
      </c>
      <c r="W443" s="1">
        <v>3668908</v>
      </c>
    </row>
    <row r="444" spans="1:23" x14ac:dyDescent="0.25">
      <c r="A444" s="76">
        <v>3</v>
      </c>
      <c r="B444" s="76" t="s">
        <v>54</v>
      </c>
      <c r="C444" s="76">
        <v>2006</v>
      </c>
      <c r="D444" s="76" t="str">
        <f t="shared" si="35"/>
        <v>A06A</v>
      </c>
      <c r="E444" s="76" t="s">
        <v>158</v>
      </c>
      <c r="F444" s="77" t="s">
        <v>150</v>
      </c>
      <c r="G444" s="78">
        <v>-2.5311653116522059E-4</v>
      </c>
      <c r="H444" s="79">
        <v>38929</v>
      </c>
      <c r="I444" s="79">
        <v>42076</v>
      </c>
      <c r="J444" s="3">
        <f t="shared" si="32"/>
        <v>9</v>
      </c>
      <c r="K444" s="9">
        <v>-0.99728997289972943</v>
      </c>
      <c r="L444" s="9">
        <v>-1</v>
      </c>
      <c r="M444" s="9">
        <v>-1</v>
      </c>
      <c r="N444" s="9">
        <v>-1</v>
      </c>
      <c r="O444" s="11">
        <v>-1</v>
      </c>
      <c r="P444" s="9">
        <v>-1</v>
      </c>
      <c r="Q444" s="9">
        <v>-1</v>
      </c>
      <c r="R444" s="9">
        <v>-1</v>
      </c>
      <c r="S444" s="9">
        <v>-1</v>
      </c>
      <c r="T444" s="9">
        <v>-1</v>
      </c>
      <c r="U444" s="1" t="s">
        <v>1116</v>
      </c>
      <c r="W444" s="1">
        <v>2643014</v>
      </c>
    </row>
    <row r="445" spans="1:23" x14ac:dyDescent="0.25">
      <c r="A445" s="76">
        <v>3</v>
      </c>
      <c r="B445" s="76" t="s">
        <v>54</v>
      </c>
      <c r="C445" s="76">
        <v>2006</v>
      </c>
      <c r="D445" s="76" t="str">
        <f t="shared" si="35"/>
        <v>A06A</v>
      </c>
      <c r="E445" s="76" t="s">
        <v>158</v>
      </c>
      <c r="F445" s="77" t="s">
        <v>151</v>
      </c>
      <c r="G445" s="78">
        <v>0.89099706639566401</v>
      </c>
      <c r="H445" s="79">
        <v>38929</v>
      </c>
      <c r="I445" s="79">
        <v>42076</v>
      </c>
      <c r="J445" s="3">
        <f t="shared" si="32"/>
        <v>9</v>
      </c>
      <c r="K445" s="9">
        <v>-6.7750677506771551E-3</v>
      </c>
      <c r="L445" s="9">
        <v>-4.0650406504070258E-3</v>
      </c>
      <c r="M445" s="9">
        <v>-9.033423667569318E-4</v>
      </c>
      <c r="N445" s="9">
        <v>9.0334236675704283E-4</v>
      </c>
      <c r="O445" s="11">
        <v>1.3333333333332531E-2</v>
      </c>
      <c r="P445" s="9">
        <v>1.5000000000001457E-2</v>
      </c>
      <c r="Q445" s="9">
        <v>1.499999999999968E-2</v>
      </c>
      <c r="R445" s="9">
        <v>-2.1666666666667722E-2</v>
      </c>
      <c r="S445" s="9">
        <v>-0.98833333333333262</v>
      </c>
      <c r="T445" s="9">
        <v>-1</v>
      </c>
      <c r="U445" s="1" t="s">
        <v>1116</v>
      </c>
      <c r="W445" s="1">
        <v>1907638</v>
      </c>
    </row>
    <row r="446" spans="1:23" x14ac:dyDescent="0.25">
      <c r="A446" s="76">
        <v>3</v>
      </c>
      <c r="B446" s="76" t="s">
        <v>54</v>
      </c>
      <c r="C446" s="76">
        <v>2006</v>
      </c>
      <c r="D446" s="76" t="str">
        <f t="shared" si="35"/>
        <v>A06A</v>
      </c>
      <c r="E446" s="76" t="s">
        <v>158</v>
      </c>
      <c r="F446" s="77" t="s">
        <v>152</v>
      </c>
      <c r="G446" s="78">
        <v>0.86654012556458893</v>
      </c>
      <c r="H446" s="79">
        <v>38926</v>
      </c>
      <c r="I446" s="79">
        <v>42076</v>
      </c>
      <c r="J446" s="3">
        <f t="shared" si="32"/>
        <v>9</v>
      </c>
      <c r="K446" s="9">
        <v>2.2131887985546328E-2</v>
      </c>
      <c r="L446" s="9">
        <v>-6.0975609756097171E-2</v>
      </c>
      <c r="M446" s="9">
        <v>-6.0072267389341016E-2</v>
      </c>
      <c r="N446" s="9">
        <v>-3.1165311653116534E-2</v>
      </c>
      <c r="O446" s="11">
        <v>3.3333333333340764E-3</v>
      </c>
      <c r="P446" s="9">
        <v>-3.3333333333340764E-3</v>
      </c>
      <c r="Q446" s="9">
        <v>-8.3333333333334147E-3</v>
      </c>
      <c r="R446" s="9">
        <v>-9.1666666666666563E-2</v>
      </c>
      <c r="S446" s="9">
        <v>-0.9916666666666667</v>
      </c>
      <c r="T446" s="9">
        <v>-1</v>
      </c>
      <c r="U446" s="1" t="s">
        <v>1116</v>
      </c>
      <c r="W446" s="1">
        <v>1888501</v>
      </c>
    </row>
    <row r="447" spans="1:23" x14ac:dyDescent="0.25">
      <c r="A447" s="76">
        <v>3</v>
      </c>
      <c r="B447" s="76" t="s">
        <v>54</v>
      </c>
      <c r="C447" s="76">
        <v>2006</v>
      </c>
      <c r="D447" s="76" t="str">
        <f t="shared" si="35"/>
        <v>A06A</v>
      </c>
      <c r="E447" s="76" t="s">
        <v>158</v>
      </c>
      <c r="F447" s="77" t="s">
        <v>153</v>
      </c>
      <c r="G447" s="78">
        <v>-2.9999999999996696E-4</v>
      </c>
      <c r="H447" s="79">
        <v>38930</v>
      </c>
      <c r="I447" s="79">
        <v>42073</v>
      </c>
      <c r="J447" s="3">
        <f t="shared" si="32"/>
        <v>9</v>
      </c>
      <c r="K447" s="11">
        <v>-1</v>
      </c>
      <c r="L447" s="9">
        <v>-1</v>
      </c>
      <c r="M447" s="9">
        <v>-1</v>
      </c>
      <c r="N447" s="9">
        <v>-1</v>
      </c>
      <c r="O447" s="11">
        <v>-1</v>
      </c>
      <c r="P447" s="9">
        <v>-1</v>
      </c>
      <c r="Q447" s="9">
        <v>-1</v>
      </c>
      <c r="R447" s="9">
        <v>-1</v>
      </c>
      <c r="S447" s="9">
        <v>-1</v>
      </c>
      <c r="T447" s="9">
        <v>-1</v>
      </c>
      <c r="U447" s="1" t="s">
        <v>1116</v>
      </c>
      <c r="W447" s="1">
        <v>1553641</v>
      </c>
    </row>
    <row r="448" spans="1:23" x14ac:dyDescent="0.25">
      <c r="A448" s="76">
        <v>3</v>
      </c>
      <c r="B448" s="76" t="s">
        <v>54</v>
      </c>
      <c r="C448" s="76">
        <v>2006</v>
      </c>
      <c r="D448" s="76" t="str">
        <f t="shared" si="35"/>
        <v>A06A</v>
      </c>
      <c r="E448" s="76" t="s">
        <v>158</v>
      </c>
      <c r="F448" s="77" t="s">
        <v>154</v>
      </c>
      <c r="G448" s="78">
        <v>7.5971093044263638E-3</v>
      </c>
      <c r="H448" s="79">
        <v>38911</v>
      </c>
      <c r="I448" s="79">
        <v>42080</v>
      </c>
      <c r="J448" s="3">
        <f t="shared" si="32"/>
        <v>9</v>
      </c>
      <c r="K448" s="9">
        <v>-0.96115627822944838</v>
      </c>
      <c r="L448" s="9">
        <v>-0.87895212285456203</v>
      </c>
      <c r="M448" s="9">
        <v>-0.99819331526648658</v>
      </c>
      <c r="N448" s="9">
        <v>-1</v>
      </c>
      <c r="O448" s="11">
        <v>-1</v>
      </c>
      <c r="P448" s="9">
        <v>-1</v>
      </c>
      <c r="Q448" s="9">
        <v>-1</v>
      </c>
      <c r="R448" s="9">
        <v>-1</v>
      </c>
      <c r="S448" s="9">
        <v>-1</v>
      </c>
      <c r="T448" s="9">
        <v>-1</v>
      </c>
      <c r="U448" s="1" t="s">
        <v>1116</v>
      </c>
      <c r="W448" s="1">
        <v>3259668</v>
      </c>
    </row>
    <row r="449" spans="1:23" x14ac:dyDescent="0.25">
      <c r="A449" s="76">
        <v>3</v>
      </c>
      <c r="B449" s="76" t="s">
        <v>54</v>
      </c>
      <c r="C449" s="76">
        <v>2006</v>
      </c>
      <c r="D449" s="76" t="str">
        <f t="shared" si="35"/>
        <v>A06A</v>
      </c>
      <c r="E449" s="76" t="s">
        <v>158</v>
      </c>
      <c r="F449" s="77" t="s">
        <v>155</v>
      </c>
      <c r="G449" s="78">
        <v>1.5327822944896097E-2</v>
      </c>
      <c r="H449" s="79">
        <v>38915</v>
      </c>
      <c r="I449" s="79">
        <v>42079</v>
      </c>
      <c r="J449" s="3">
        <f t="shared" si="32"/>
        <v>9</v>
      </c>
      <c r="K449" s="9">
        <v>-9.665763324299903E-2</v>
      </c>
      <c r="L449" s="9">
        <v>-1</v>
      </c>
      <c r="M449" s="9">
        <v>-1</v>
      </c>
      <c r="N449" s="9">
        <v>-1</v>
      </c>
      <c r="O449" s="11">
        <v>-1</v>
      </c>
      <c r="P449" s="9">
        <v>-1</v>
      </c>
      <c r="Q449" s="9">
        <v>-1</v>
      </c>
      <c r="R449" s="9">
        <v>-1</v>
      </c>
      <c r="S449" s="9">
        <v>-1</v>
      </c>
      <c r="T449" s="9">
        <v>-1</v>
      </c>
      <c r="U449" s="1" t="s">
        <v>1116</v>
      </c>
      <c r="W449" s="1">
        <v>2639718</v>
      </c>
    </row>
    <row r="450" spans="1:23" x14ac:dyDescent="0.25">
      <c r="A450" s="76">
        <v>3</v>
      </c>
      <c r="B450" s="76" t="s">
        <v>54</v>
      </c>
      <c r="C450" s="76">
        <v>2006</v>
      </c>
      <c r="D450" s="76" t="str">
        <f t="shared" si="35"/>
        <v>A06A</v>
      </c>
      <c r="E450" s="76" t="s">
        <v>158</v>
      </c>
      <c r="F450" s="77" t="s">
        <v>156</v>
      </c>
      <c r="G450" s="78">
        <v>0.8809954349593494</v>
      </c>
      <c r="H450" s="79">
        <v>38926</v>
      </c>
      <c r="I450" s="79">
        <v>42076</v>
      </c>
      <c r="J450" s="3">
        <f t="shared" si="32"/>
        <v>9</v>
      </c>
      <c r="K450" s="9">
        <v>1.8518518518518601E-2</v>
      </c>
      <c r="L450" s="9">
        <v>-8.5817524841913517E-3</v>
      </c>
      <c r="M450" s="9">
        <v>-8.4462511291779396E-2</v>
      </c>
      <c r="N450" s="9">
        <v>0.10298102981029733</v>
      </c>
      <c r="O450" s="11">
        <v>2.8333333333333321E-2</v>
      </c>
      <c r="P450" s="9">
        <v>2.1666666666666279E-2</v>
      </c>
      <c r="Q450" s="9">
        <v>-5.1666666666666083E-2</v>
      </c>
      <c r="R450" s="9">
        <v>-0.26666666666666672</v>
      </c>
      <c r="S450" s="9">
        <v>-0.99000000000000055</v>
      </c>
      <c r="T450" s="9">
        <v>-1</v>
      </c>
      <c r="U450" s="1" t="s">
        <v>1116</v>
      </c>
      <c r="W450" s="1">
        <v>1911961</v>
      </c>
    </row>
    <row r="451" spans="1:23" x14ac:dyDescent="0.25">
      <c r="A451" s="76">
        <v>3</v>
      </c>
      <c r="B451" s="76" t="s">
        <v>54</v>
      </c>
      <c r="C451" s="76">
        <v>2006</v>
      </c>
      <c r="D451" s="76" t="str">
        <f t="shared" si="35"/>
        <v>A06A</v>
      </c>
      <c r="E451" s="76" t="s">
        <v>158</v>
      </c>
      <c r="F451" s="77" t="s">
        <v>157</v>
      </c>
      <c r="G451" s="78">
        <v>0.96116326919602546</v>
      </c>
      <c r="H451" s="79">
        <v>38925</v>
      </c>
      <c r="I451" s="79">
        <v>42074</v>
      </c>
      <c r="J451" s="3">
        <f t="shared" si="32"/>
        <v>9</v>
      </c>
      <c r="K451" s="9">
        <v>2.2131887985546328E-2</v>
      </c>
      <c r="L451" s="9">
        <v>2.1680216802168362E-2</v>
      </c>
      <c r="M451" s="9">
        <v>2.2131887985546328E-2</v>
      </c>
      <c r="N451" s="9">
        <v>4.6070460704606964E-2</v>
      </c>
      <c r="O451" s="11">
        <v>6.1666666666667425E-2</v>
      </c>
      <c r="P451" s="9">
        <v>5.8333333333333348E-2</v>
      </c>
      <c r="Q451" s="9">
        <v>6.1666666666665426E-2</v>
      </c>
      <c r="R451" s="9">
        <v>4.5000000000000817E-2</v>
      </c>
      <c r="S451" s="9">
        <v>-0.53999999999999959</v>
      </c>
      <c r="T451" s="9">
        <v>-1</v>
      </c>
      <c r="U451" s="1" t="s">
        <v>1116</v>
      </c>
      <c r="W451" s="1">
        <v>3943739</v>
      </c>
    </row>
    <row r="452" spans="1:23" x14ac:dyDescent="0.25">
      <c r="A452" s="76">
        <v>3</v>
      </c>
      <c r="B452" s="76" t="s">
        <v>54</v>
      </c>
      <c r="C452" s="76">
        <v>2004</v>
      </c>
      <c r="D452" s="76" t="str">
        <f t="shared" si="35"/>
        <v>A04F</v>
      </c>
      <c r="E452" s="76" t="s">
        <v>32</v>
      </c>
      <c r="F452" s="77" t="s">
        <v>159</v>
      </c>
      <c r="G452" s="78">
        <v>0.86824559920642475</v>
      </c>
      <c r="H452" s="79">
        <v>38923</v>
      </c>
      <c r="I452" s="79">
        <v>42072</v>
      </c>
      <c r="J452" s="3">
        <f t="shared" si="32"/>
        <v>9</v>
      </c>
      <c r="K452" s="7">
        <v>-1.5124555160142994E-2</v>
      </c>
      <c r="L452" s="7">
        <v>-8.4670231729042644E-3</v>
      </c>
      <c r="M452" s="7">
        <v>-4.4563279857390281E-4</v>
      </c>
      <c r="N452" s="7">
        <v>2.673796791443861E-3</v>
      </c>
      <c r="O452" s="7">
        <v>-3.3333333333340764E-3</v>
      </c>
      <c r="P452" s="7">
        <v>-6.6666666666662655E-3</v>
      </c>
      <c r="Q452" s="7">
        <v>-3.5000000000000364E-2</v>
      </c>
      <c r="R452" s="7">
        <v>-0.16000000000000036</v>
      </c>
      <c r="S452" s="7">
        <v>-0.99499999999999889</v>
      </c>
      <c r="T452" s="7">
        <v>-1</v>
      </c>
      <c r="U452" s="1" t="s">
        <v>1116</v>
      </c>
      <c r="W452" s="1">
        <v>4368551</v>
      </c>
    </row>
    <row r="453" spans="1:23" x14ac:dyDescent="0.25">
      <c r="A453" s="76">
        <v>3</v>
      </c>
      <c r="B453" s="76" t="s">
        <v>54</v>
      </c>
      <c r="C453" s="76">
        <v>2004</v>
      </c>
      <c r="D453" s="76" t="str">
        <f t="shared" si="35"/>
        <v>A04F</v>
      </c>
      <c r="E453" s="76" t="s">
        <v>32</v>
      </c>
      <c r="F453" s="77" t="s">
        <v>160</v>
      </c>
      <c r="G453" s="78">
        <v>0.87785377381835938</v>
      </c>
      <c r="H453" s="79">
        <v>38174</v>
      </c>
      <c r="I453" s="79">
        <v>42075</v>
      </c>
      <c r="J453" s="3">
        <f t="shared" ref="J453:J516" si="36">IF(YEAR(I453)-YEAR(H453)=0,"",YEAR(I453)-YEAR(H453))</f>
        <v>11</v>
      </c>
      <c r="K453" s="7">
        <v>-1.9572953736654464E-2</v>
      </c>
      <c r="L453" s="7">
        <v>-4.0106951871666796E-3</v>
      </c>
      <c r="M453" s="7">
        <v>4.0106951871656804E-3</v>
      </c>
      <c r="N453" s="7">
        <v>7.1301247771835552E-3</v>
      </c>
      <c r="O453" s="7">
        <v>4.9999999999992273E-3</v>
      </c>
      <c r="P453" s="7">
        <v>-6.6666666666662655E-3</v>
      </c>
      <c r="Q453" s="7">
        <v>1.6666666666671492E-3</v>
      </c>
      <c r="R453" s="7">
        <v>-0.10166666666666713</v>
      </c>
      <c r="S453" s="7">
        <v>-0.99666666666666592</v>
      </c>
      <c r="T453" s="7">
        <v>-1</v>
      </c>
      <c r="U453" s="1" t="s">
        <v>1116</v>
      </c>
      <c r="W453" s="1">
        <v>1953257</v>
      </c>
    </row>
    <row r="454" spans="1:23" x14ac:dyDescent="0.25">
      <c r="A454" s="76">
        <v>3</v>
      </c>
      <c r="B454" s="76" t="s">
        <v>54</v>
      </c>
      <c r="C454" s="76">
        <v>2004</v>
      </c>
      <c r="D454" s="76" t="str">
        <f t="shared" si="35"/>
        <v>A04F</v>
      </c>
      <c r="E454" s="76" t="s">
        <v>32</v>
      </c>
      <c r="F454" s="77" t="s">
        <v>161</v>
      </c>
      <c r="G454" s="78">
        <v>0.8771446619439105</v>
      </c>
      <c r="H454" s="79">
        <v>38161</v>
      </c>
      <c r="I454" s="79">
        <v>42075</v>
      </c>
      <c r="J454" s="3">
        <f t="shared" si="36"/>
        <v>11</v>
      </c>
      <c r="K454" s="7">
        <v>-1.5569395017793641E-2</v>
      </c>
      <c r="L454" s="7">
        <v>1.1586452762923471E-2</v>
      </c>
      <c r="M454" s="7">
        <v>1.648841354723718E-2</v>
      </c>
      <c r="N454" s="7">
        <v>1.3368983957219305E-2</v>
      </c>
      <c r="O454" s="7">
        <v>0</v>
      </c>
      <c r="P454" s="7">
        <v>-3.3333333333340764E-3</v>
      </c>
      <c r="Q454" s="7">
        <v>-1.8333333333331758E-2</v>
      </c>
      <c r="R454" s="7">
        <v>-0.125</v>
      </c>
      <c r="S454" s="7">
        <v>-0.99500000000000077</v>
      </c>
      <c r="T454" s="7">
        <v>-1</v>
      </c>
      <c r="U454" s="1" t="s">
        <v>1116</v>
      </c>
      <c r="W454" s="1">
        <v>433322</v>
      </c>
    </row>
    <row r="455" spans="1:23" x14ac:dyDescent="0.25">
      <c r="A455" s="76">
        <v>3</v>
      </c>
      <c r="B455" s="76" t="s">
        <v>54</v>
      </c>
      <c r="C455" s="76">
        <v>2004</v>
      </c>
      <c r="D455" s="76" t="str">
        <f t="shared" si="35"/>
        <v>A04F</v>
      </c>
      <c r="E455" s="76" t="s">
        <v>32</v>
      </c>
      <c r="F455" s="77" t="s">
        <v>162</v>
      </c>
      <c r="G455" s="78">
        <v>0.84258885271598105</v>
      </c>
      <c r="H455" s="79">
        <v>38176</v>
      </c>
      <c r="I455" s="79">
        <v>42076</v>
      </c>
      <c r="J455" s="3">
        <f t="shared" si="36"/>
        <v>11</v>
      </c>
      <c r="K455" s="7">
        <v>-2.3576512455515952E-2</v>
      </c>
      <c r="L455" s="7">
        <v>4.0106951871661245E-3</v>
      </c>
      <c r="M455" s="7">
        <v>-8.4670231729053747E-3</v>
      </c>
      <c r="N455" s="7">
        <v>4.0106951871654584E-3</v>
      </c>
      <c r="O455" s="7">
        <v>-6.6666666666682639E-3</v>
      </c>
      <c r="P455" s="7">
        <v>-1.3333333333332531E-2</v>
      </c>
      <c r="Q455" s="7">
        <v>-0.10666666666666436</v>
      </c>
      <c r="R455" s="7">
        <v>-0.42500000000000004</v>
      </c>
      <c r="S455" s="7">
        <v>-0.9966666666666697</v>
      </c>
      <c r="T455" s="7">
        <v>-1</v>
      </c>
      <c r="U455" s="1" t="s">
        <v>1116</v>
      </c>
      <c r="W455" s="1">
        <v>3257541</v>
      </c>
    </row>
    <row r="456" spans="1:23" x14ac:dyDescent="0.25">
      <c r="A456" s="76">
        <v>3</v>
      </c>
      <c r="B456" s="76" t="s">
        <v>54</v>
      </c>
      <c r="C456" s="76">
        <v>2004</v>
      </c>
      <c r="D456" s="76" t="str">
        <f t="shared" si="35"/>
        <v>A04F</v>
      </c>
      <c r="E456" s="76" t="s">
        <v>32</v>
      </c>
      <c r="F456" s="77" t="s">
        <v>163</v>
      </c>
      <c r="G456" s="78">
        <v>0.88046345218566213</v>
      </c>
      <c r="H456" s="79">
        <v>38253</v>
      </c>
      <c r="I456" s="79">
        <v>42076</v>
      </c>
      <c r="J456" s="3">
        <f t="shared" si="36"/>
        <v>11</v>
      </c>
      <c r="K456" s="7">
        <v>-1.2900355871886759E-2</v>
      </c>
      <c r="L456" s="7">
        <v>6.6844919786099855E-3</v>
      </c>
      <c r="M456" s="7">
        <v>5.7932263814619578E-3</v>
      </c>
      <c r="N456" s="7">
        <v>1.5151515151515138E-2</v>
      </c>
      <c r="O456" s="7">
        <v>3.3333333333340764E-3</v>
      </c>
      <c r="P456" s="7">
        <v>-1.6666666666689256E-3</v>
      </c>
      <c r="Q456" s="7">
        <v>0</v>
      </c>
      <c r="R456" s="7">
        <v>-9.9999999999998423E-2</v>
      </c>
      <c r="S456" s="7">
        <v>-0.9966666666666667</v>
      </c>
      <c r="T456" s="7">
        <v>-1</v>
      </c>
      <c r="U456" s="1" t="s">
        <v>1116</v>
      </c>
      <c r="W456" s="1">
        <v>4392396</v>
      </c>
    </row>
    <row r="457" spans="1:23" x14ac:dyDescent="0.25">
      <c r="A457" s="76">
        <v>3</v>
      </c>
      <c r="B457" s="76" t="s">
        <v>54</v>
      </c>
      <c r="C457" s="76">
        <v>2004</v>
      </c>
      <c r="D457" s="76" t="str">
        <f t="shared" si="35"/>
        <v>A04F</v>
      </c>
      <c r="E457" s="76" t="s">
        <v>32</v>
      </c>
      <c r="F457" s="77" t="s">
        <v>164</v>
      </c>
      <c r="G457" s="78">
        <v>0.87916186992279988</v>
      </c>
      <c r="H457" s="79">
        <v>38311</v>
      </c>
      <c r="I457" s="79">
        <v>42079</v>
      </c>
      <c r="J457" s="3">
        <f t="shared" si="36"/>
        <v>11</v>
      </c>
      <c r="K457" s="7">
        <v>-2.8469750889679846E-2</v>
      </c>
      <c r="L457" s="7">
        <v>-1.1586452762923471E-2</v>
      </c>
      <c r="M457" s="7">
        <v>-2.228163992869403E-3</v>
      </c>
      <c r="N457" s="7">
        <v>-1.3368983957222635E-3</v>
      </c>
      <c r="O457" s="7">
        <v>1.6666666666689256E-3</v>
      </c>
      <c r="P457" s="7">
        <v>-4.9999999999992273E-3</v>
      </c>
      <c r="Q457" s="7">
        <v>1.1666666666664494E-2</v>
      </c>
      <c r="R457" s="7">
        <v>-5.8333333333333348E-2</v>
      </c>
      <c r="S457" s="7">
        <v>-0.99499999999999977</v>
      </c>
      <c r="T457" s="7">
        <v>-1</v>
      </c>
      <c r="U457" s="1" t="s">
        <v>1116</v>
      </c>
      <c r="W457" s="1">
        <v>4428226</v>
      </c>
    </row>
    <row r="458" spans="1:23" x14ac:dyDescent="0.25">
      <c r="A458" s="76">
        <v>3</v>
      </c>
      <c r="B458" s="76" t="s">
        <v>54</v>
      </c>
      <c r="C458" s="76">
        <v>2004</v>
      </c>
      <c r="D458" s="76" t="str">
        <f t="shared" si="35"/>
        <v>A04F</v>
      </c>
      <c r="E458" s="76" t="s">
        <v>32</v>
      </c>
      <c r="F458" s="77" t="s">
        <v>165</v>
      </c>
      <c r="G458" s="78">
        <v>0.87406404185142206</v>
      </c>
      <c r="H458" s="79">
        <v>38202</v>
      </c>
      <c r="I458" s="79">
        <v>42081</v>
      </c>
      <c r="J458" s="3">
        <f t="shared" si="36"/>
        <v>11</v>
      </c>
      <c r="K458" s="7">
        <v>-2.2241992882563455E-3</v>
      </c>
      <c r="L458" s="7">
        <v>8.9126559714780562E-4</v>
      </c>
      <c r="M458" s="7">
        <v>1.648841354723718E-2</v>
      </c>
      <c r="N458" s="7">
        <v>1.0249554367201652E-2</v>
      </c>
      <c r="O458" s="7">
        <v>1.6666666666671492E-3</v>
      </c>
      <c r="P458" s="7">
        <v>-8.3333333333334147E-3</v>
      </c>
      <c r="Q458" s="7">
        <v>1.4999999999997682E-2</v>
      </c>
      <c r="R458" s="7">
        <v>-0.18166666666666431</v>
      </c>
      <c r="S458" s="7">
        <v>-0.99666666666666592</v>
      </c>
      <c r="T458" s="7">
        <v>-1</v>
      </c>
      <c r="U458" s="1" t="s">
        <v>1116</v>
      </c>
      <c r="W458" s="1">
        <v>756253</v>
      </c>
    </row>
    <row r="459" spans="1:23" x14ac:dyDescent="0.25">
      <c r="A459" s="76">
        <v>3</v>
      </c>
      <c r="B459" s="76" t="s">
        <v>54</v>
      </c>
      <c r="C459" s="76">
        <v>2004</v>
      </c>
      <c r="D459" s="76" t="str">
        <f t="shared" si="35"/>
        <v>A04F</v>
      </c>
      <c r="E459" s="76" t="s">
        <v>32</v>
      </c>
      <c r="F459" s="77" t="s">
        <v>166</v>
      </c>
      <c r="G459" s="78">
        <v>0.87947216953711238</v>
      </c>
      <c r="H459" s="79">
        <v>38174</v>
      </c>
      <c r="I459" s="79">
        <v>42062</v>
      </c>
      <c r="J459" s="3">
        <f t="shared" si="36"/>
        <v>11</v>
      </c>
      <c r="K459" s="7">
        <v>-9.3416370106760294E-3</v>
      </c>
      <c r="L459" s="7">
        <v>-9.3582887700537354E-3</v>
      </c>
      <c r="M459" s="7">
        <v>8.0213903743318049E-3</v>
      </c>
      <c r="N459" s="7">
        <v>8.9126559714800546E-3</v>
      </c>
      <c r="O459" s="7">
        <v>8.3333333333310833E-3</v>
      </c>
      <c r="P459" s="7">
        <v>0</v>
      </c>
      <c r="Q459" s="7">
        <v>-1.3333333333333308E-2</v>
      </c>
      <c r="R459" s="7">
        <v>-0.10166666666666657</v>
      </c>
      <c r="S459" s="7">
        <v>-0.99666666666666681</v>
      </c>
      <c r="T459" s="7">
        <v>-1</v>
      </c>
      <c r="U459" s="1" t="s">
        <v>1116</v>
      </c>
      <c r="W459" s="1">
        <v>1773348</v>
      </c>
    </row>
    <row r="460" spans="1:23" x14ac:dyDescent="0.25">
      <c r="A460" s="76">
        <v>3</v>
      </c>
      <c r="B460" s="76" t="s">
        <v>54</v>
      </c>
      <c r="C460" s="76">
        <v>2004</v>
      </c>
      <c r="D460" s="76" t="str">
        <f t="shared" si="35"/>
        <v>A04F</v>
      </c>
      <c r="E460" s="76" t="s">
        <v>32</v>
      </c>
      <c r="F460" s="77" t="s">
        <v>167</v>
      </c>
      <c r="G460" s="78">
        <v>0.84269010424635682</v>
      </c>
      <c r="H460" s="79">
        <v>38174</v>
      </c>
      <c r="I460" s="79">
        <v>42062</v>
      </c>
      <c r="J460" s="3">
        <f t="shared" si="36"/>
        <v>11</v>
      </c>
      <c r="K460" s="7">
        <v>-2.2686832740213547E-2</v>
      </c>
      <c r="L460" s="7">
        <v>3.5650623885918886E-3</v>
      </c>
      <c r="M460" s="7">
        <v>-8.0213903743314718E-3</v>
      </c>
      <c r="N460" s="7">
        <v>3.5650623885918886E-3</v>
      </c>
      <c r="O460" s="7">
        <v>-5.0000000000031131E-3</v>
      </c>
      <c r="P460" s="7">
        <v>-1.4999999999997682E-2</v>
      </c>
      <c r="Q460" s="7">
        <v>-0.10499999999999921</v>
      </c>
      <c r="R460" s="7">
        <v>-0.42500000000000004</v>
      </c>
      <c r="S460" s="7">
        <v>-0.9966666666666697</v>
      </c>
      <c r="T460" s="7">
        <v>-1</v>
      </c>
      <c r="U460" s="1" t="s">
        <v>1116</v>
      </c>
      <c r="W460" s="1">
        <v>1661272</v>
      </c>
    </row>
    <row r="461" spans="1:23" x14ac:dyDescent="0.25">
      <c r="A461" s="76">
        <v>3</v>
      </c>
      <c r="B461" s="76" t="s">
        <v>54</v>
      </c>
      <c r="C461" s="76">
        <v>2004</v>
      </c>
      <c r="D461" s="76" t="str">
        <f t="shared" si="35"/>
        <v>A04F</v>
      </c>
      <c r="E461" s="76" t="s">
        <v>32</v>
      </c>
      <c r="F461" s="77" t="s">
        <v>168</v>
      </c>
      <c r="G461" s="78">
        <v>0.84643223967432313</v>
      </c>
      <c r="H461" s="79">
        <v>38170</v>
      </c>
      <c r="I461" s="79">
        <v>42076</v>
      </c>
      <c r="J461" s="3">
        <f t="shared" si="36"/>
        <v>11</v>
      </c>
      <c r="K461" s="7">
        <v>-4.44839857651258E-3</v>
      </c>
      <c r="L461" s="7">
        <v>1.5151515151515138E-2</v>
      </c>
      <c r="M461" s="7">
        <v>2.6292335115864374E-2</v>
      </c>
      <c r="N461" s="7">
        <v>2.7629233511587081E-2</v>
      </c>
      <c r="O461" s="7">
        <v>1.1666666666663605E-2</v>
      </c>
      <c r="P461" s="7">
        <v>1.8333333333335755E-2</v>
      </c>
      <c r="Q461" s="7">
        <v>-0.16666666666666663</v>
      </c>
      <c r="R461" s="7">
        <v>-0.57000000000000073</v>
      </c>
      <c r="S461" s="7">
        <v>-0.99666666666666592</v>
      </c>
      <c r="T461" s="7">
        <v>-1</v>
      </c>
      <c r="U461" s="1" t="s">
        <v>1116</v>
      </c>
      <c r="W461" s="1">
        <v>1461451</v>
      </c>
    </row>
    <row r="462" spans="1:23" x14ac:dyDescent="0.25">
      <c r="A462" s="76">
        <v>3</v>
      </c>
      <c r="B462" s="76" t="s">
        <v>54</v>
      </c>
      <c r="C462" s="76">
        <v>2004</v>
      </c>
      <c r="D462" s="76" t="str">
        <f t="shared" si="35"/>
        <v>A04F</v>
      </c>
      <c r="E462" s="76" t="s">
        <v>32</v>
      </c>
      <c r="F462" s="77" t="s">
        <v>324</v>
      </c>
      <c r="G462" s="78">
        <v>0.89114143872662166</v>
      </c>
      <c r="H462" s="79">
        <v>38275</v>
      </c>
      <c r="I462" s="79">
        <v>41607</v>
      </c>
      <c r="J462" s="3">
        <f t="shared" si="36"/>
        <v>9</v>
      </c>
      <c r="U462" s="1">
        <v>503</v>
      </c>
      <c r="W462" s="1">
        <v>4416732</v>
      </c>
    </row>
    <row r="463" spans="1:23" x14ac:dyDescent="0.25">
      <c r="A463" s="76">
        <v>3</v>
      </c>
      <c r="B463" s="76" t="s">
        <v>54</v>
      </c>
      <c r="C463" s="76">
        <v>2004</v>
      </c>
      <c r="D463" s="76" t="str">
        <f t="shared" si="35"/>
        <v>A04F</v>
      </c>
      <c r="E463" s="76" t="s">
        <v>32</v>
      </c>
      <c r="F463" s="77" t="s">
        <v>308</v>
      </c>
      <c r="G463" s="78">
        <v>0.82717105519493095</v>
      </c>
      <c r="H463" s="79">
        <v>38223</v>
      </c>
      <c r="I463" s="79">
        <v>41607</v>
      </c>
      <c r="J463" s="3">
        <f t="shared" si="36"/>
        <v>9</v>
      </c>
      <c r="U463" s="1">
        <v>1357</v>
      </c>
      <c r="W463" s="1">
        <v>2358174</v>
      </c>
    </row>
    <row r="464" spans="1:23" x14ac:dyDescent="0.25">
      <c r="A464" s="76">
        <v>3</v>
      </c>
      <c r="B464" s="76" t="s">
        <v>54</v>
      </c>
      <c r="C464" s="76">
        <v>2004</v>
      </c>
      <c r="D464" s="76" t="str">
        <f t="shared" si="35"/>
        <v>A04F</v>
      </c>
      <c r="E464" s="76" t="s">
        <v>32</v>
      </c>
      <c r="F464" s="77" t="s">
        <v>309</v>
      </c>
      <c r="G464" s="78">
        <v>0.82493435469389798</v>
      </c>
      <c r="H464" s="79">
        <v>38223</v>
      </c>
      <c r="I464" s="79">
        <v>41607</v>
      </c>
      <c r="J464" s="3">
        <f t="shared" si="36"/>
        <v>9</v>
      </c>
      <c r="U464" s="1">
        <v>1194</v>
      </c>
      <c r="W464" s="1">
        <v>2357968</v>
      </c>
    </row>
    <row r="465" spans="1:23" x14ac:dyDescent="0.25">
      <c r="A465" s="76">
        <v>3</v>
      </c>
      <c r="B465" s="76" t="s">
        <v>54</v>
      </c>
      <c r="C465" s="76">
        <v>2004</v>
      </c>
      <c r="D465" s="76" t="str">
        <f t="shared" si="35"/>
        <v>A04F</v>
      </c>
      <c r="E465" s="76" t="s">
        <v>32</v>
      </c>
      <c r="F465" s="77" t="s">
        <v>310</v>
      </c>
      <c r="G465" s="78">
        <v>0.73709018869585108</v>
      </c>
      <c r="H465" s="79">
        <v>38231</v>
      </c>
      <c r="I465" s="79">
        <v>41611</v>
      </c>
      <c r="J465" s="3">
        <f t="shared" si="36"/>
        <v>9</v>
      </c>
      <c r="U465" s="1">
        <v>2345</v>
      </c>
      <c r="W465" s="1">
        <v>2366118</v>
      </c>
    </row>
    <row r="466" spans="1:23" x14ac:dyDescent="0.25">
      <c r="A466" s="76">
        <v>3</v>
      </c>
      <c r="B466" s="76" t="s">
        <v>54</v>
      </c>
      <c r="C466" s="76">
        <v>2004</v>
      </c>
      <c r="D466" s="76" t="str">
        <f t="shared" si="35"/>
        <v>A04F</v>
      </c>
      <c r="E466" s="76" t="s">
        <v>32</v>
      </c>
      <c r="F466" s="77" t="s">
        <v>311</v>
      </c>
      <c r="G466" s="78">
        <v>0.88043392829352141</v>
      </c>
      <c r="H466" s="79">
        <v>38219</v>
      </c>
      <c r="I466" s="79">
        <v>41610</v>
      </c>
      <c r="J466" s="3">
        <f t="shared" si="36"/>
        <v>9</v>
      </c>
      <c r="U466" s="1">
        <v>1491</v>
      </c>
      <c r="W466" s="1">
        <v>2356872</v>
      </c>
    </row>
    <row r="467" spans="1:23" x14ac:dyDescent="0.25">
      <c r="A467" s="76">
        <v>3</v>
      </c>
      <c r="B467" s="76" t="s">
        <v>54</v>
      </c>
      <c r="C467" s="76">
        <v>2004</v>
      </c>
      <c r="D467" s="76" t="str">
        <f t="shared" si="35"/>
        <v>A04F</v>
      </c>
      <c r="E467" s="76" t="s">
        <v>32</v>
      </c>
      <c r="F467" s="77" t="s">
        <v>312</v>
      </c>
      <c r="G467" s="78">
        <v>0.88840862501194306</v>
      </c>
      <c r="H467" s="79">
        <v>38231</v>
      </c>
      <c r="I467" s="79">
        <v>41611</v>
      </c>
      <c r="J467" s="3">
        <f t="shared" si="36"/>
        <v>9</v>
      </c>
      <c r="U467" s="1">
        <v>2405</v>
      </c>
      <c r="W467" s="1">
        <v>2365987</v>
      </c>
    </row>
    <row r="468" spans="1:23" x14ac:dyDescent="0.25">
      <c r="A468" s="76">
        <v>3</v>
      </c>
      <c r="B468" s="76" t="s">
        <v>54</v>
      </c>
      <c r="C468" s="76">
        <v>2004</v>
      </c>
      <c r="D468" s="76" t="str">
        <f t="shared" si="35"/>
        <v>A04F</v>
      </c>
      <c r="E468" s="76" t="s">
        <v>32</v>
      </c>
      <c r="F468" s="77" t="s">
        <v>313</v>
      </c>
      <c r="G468" s="78">
        <v>0.8135325974554044</v>
      </c>
      <c r="H468" s="79">
        <v>38243</v>
      </c>
      <c r="I468" s="79">
        <v>41611</v>
      </c>
      <c r="J468" s="3">
        <f t="shared" si="36"/>
        <v>9</v>
      </c>
      <c r="U468" s="1">
        <v>1336</v>
      </c>
      <c r="W468" s="1">
        <v>2371405</v>
      </c>
    </row>
    <row r="469" spans="1:23" x14ac:dyDescent="0.25">
      <c r="A469" s="76">
        <v>3</v>
      </c>
      <c r="B469" s="76" t="s">
        <v>54</v>
      </c>
      <c r="C469" s="76">
        <v>2004</v>
      </c>
      <c r="D469" s="76" t="str">
        <f t="shared" si="35"/>
        <v>A04F</v>
      </c>
      <c r="E469" s="76" t="s">
        <v>32</v>
      </c>
      <c r="F469" s="77" t="s">
        <v>314</v>
      </c>
      <c r="G469" s="78">
        <v>0.81799548338048012</v>
      </c>
      <c r="H469" s="79">
        <v>38246</v>
      </c>
      <c r="I469" s="79">
        <v>41627</v>
      </c>
      <c r="J469" s="3">
        <f t="shared" si="36"/>
        <v>9</v>
      </c>
      <c r="U469" s="1">
        <v>1324</v>
      </c>
      <c r="W469" s="1">
        <v>2369338</v>
      </c>
    </row>
    <row r="470" spans="1:23" x14ac:dyDescent="0.25">
      <c r="A470" s="76">
        <v>3</v>
      </c>
      <c r="B470" s="76" t="s">
        <v>54</v>
      </c>
      <c r="C470" s="76">
        <v>2004</v>
      </c>
      <c r="D470" s="76" t="str">
        <f t="shared" si="35"/>
        <v>A04F</v>
      </c>
      <c r="E470" s="76" t="s">
        <v>32</v>
      </c>
      <c r="F470" s="77" t="s">
        <v>315</v>
      </c>
      <c r="G470" s="78">
        <v>0.44428973333333355</v>
      </c>
      <c r="H470" s="79">
        <v>38219</v>
      </c>
      <c r="I470" s="79">
        <v>41334</v>
      </c>
      <c r="J470" s="3">
        <f t="shared" si="36"/>
        <v>9</v>
      </c>
      <c r="U470" s="1">
        <v>1885</v>
      </c>
      <c r="W470" s="1">
        <v>2352427</v>
      </c>
    </row>
    <row r="471" spans="1:23" x14ac:dyDescent="0.25">
      <c r="A471" s="76">
        <v>3</v>
      </c>
      <c r="B471" s="76" t="s">
        <v>54</v>
      </c>
      <c r="C471" s="76">
        <v>2004</v>
      </c>
      <c r="D471" s="76" t="str">
        <f t="shared" si="35"/>
        <v>A04F</v>
      </c>
      <c r="E471" s="76" t="s">
        <v>32</v>
      </c>
      <c r="F471" s="77" t="s">
        <v>316</v>
      </c>
      <c r="G471" s="78">
        <v>0.66298666666666717</v>
      </c>
      <c r="H471" s="79">
        <v>38217</v>
      </c>
      <c r="I471" s="79">
        <v>41320</v>
      </c>
      <c r="J471" s="3">
        <f t="shared" si="36"/>
        <v>9</v>
      </c>
      <c r="U471" s="1">
        <v>1990</v>
      </c>
      <c r="W471" s="1">
        <v>2425467</v>
      </c>
    </row>
    <row r="472" spans="1:23" x14ac:dyDescent="0.25">
      <c r="A472" s="76">
        <v>3</v>
      </c>
      <c r="B472" s="76" t="s">
        <v>54</v>
      </c>
      <c r="C472" s="76">
        <v>2004</v>
      </c>
      <c r="D472" s="76" t="str">
        <f t="shared" si="35"/>
        <v>A04F</v>
      </c>
      <c r="E472" s="76" t="s">
        <v>32</v>
      </c>
      <c r="F472" s="77" t="s">
        <v>317</v>
      </c>
      <c r="G472" s="78">
        <v>0.59509460000000003</v>
      </c>
      <c r="H472" s="79">
        <v>38217</v>
      </c>
      <c r="I472" s="79"/>
      <c r="J472" s="3">
        <f t="shared" si="36"/>
        <v>-104</v>
      </c>
      <c r="U472" s="1" t="s">
        <v>1116</v>
      </c>
      <c r="W472" s="1">
        <v>2425531</v>
      </c>
    </row>
    <row r="473" spans="1:23" x14ac:dyDescent="0.25">
      <c r="A473" s="76">
        <v>3</v>
      </c>
      <c r="B473" s="76" t="s">
        <v>54</v>
      </c>
      <c r="C473" s="76">
        <v>2004</v>
      </c>
      <c r="D473" s="76" t="str">
        <f t="shared" si="35"/>
        <v>A04F</v>
      </c>
      <c r="E473" s="76" t="s">
        <v>32</v>
      </c>
      <c r="F473" s="77" t="s">
        <v>318</v>
      </c>
      <c r="G473" s="78">
        <v>0.53442086666666611</v>
      </c>
      <c r="H473" s="79">
        <v>38225</v>
      </c>
      <c r="I473" s="79">
        <v>39156</v>
      </c>
      <c r="J473" s="3">
        <f t="shared" si="36"/>
        <v>3</v>
      </c>
      <c r="U473" s="1">
        <v>208</v>
      </c>
      <c r="W473" s="1">
        <v>2353245</v>
      </c>
    </row>
    <row r="474" spans="1:23" x14ac:dyDescent="0.25">
      <c r="A474" s="76">
        <v>3</v>
      </c>
      <c r="B474" s="76" t="s">
        <v>54</v>
      </c>
      <c r="C474" s="76">
        <v>2004</v>
      </c>
      <c r="D474" s="76" t="str">
        <f t="shared" si="35"/>
        <v>A04F</v>
      </c>
      <c r="E474" s="76" t="s">
        <v>32</v>
      </c>
      <c r="F474" s="77" t="s">
        <v>319</v>
      </c>
      <c r="G474" s="78">
        <v>0.53442086666666611</v>
      </c>
      <c r="H474" s="79">
        <v>38219</v>
      </c>
      <c r="I474" s="79">
        <v>41365</v>
      </c>
      <c r="J474" s="3">
        <f t="shared" si="36"/>
        <v>9</v>
      </c>
      <c r="U474" s="1">
        <v>2615</v>
      </c>
      <c r="W474" s="1">
        <v>2353211</v>
      </c>
    </row>
    <row r="475" spans="1:23" x14ac:dyDescent="0.25">
      <c r="A475" s="76">
        <v>3</v>
      </c>
      <c r="B475" s="76" t="s">
        <v>54</v>
      </c>
      <c r="C475" s="76">
        <v>2004</v>
      </c>
      <c r="D475" s="76" t="str">
        <f t="shared" si="35"/>
        <v>A04F</v>
      </c>
      <c r="E475" s="76" t="s">
        <v>32</v>
      </c>
      <c r="F475" s="77" t="s">
        <v>320</v>
      </c>
      <c r="G475" s="78">
        <v>0.53789563333333357</v>
      </c>
      <c r="H475" s="79">
        <v>38217</v>
      </c>
      <c r="I475" s="79"/>
      <c r="J475" s="3">
        <f t="shared" si="36"/>
        <v>-104</v>
      </c>
      <c r="U475" s="1" t="s">
        <v>1116</v>
      </c>
      <c r="W475" s="1">
        <v>2425441</v>
      </c>
    </row>
    <row r="476" spans="1:23" x14ac:dyDescent="0.25">
      <c r="A476" s="76">
        <v>3</v>
      </c>
      <c r="B476" s="76" t="s">
        <v>54</v>
      </c>
      <c r="C476" s="76">
        <v>2004</v>
      </c>
      <c r="D476" s="76" t="str">
        <f t="shared" si="35"/>
        <v>A04F</v>
      </c>
      <c r="E476" s="76" t="s">
        <v>32</v>
      </c>
      <c r="F476" s="77" t="s">
        <v>321</v>
      </c>
      <c r="G476" s="78">
        <v>0.55172426666666663</v>
      </c>
      <c r="H476" s="79">
        <v>38218</v>
      </c>
      <c r="I476" s="79">
        <v>39142</v>
      </c>
      <c r="J476" s="3">
        <f t="shared" si="36"/>
        <v>3</v>
      </c>
    </row>
    <row r="477" spans="1:23" x14ac:dyDescent="0.25">
      <c r="A477" s="76">
        <v>3</v>
      </c>
      <c r="B477" s="76" t="s">
        <v>54</v>
      </c>
      <c r="C477" s="76">
        <v>2004</v>
      </c>
      <c r="D477" s="76" t="str">
        <f t="shared" si="35"/>
        <v>A04F</v>
      </c>
      <c r="E477" s="76" t="s">
        <v>32</v>
      </c>
      <c r="F477" s="77" t="s">
        <v>322</v>
      </c>
      <c r="G477" s="78">
        <v>0.62521681666666651</v>
      </c>
      <c r="H477" s="79">
        <v>38217</v>
      </c>
      <c r="I477" s="79">
        <v>40268</v>
      </c>
      <c r="J477" s="3">
        <f t="shared" si="36"/>
        <v>6</v>
      </c>
    </row>
    <row r="478" spans="1:23" x14ac:dyDescent="0.25">
      <c r="A478" s="76">
        <v>3</v>
      </c>
      <c r="B478" s="76" t="s">
        <v>54</v>
      </c>
      <c r="C478" s="76">
        <v>2004</v>
      </c>
      <c r="D478" s="76" t="str">
        <f t="shared" si="35"/>
        <v>A04F</v>
      </c>
      <c r="E478" s="76" t="s">
        <v>32</v>
      </c>
      <c r="F478" s="77" t="s">
        <v>323</v>
      </c>
      <c r="G478" s="78">
        <v>0.85428337499999984</v>
      </c>
      <c r="H478" s="79"/>
      <c r="I478" s="79"/>
      <c r="J478" s="3" t="str">
        <f t="shared" si="36"/>
        <v/>
      </c>
    </row>
    <row r="479" spans="1:23" x14ac:dyDescent="0.25">
      <c r="A479" s="76">
        <v>3</v>
      </c>
      <c r="B479" s="76" t="s">
        <v>54</v>
      </c>
      <c r="C479" s="76">
        <v>2004</v>
      </c>
      <c r="D479" s="76" t="str">
        <f t="shared" si="35"/>
        <v>A04F</v>
      </c>
      <c r="E479" s="76" t="s">
        <v>32</v>
      </c>
      <c r="F479" s="77" t="s">
        <v>214</v>
      </c>
      <c r="G479" s="78">
        <v>0.71631357499999937</v>
      </c>
      <c r="H479" s="79">
        <v>38218</v>
      </c>
      <c r="I479" s="79">
        <v>41334</v>
      </c>
      <c r="J479" s="3">
        <f t="shared" si="36"/>
        <v>9</v>
      </c>
    </row>
    <row r="480" spans="1:23" x14ac:dyDescent="0.25">
      <c r="A480" s="76">
        <v>3</v>
      </c>
      <c r="B480" s="76" t="s">
        <v>54</v>
      </c>
      <c r="C480" s="76">
        <v>2004</v>
      </c>
      <c r="D480" s="76" t="str">
        <f t="shared" si="35"/>
        <v>A04F</v>
      </c>
      <c r="E480" s="76" t="s">
        <v>32</v>
      </c>
      <c r="F480" s="77" t="s">
        <v>215</v>
      </c>
      <c r="G480" s="78">
        <v>0.94657327500000032</v>
      </c>
      <c r="H480" s="79">
        <v>38219</v>
      </c>
      <c r="I480" s="79">
        <v>41375</v>
      </c>
      <c r="J480" s="3">
        <f t="shared" si="36"/>
        <v>9</v>
      </c>
    </row>
    <row r="481" spans="1:23" x14ac:dyDescent="0.25">
      <c r="A481" s="76">
        <v>3</v>
      </c>
      <c r="B481" s="76" t="s">
        <v>54</v>
      </c>
      <c r="C481" s="76">
        <v>2004</v>
      </c>
      <c r="D481" s="76" t="str">
        <f t="shared" si="35"/>
        <v>A04F</v>
      </c>
      <c r="E481" s="76" t="s">
        <v>32</v>
      </c>
      <c r="F481" s="77" t="s">
        <v>216</v>
      </c>
      <c r="G481" s="78">
        <v>0.88974460000000022</v>
      </c>
      <c r="H481" s="79">
        <v>38219</v>
      </c>
      <c r="I481" s="79">
        <v>39254</v>
      </c>
      <c r="J481" s="3">
        <f t="shared" si="36"/>
        <v>3</v>
      </c>
    </row>
    <row r="482" spans="1:23" x14ac:dyDescent="0.25">
      <c r="A482" s="76">
        <v>3</v>
      </c>
      <c r="B482" s="76" t="s">
        <v>54</v>
      </c>
      <c r="C482" s="76">
        <v>2004</v>
      </c>
      <c r="D482" s="76" t="str">
        <f t="shared" si="35"/>
        <v>A04F</v>
      </c>
      <c r="E482" s="76" t="s">
        <v>32</v>
      </c>
      <c r="F482" s="77" t="s">
        <v>217</v>
      </c>
      <c r="G482" s="78">
        <v>0.84803595000000009</v>
      </c>
      <c r="H482" s="79">
        <v>39038</v>
      </c>
      <c r="I482" s="79">
        <v>39157</v>
      </c>
      <c r="J482" s="3">
        <f t="shared" si="36"/>
        <v>1</v>
      </c>
    </row>
    <row r="483" spans="1:23" x14ac:dyDescent="0.25">
      <c r="A483" s="76">
        <v>3</v>
      </c>
      <c r="B483" s="76" t="s">
        <v>54</v>
      </c>
      <c r="C483" s="76">
        <v>2004</v>
      </c>
      <c r="D483" s="76" t="str">
        <f t="shared" si="35"/>
        <v>A04F</v>
      </c>
      <c r="E483" s="76" t="s">
        <v>32</v>
      </c>
      <c r="F483" s="77" t="s">
        <v>218</v>
      </c>
      <c r="G483" s="78">
        <v>0.85265740000000023</v>
      </c>
      <c r="H483" s="79">
        <v>38218</v>
      </c>
      <c r="I483" s="79">
        <v>38912</v>
      </c>
      <c r="J483" s="3">
        <f t="shared" si="36"/>
        <v>2</v>
      </c>
    </row>
    <row r="484" spans="1:23" x14ac:dyDescent="0.25">
      <c r="A484" s="76">
        <v>3</v>
      </c>
      <c r="B484" s="76" t="s">
        <v>54</v>
      </c>
      <c r="C484" s="76">
        <v>2004</v>
      </c>
      <c r="D484" s="76" t="str">
        <f t="shared" si="35"/>
        <v>A04F</v>
      </c>
      <c r="E484" s="76" t="s">
        <v>32</v>
      </c>
      <c r="F484" s="77" t="s">
        <v>213</v>
      </c>
      <c r="G484" s="78">
        <v>0.85428337499999984</v>
      </c>
      <c r="H484" s="79"/>
      <c r="I484" s="79"/>
      <c r="J484" s="3" t="str">
        <f t="shared" si="36"/>
        <v/>
      </c>
    </row>
    <row r="485" spans="1:23" x14ac:dyDescent="0.25">
      <c r="A485" s="76">
        <v>3</v>
      </c>
      <c r="B485" s="76" t="s">
        <v>54</v>
      </c>
      <c r="C485" s="76">
        <v>2004</v>
      </c>
      <c r="D485" s="76" t="str">
        <f t="shared" si="35"/>
        <v>A04F</v>
      </c>
      <c r="E485" s="76" t="s">
        <v>32</v>
      </c>
      <c r="F485" s="77" t="s">
        <v>219</v>
      </c>
      <c r="G485" s="78">
        <v>0.8898838</v>
      </c>
      <c r="H485" s="79">
        <v>38218</v>
      </c>
      <c r="I485" s="79"/>
      <c r="J485" s="3">
        <f t="shared" si="36"/>
        <v>-104</v>
      </c>
    </row>
    <row r="486" spans="1:23" x14ac:dyDescent="0.25">
      <c r="A486" s="76">
        <v>3</v>
      </c>
      <c r="B486" s="76" t="s">
        <v>54</v>
      </c>
      <c r="C486" s="76">
        <v>2004</v>
      </c>
      <c r="D486" s="76" t="str">
        <f t="shared" ref="D486:D493" si="37">LEFT(F486,4)</f>
        <v>A04F</v>
      </c>
      <c r="E486" s="76" t="s">
        <v>32</v>
      </c>
      <c r="F486" s="77" t="s">
        <v>880</v>
      </c>
      <c r="G486" s="78">
        <v>0.87437382154874099</v>
      </c>
      <c r="H486" s="79">
        <v>42137</v>
      </c>
      <c r="I486" s="79">
        <v>42137</v>
      </c>
      <c r="J486" s="3" t="str">
        <f t="shared" si="36"/>
        <v/>
      </c>
      <c r="K486" s="7">
        <v>1.6644474034620549E-2</v>
      </c>
      <c r="L486" s="7">
        <v>-1.199200532977962E-2</v>
      </c>
      <c r="M486" s="7">
        <v>5.7356275843667426E-3</v>
      </c>
      <c r="N486" s="7">
        <v>-4.6480743691900139E-3</v>
      </c>
      <c r="O486" s="7">
        <v>0</v>
      </c>
      <c r="P486" s="7">
        <v>2.4999999999999911E-2</v>
      </c>
      <c r="Q486" s="7">
        <v>-0.14749999999999941</v>
      </c>
      <c r="R486" s="7">
        <v>-0.51750000000000118</v>
      </c>
      <c r="S486" s="7">
        <v>-0.99749999999999661</v>
      </c>
      <c r="T486" s="7">
        <v>-1</v>
      </c>
      <c r="U486" s="1">
        <v>5627</v>
      </c>
      <c r="W486" s="1">
        <v>4430981</v>
      </c>
    </row>
    <row r="487" spans="1:23" x14ac:dyDescent="0.25">
      <c r="A487" s="76">
        <v>3</v>
      </c>
      <c r="B487" s="76" t="s">
        <v>54</v>
      </c>
      <c r="C487" s="76">
        <v>2004</v>
      </c>
      <c r="D487" s="76" t="str">
        <f t="shared" si="37"/>
        <v>A04F</v>
      </c>
      <c r="E487" s="76" t="s">
        <v>32</v>
      </c>
      <c r="F487" s="77" t="s">
        <v>881</v>
      </c>
      <c r="G487" s="78">
        <v>0.80373692884748538</v>
      </c>
      <c r="H487" s="79">
        <v>42187</v>
      </c>
      <c r="I487" s="79">
        <v>42187</v>
      </c>
      <c r="J487" s="3" t="str">
        <f t="shared" si="36"/>
        <v/>
      </c>
      <c r="K487" s="7">
        <v>1.9973368841545991E-3</v>
      </c>
      <c r="L487" s="7">
        <v>-3.1978680879413246E-2</v>
      </c>
      <c r="M487" s="7">
        <v>-1.293850873682878E-2</v>
      </c>
      <c r="N487" s="7">
        <v>-2.058432934926957E-2</v>
      </c>
      <c r="O487" s="7">
        <v>-7.4999999999988409E-3</v>
      </c>
      <c r="P487" s="7">
        <v>-4.7499999999996545E-2</v>
      </c>
      <c r="Q487" s="7">
        <v>-0.24750000000000227</v>
      </c>
      <c r="R487" s="7">
        <v>-0.99250000000000116</v>
      </c>
      <c r="S487" s="7">
        <v>-1</v>
      </c>
      <c r="T487" s="7">
        <v>-1</v>
      </c>
      <c r="U487" s="1">
        <v>7886</v>
      </c>
      <c r="W487" s="1">
        <v>2473852</v>
      </c>
    </row>
    <row r="488" spans="1:23" x14ac:dyDescent="0.25">
      <c r="A488" s="76">
        <v>3</v>
      </c>
      <c r="B488" s="76" t="s">
        <v>54</v>
      </c>
      <c r="C488" s="76">
        <v>2004</v>
      </c>
      <c r="D488" s="76" t="str">
        <f t="shared" si="37"/>
        <v>A04F</v>
      </c>
      <c r="E488" s="76" t="s">
        <v>32</v>
      </c>
      <c r="F488" s="77" t="s">
        <v>882</v>
      </c>
      <c r="G488" s="78">
        <v>0.88931320351357923</v>
      </c>
      <c r="H488" s="79">
        <v>42144</v>
      </c>
      <c r="I488" s="79">
        <v>42144</v>
      </c>
      <c r="J488" s="3" t="str">
        <f t="shared" si="36"/>
        <v/>
      </c>
      <c r="K488" s="7">
        <v>-5.9920106524621319E-3</v>
      </c>
      <c r="L488" s="7">
        <v>-1.1992005329780397E-2</v>
      </c>
      <c r="M488" s="7">
        <v>-1.0270774976658181E-2</v>
      </c>
      <c r="N488" s="7">
        <v>-9.9601593625484597E-3</v>
      </c>
      <c r="O488" s="7">
        <v>5.0000000000001155E-3</v>
      </c>
      <c r="P488" s="7">
        <v>3.7500000000000089E-2</v>
      </c>
      <c r="Q488" s="7">
        <v>-0.14750000000000019</v>
      </c>
      <c r="R488" s="7">
        <v>-0.33500000000000019</v>
      </c>
      <c r="S488" s="7">
        <v>-0.99750000000000016</v>
      </c>
      <c r="T488" s="7">
        <v>-1</v>
      </c>
      <c r="U488" s="1">
        <v>3238</v>
      </c>
      <c r="W488" s="1">
        <v>2373122</v>
      </c>
    </row>
    <row r="489" spans="1:23" x14ac:dyDescent="0.25">
      <c r="A489" s="76">
        <v>3</v>
      </c>
      <c r="B489" s="76" t="s">
        <v>54</v>
      </c>
      <c r="C489" s="76">
        <v>2004</v>
      </c>
      <c r="D489" s="76" t="str">
        <f t="shared" si="37"/>
        <v>A04F</v>
      </c>
      <c r="E489" s="76" t="s">
        <v>32</v>
      </c>
      <c r="F489" s="77" t="s">
        <v>883</v>
      </c>
      <c r="G489" s="78">
        <v>0.88697956267813982</v>
      </c>
      <c r="H489" s="79">
        <v>42191</v>
      </c>
      <c r="I489" s="79">
        <v>42191</v>
      </c>
      <c r="J489" s="3" t="str">
        <f t="shared" si="36"/>
        <v/>
      </c>
      <c r="K489" s="7">
        <v>6.6577896138486636E-4</v>
      </c>
      <c r="L489" s="7">
        <v>-2.8647568287808012E-2</v>
      </c>
      <c r="M489" s="7">
        <v>-9.6038415366146435E-3</v>
      </c>
      <c r="N489" s="7">
        <v>7.9681274900396115E-3</v>
      </c>
      <c r="O489" s="7">
        <v>-1.9999999999998908E-2</v>
      </c>
      <c r="P489" s="7">
        <v>-1.2499999999999956E-2</v>
      </c>
      <c r="Q489" s="7">
        <v>-5.9999999999999387E-2</v>
      </c>
      <c r="R489" s="7">
        <v>-0.27750000000000052</v>
      </c>
      <c r="S489" s="7">
        <v>-0.99749999999999939</v>
      </c>
      <c r="T489" s="7">
        <v>-1</v>
      </c>
      <c r="U489" s="1">
        <v>1387</v>
      </c>
      <c r="W489" s="1">
        <v>4174143</v>
      </c>
    </row>
    <row r="490" spans="1:23" x14ac:dyDescent="0.25">
      <c r="A490" s="76">
        <v>3</v>
      </c>
      <c r="B490" s="76" t="s">
        <v>54</v>
      </c>
      <c r="C490" s="76">
        <v>2004</v>
      </c>
      <c r="D490" s="76" t="str">
        <f t="shared" si="37"/>
        <v>A04F</v>
      </c>
      <c r="E490" s="76" t="s">
        <v>32</v>
      </c>
      <c r="F490" s="77" t="s">
        <v>884</v>
      </c>
      <c r="G490" s="78">
        <v>0.57723246575426168</v>
      </c>
      <c r="H490" s="79">
        <v>38182</v>
      </c>
      <c r="I490" s="79">
        <v>38182</v>
      </c>
      <c r="J490" s="3" t="str">
        <f t="shared" si="36"/>
        <v/>
      </c>
      <c r="K490" s="7">
        <v>-0.30825565912117192</v>
      </c>
      <c r="L490" s="7">
        <v>-0.30912724850099971</v>
      </c>
      <c r="M490" s="7">
        <v>-0.34507136187808429</v>
      </c>
      <c r="N490" s="7">
        <v>-0.34528552456839368</v>
      </c>
      <c r="O490" s="7">
        <v>-0.34499999999999886</v>
      </c>
      <c r="P490" s="7">
        <v>-0.35500000000000109</v>
      </c>
      <c r="Q490" s="7">
        <v>-0.35749999999999882</v>
      </c>
      <c r="R490" s="7">
        <v>-0.73499999999999654</v>
      </c>
      <c r="S490" s="7">
        <v>-0.99750000000000227</v>
      </c>
      <c r="T490" s="7">
        <v>-1</v>
      </c>
      <c r="U490" s="1" t="s">
        <v>1116</v>
      </c>
      <c r="W490" s="1">
        <v>1296868</v>
      </c>
    </row>
    <row r="491" spans="1:23" x14ac:dyDescent="0.25">
      <c r="A491" s="76">
        <v>3</v>
      </c>
      <c r="B491" s="76" t="s">
        <v>54</v>
      </c>
      <c r="C491" s="76">
        <v>2004</v>
      </c>
      <c r="D491" s="76" t="str">
        <f t="shared" si="37"/>
        <v>A04F</v>
      </c>
      <c r="E491" s="76" t="s">
        <v>32</v>
      </c>
      <c r="F491" s="77" t="s">
        <v>885</v>
      </c>
      <c r="G491" s="78">
        <v>0.90697686439228675</v>
      </c>
      <c r="H491" s="79">
        <v>38392</v>
      </c>
      <c r="I491" s="79">
        <v>42137</v>
      </c>
      <c r="J491" s="3">
        <f t="shared" si="36"/>
        <v>10</v>
      </c>
      <c r="K491" s="7">
        <v>-1.9307589880159237E-2</v>
      </c>
      <c r="L491" s="7">
        <v>-1.2658227848101666E-2</v>
      </c>
      <c r="M491" s="7">
        <v>-3.6948112578364833E-2</v>
      </c>
      <c r="N491" s="7">
        <v>-2.3240371845948626E-2</v>
      </c>
      <c r="O491" s="7">
        <v>0</v>
      </c>
      <c r="P491" s="7">
        <v>-2.5000000000033884E-3</v>
      </c>
      <c r="Q491" s="7">
        <v>1.2499999999999956E-2</v>
      </c>
      <c r="R491" s="7">
        <v>-0.16750000000000109</v>
      </c>
      <c r="S491" s="7">
        <v>-0.99749999999999661</v>
      </c>
      <c r="T491" s="7">
        <v>-1</v>
      </c>
      <c r="U491" s="1">
        <v>2473</v>
      </c>
      <c r="W491" s="1">
        <v>4368835</v>
      </c>
    </row>
    <row r="492" spans="1:23" x14ac:dyDescent="0.25">
      <c r="A492" s="76">
        <v>3</v>
      </c>
      <c r="B492" s="76" t="s">
        <v>54</v>
      </c>
      <c r="C492" s="76">
        <v>2004</v>
      </c>
      <c r="D492" s="76" t="str">
        <f t="shared" si="37"/>
        <v>A04F</v>
      </c>
      <c r="E492" s="76" t="s">
        <v>32</v>
      </c>
      <c r="F492" s="77" t="s">
        <v>886</v>
      </c>
      <c r="G492" s="78">
        <v>0.7017580055412509</v>
      </c>
      <c r="H492" s="79">
        <v>42145</v>
      </c>
      <c r="I492" s="79">
        <v>42145</v>
      </c>
      <c r="J492" s="3" t="str">
        <f t="shared" si="36"/>
        <v/>
      </c>
      <c r="K492" s="7">
        <v>-1.5978695073235905E-2</v>
      </c>
      <c r="L492" s="7">
        <v>-1.7321785476349105E-2</v>
      </c>
      <c r="M492" s="7">
        <v>-2.2675736961451642E-3</v>
      </c>
      <c r="N492" s="7">
        <v>-1.7264276228419639E-2</v>
      </c>
      <c r="O492" s="7">
        <v>-7.2499999999999454E-2</v>
      </c>
      <c r="P492" s="7">
        <v>-9.7500000000000808E-2</v>
      </c>
      <c r="Q492" s="7">
        <v>-0.86749999999999972</v>
      </c>
      <c r="R492" s="7">
        <v>-0.99500000000000033</v>
      </c>
      <c r="S492" s="7">
        <v>-0.99749999999999939</v>
      </c>
      <c r="T492" s="7">
        <v>-1</v>
      </c>
      <c r="U492" s="1">
        <v>3485</v>
      </c>
      <c r="W492" s="1">
        <v>865079</v>
      </c>
    </row>
    <row r="493" spans="1:23" x14ac:dyDescent="0.25">
      <c r="A493" s="76">
        <v>3</v>
      </c>
      <c r="B493" s="76" t="s">
        <v>54</v>
      </c>
      <c r="C493" s="76">
        <v>2004</v>
      </c>
      <c r="D493" s="76" t="str">
        <f t="shared" si="37"/>
        <v>A04F</v>
      </c>
      <c r="E493" s="76" t="s">
        <v>32</v>
      </c>
      <c r="F493" s="77" t="s">
        <v>887</v>
      </c>
      <c r="G493" s="78">
        <v>0.90109803181491166</v>
      </c>
      <c r="H493" s="79">
        <v>42177</v>
      </c>
      <c r="I493" s="79">
        <v>42177</v>
      </c>
      <c r="J493" s="3" t="str">
        <f t="shared" si="36"/>
        <v/>
      </c>
      <c r="K493" s="7">
        <v>-2.3968042609853635E-2</v>
      </c>
      <c r="L493" s="7">
        <v>-3.3977348434377053E-2</v>
      </c>
      <c r="M493" s="7">
        <v>-4.2950513538748791E-2</v>
      </c>
      <c r="N493" s="7">
        <v>-2.9216467463479057E-2</v>
      </c>
      <c r="O493" s="7">
        <v>-1.2499999999999956E-2</v>
      </c>
      <c r="P493" s="7">
        <v>3.2499999999998863E-2</v>
      </c>
      <c r="Q493" s="7">
        <v>-8.0000000000001181E-2</v>
      </c>
      <c r="R493" s="7">
        <v>-0.13249999999999884</v>
      </c>
      <c r="S493" s="7">
        <v>-0.99749999999999661</v>
      </c>
      <c r="T493" s="7">
        <v>-1</v>
      </c>
      <c r="U493" s="1">
        <v>1401</v>
      </c>
      <c r="W493" s="1">
        <v>394459</v>
      </c>
    </row>
    <row r="494" spans="1:23" x14ac:dyDescent="0.25">
      <c r="A494" s="76">
        <v>3</v>
      </c>
      <c r="B494" s="76" t="s">
        <v>54</v>
      </c>
      <c r="C494" s="76">
        <v>2006</v>
      </c>
      <c r="D494" s="76" t="str">
        <f t="shared" ref="D494:D503" si="38">LEFT(F494,4)</f>
        <v>A06X</v>
      </c>
      <c r="E494" s="76" t="s">
        <v>33</v>
      </c>
      <c r="F494" s="77" t="s">
        <v>169</v>
      </c>
      <c r="G494" s="78">
        <v>0.98622076153599614</v>
      </c>
      <c r="H494" s="79">
        <v>39111</v>
      </c>
      <c r="I494" s="79">
        <v>42300</v>
      </c>
      <c r="J494" s="3">
        <f t="shared" si="36"/>
        <v>8</v>
      </c>
    </row>
    <row r="495" spans="1:23" x14ac:dyDescent="0.25">
      <c r="A495" s="76">
        <v>3</v>
      </c>
      <c r="B495" s="76" t="s">
        <v>54</v>
      </c>
      <c r="C495" s="76">
        <v>2006</v>
      </c>
      <c r="D495" s="76" t="str">
        <f t="shared" si="38"/>
        <v>A06X</v>
      </c>
      <c r="E495" s="76" t="s">
        <v>33</v>
      </c>
      <c r="F495" s="77" t="s">
        <v>170</v>
      </c>
      <c r="G495" s="78">
        <v>0.88221094532689992</v>
      </c>
      <c r="H495" s="79">
        <v>38944</v>
      </c>
      <c r="I495" s="79">
        <v>42228</v>
      </c>
      <c r="J495" s="3">
        <f t="shared" si="36"/>
        <v>9</v>
      </c>
    </row>
    <row r="496" spans="1:23" x14ac:dyDescent="0.25">
      <c r="A496" s="76">
        <v>3</v>
      </c>
      <c r="B496" s="76" t="s">
        <v>54</v>
      </c>
      <c r="C496" s="76">
        <v>2006</v>
      </c>
      <c r="D496" s="76" t="str">
        <f t="shared" si="38"/>
        <v>A06X</v>
      </c>
      <c r="E496" s="76" t="s">
        <v>33</v>
      </c>
      <c r="F496" s="77" t="s">
        <v>171</v>
      </c>
      <c r="G496" s="78">
        <v>0.98210276657280615</v>
      </c>
      <c r="H496" s="79">
        <v>39006</v>
      </c>
      <c r="I496" s="79">
        <v>42300</v>
      </c>
      <c r="J496" s="3">
        <f t="shared" si="36"/>
        <v>9</v>
      </c>
    </row>
    <row r="497" spans="1:23" x14ac:dyDescent="0.25">
      <c r="A497" s="76">
        <v>3</v>
      </c>
      <c r="B497" s="76" t="s">
        <v>54</v>
      </c>
      <c r="C497" s="76">
        <v>2006</v>
      </c>
      <c r="D497" s="76" t="str">
        <f t="shared" si="38"/>
        <v>A06X</v>
      </c>
      <c r="E497" s="76" t="s">
        <v>33</v>
      </c>
      <c r="F497" s="77" t="s">
        <v>172</v>
      </c>
      <c r="G497" s="78">
        <v>1.0306029797239118</v>
      </c>
      <c r="H497" s="79">
        <v>38981</v>
      </c>
      <c r="I497" s="79">
        <v>42300</v>
      </c>
      <c r="J497" s="3">
        <f t="shared" si="36"/>
        <v>9</v>
      </c>
    </row>
    <row r="498" spans="1:23" x14ac:dyDescent="0.25">
      <c r="A498" s="76">
        <v>3</v>
      </c>
      <c r="B498" s="76" t="s">
        <v>54</v>
      </c>
      <c r="C498" s="76">
        <v>2006</v>
      </c>
      <c r="D498" s="76" t="str">
        <f t="shared" si="38"/>
        <v>A06X</v>
      </c>
      <c r="E498" s="76" t="s">
        <v>33</v>
      </c>
      <c r="F498" s="77" t="s">
        <v>173</v>
      </c>
      <c r="G498" s="78">
        <v>0.99615642312020602</v>
      </c>
      <c r="H498" s="79">
        <v>39069</v>
      </c>
      <c r="I498" s="79">
        <v>42300</v>
      </c>
      <c r="J498" s="3">
        <f t="shared" si="36"/>
        <v>9</v>
      </c>
    </row>
    <row r="499" spans="1:23" x14ac:dyDescent="0.25">
      <c r="A499" s="76">
        <v>3</v>
      </c>
      <c r="B499" s="76" t="s">
        <v>54</v>
      </c>
      <c r="C499" s="76">
        <v>2006</v>
      </c>
      <c r="D499" s="76" t="str">
        <f t="shared" si="38"/>
        <v>A06X</v>
      </c>
      <c r="E499" s="76" t="s">
        <v>33</v>
      </c>
      <c r="F499" s="77" t="s">
        <v>174</v>
      </c>
      <c r="G499" s="78">
        <v>0.9892939920708872</v>
      </c>
      <c r="H499" s="79">
        <v>39008</v>
      </c>
      <c r="I499" s="79">
        <v>42230</v>
      </c>
      <c r="J499" s="3">
        <f t="shared" si="36"/>
        <v>9</v>
      </c>
    </row>
    <row r="500" spans="1:23" x14ac:dyDescent="0.25">
      <c r="A500" s="76">
        <v>3</v>
      </c>
      <c r="B500" s="76" t="s">
        <v>54</v>
      </c>
      <c r="C500" s="76">
        <v>2006</v>
      </c>
      <c r="D500" s="76" t="str">
        <f t="shared" si="38"/>
        <v>A06X</v>
      </c>
      <c r="E500" s="76" t="s">
        <v>33</v>
      </c>
      <c r="F500" s="77" t="s">
        <v>175</v>
      </c>
      <c r="G500" s="78">
        <v>0.97790990028071623</v>
      </c>
      <c r="H500" s="79">
        <v>38978</v>
      </c>
      <c r="I500" s="79">
        <v>42230</v>
      </c>
      <c r="J500" s="3">
        <f t="shared" si="36"/>
        <v>9</v>
      </c>
    </row>
    <row r="501" spans="1:23" x14ac:dyDescent="0.25">
      <c r="A501" s="76">
        <v>3</v>
      </c>
      <c r="B501" s="76" t="s">
        <v>54</v>
      </c>
      <c r="C501" s="76">
        <v>2006</v>
      </c>
      <c r="D501" s="76" t="str">
        <f t="shared" si="38"/>
        <v>A06X</v>
      </c>
      <c r="E501" s="76" t="s">
        <v>33</v>
      </c>
      <c r="F501" s="77" t="s">
        <v>176</v>
      </c>
      <c r="G501" s="78">
        <v>0.98646655640888969</v>
      </c>
      <c r="H501" s="79">
        <v>39013</v>
      </c>
      <c r="I501" s="79">
        <v>42299</v>
      </c>
      <c r="J501" s="3">
        <f t="shared" si="36"/>
        <v>9</v>
      </c>
    </row>
    <row r="502" spans="1:23" x14ac:dyDescent="0.25">
      <c r="A502" s="76">
        <v>3</v>
      </c>
      <c r="B502" s="76" t="s">
        <v>54</v>
      </c>
      <c r="C502" s="76">
        <v>2006</v>
      </c>
      <c r="D502" s="76" t="str">
        <f t="shared" si="38"/>
        <v>A06X</v>
      </c>
      <c r="E502" s="76" t="s">
        <v>33</v>
      </c>
      <c r="F502" s="77" t="s">
        <v>177</v>
      </c>
      <c r="G502" s="78">
        <v>0.98339062086283135</v>
      </c>
      <c r="H502" s="79">
        <v>39111</v>
      </c>
      <c r="I502" s="79">
        <v>42299</v>
      </c>
      <c r="J502" s="3">
        <f t="shared" si="36"/>
        <v>8</v>
      </c>
    </row>
    <row r="503" spans="1:23" x14ac:dyDescent="0.25">
      <c r="A503" s="76">
        <v>3</v>
      </c>
      <c r="B503" s="76" t="s">
        <v>54</v>
      </c>
      <c r="C503" s="76">
        <v>2006</v>
      </c>
      <c r="D503" s="76" t="str">
        <f t="shared" si="38"/>
        <v>A06X</v>
      </c>
      <c r="E503" s="76" t="s">
        <v>33</v>
      </c>
      <c r="F503" s="77" t="s">
        <v>178</v>
      </c>
      <c r="G503" s="78">
        <v>0.94714484248149</v>
      </c>
      <c r="H503" s="79">
        <v>38936</v>
      </c>
      <c r="I503" s="79">
        <v>42230</v>
      </c>
      <c r="J503" s="3">
        <f t="shared" si="36"/>
        <v>9</v>
      </c>
    </row>
    <row r="504" spans="1:23" x14ac:dyDescent="0.25">
      <c r="A504" s="76">
        <v>3</v>
      </c>
      <c r="B504" s="76" t="s">
        <v>54</v>
      </c>
      <c r="C504" s="76">
        <v>2006</v>
      </c>
      <c r="D504" s="76" t="str">
        <f t="shared" ref="D504:D513" si="39">LEFT(F504,4)</f>
        <v>A06X</v>
      </c>
      <c r="E504" s="76" t="s">
        <v>33</v>
      </c>
      <c r="F504" s="77" t="s">
        <v>435</v>
      </c>
      <c r="G504" s="78">
        <v>0.96131586576999939</v>
      </c>
      <c r="H504" s="79">
        <v>38982</v>
      </c>
      <c r="I504" s="79">
        <v>42271</v>
      </c>
      <c r="J504" s="3">
        <f t="shared" si="36"/>
        <v>9</v>
      </c>
      <c r="K504" s="7">
        <v>9.3457943925232545E-3</v>
      </c>
      <c r="L504" s="7">
        <v>1.1523046092184464E-2</v>
      </c>
      <c r="M504" s="7">
        <v>1.0336778926308465E-2</v>
      </c>
      <c r="N504" s="7">
        <v>1.0666666666666824E-2</v>
      </c>
      <c r="O504" s="7">
        <v>1.3333333333332531E-2</v>
      </c>
      <c r="P504" s="7">
        <v>7.2895957587797433E-3</v>
      </c>
      <c r="Q504" s="7">
        <v>-3.6666666666671177E-2</v>
      </c>
      <c r="R504" s="7">
        <v>2.333333333333476E-2</v>
      </c>
      <c r="S504" s="7">
        <v>3.3333333333303017E-3</v>
      </c>
      <c r="T504" s="7">
        <v>-1</v>
      </c>
      <c r="U504" s="1">
        <v>2450</v>
      </c>
      <c r="W504" s="1">
        <v>996564</v>
      </c>
    </row>
    <row r="505" spans="1:23" x14ac:dyDescent="0.25">
      <c r="A505" s="76">
        <v>3</v>
      </c>
      <c r="B505" s="76" t="s">
        <v>54</v>
      </c>
      <c r="C505" s="76">
        <v>2006</v>
      </c>
      <c r="D505" s="76" t="str">
        <f t="shared" si="39"/>
        <v>A06X</v>
      </c>
      <c r="E505" s="76" t="s">
        <v>33</v>
      </c>
      <c r="F505" s="77" t="s">
        <v>436</v>
      </c>
      <c r="G505" s="78">
        <v>0.97380819895064907</v>
      </c>
      <c r="H505" s="79">
        <v>38982</v>
      </c>
      <c r="I505" s="79">
        <v>42271</v>
      </c>
      <c r="J505" s="3">
        <f t="shared" si="36"/>
        <v>9</v>
      </c>
      <c r="K505" s="7">
        <v>2.0360480640854606E-2</v>
      </c>
      <c r="L505" s="7">
        <v>2.0374081496326024E-2</v>
      </c>
      <c r="M505" s="7">
        <v>2.1173724574858444E-2</v>
      </c>
      <c r="N505" s="7">
        <v>1.8999999999999684E-2</v>
      </c>
      <c r="O505" s="7">
        <v>2.4999999999999911E-2</v>
      </c>
      <c r="P505" s="7">
        <v>2.3856858846921458E-2</v>
      </c>
      <c r="Q505" s="7">
        <v>3.9999999999999591E-2</v>
      </c>
      <c r="R505" s="7">
        <v>0</v>
      </c>
      <c r="S505" s="7">
        <v>-6.6666666666662655E-3</v>
      </c>
      <c r="T505" s="7">
        <v>-1</v>
      </c>
      <c r="U505" s="1">
        <v>3714</v>
      </c>
      <c r="W505" s="1">
        <v>999751</v>
      </c>
    </row>
    <row r="506" spans="1:23" x14ac:dyDescent="0.25">
      <c r="A506" s="76">
        <v>3</v>
      </c>
      <c r="B506" s="76" t="s">
        <v>54</v>
      </c>
      <c r="C506" s="76">
        <v>2006</v>
      </c>
      <c r="D506" s="76" t="str">
        <f t="shared" si="39"/>
        <v>A06X</v>
      </c>
      <c r="E506" s="76" t="s">
        <v>33</v>
      </c>
      <c r="F506" s="77" t="s">
        <v>437</v>
      </c>
      <c r="G506" s="78">
        <v>0.97903939886378777</v>
      </c>
      <c r="H506" s="79">
        <v>38992</v>
      </c>
      <c r="I506" s="79">
        <v>42271</v>
      </c>
      <c r="J506" s="3">
        <f t="shared" si="36"/>
        <v>9</v>
      </c>
      <c r="K506" s="7">
        <v>3.0040053404539302E-2</v>
      </c>
      <c r="L506" s="7">
        <v>3.4402137608550598E-2</v>
      </c>
      <c r="M506" s="7">
        <v>3.2510836945648602E-2</v>
      </c>
      <c r="N506" s="7">
        <v>3.4333333333333549E-2</v>
      </c>
      <c r="O506" s="7">
        <v>3.8333333333332664E-2</v>
      </c>
      <c r="P506" s="7">
        <v>3.3797216699801069E-2</v>
      </c>
      <c r="Q506" s="7">
        <v>-1.3333333333332531E-2</v>
      </c>
      <c r="R506" s="7">
        <v>2.9999999999999138E-2</v>
      </c>
      <c r="S506" s="7">
        <v>-3.6666666666665515E-2</v>
      </c>
      <c r="T506" s="7">
        <v>-1</v>
      </c>
      <c r="U506" s="1">
        <v>3167</v>
      </c>
      <c r="W506" s="1">
        <v>999547</v>
      </c>
    </row>
    <row r="507" spans="1:23" x14ac:dyDescent="0.25">
      <c r="A507" s="76">
        <v>3</v>
      </c>
      <c r="B507" s="76" t="s">
        <v>54</v>
      </c>
      <c r="C507" s="76">
        <v>2006</v>
      </c>
      <c r="D507" s="76" t="str">
        <f t="shared" si="39"/>
        <v>A06X</v>
      </c>
      <c r="E507" s="76" t="s">
        <v>33</v>
      </c>
      <c r="F507" s="77" t="s">
        <v>438</v>
      </c>
      <c r="G507" s="78">
        <v>0.95633510621857798</v>
      </c>
      <c r="H507" s="79">
        <v>38982</v>
      </c>
      <c r="I507" s="79">
        <v>42271</v>
      </c>
      <c r="J507" s="3">
        <f t="shared" si="36"/>
        <v>9</v>
      </c>
      <c r="K507" s="7">
        <v>9.0120160213615907E-3</v>
      </c>
      <c r="L507" s="7">
        <v>1.1022044088176086E-2</v>
      </c>
      <c r="M507" s="7">
        <v>9.8366122040682846E-3</v>
      </c>
      <c r="N507" s="7">
        <v>1.083333333333325E-2</v>
      </c>
      <c r="O507" s="7">
        <v>1.0000000000000231E-2</v>
      </c>
      <c r="P507" s="7">
        <v>1.0603048376408131E-2</v>
      </c>
      <c r="Q507" s="7">
        <v>-4.6666666666662082E-2</v>
      </c>
      <c r="R507" s="7">
        <v>6.6666666666606034E-3</v>
      </c>
      <c r="S507" s="7">
        <v>-3.999999999999404E-2</v>
      </c>
      <c r="T507" s="7">
        <v>-1</v>
      </c>
      <c r="U507" s="1">
        <v>2997</v>
      </c>
      <c r="W507" s="1">
        <v>999563</v>
      </c>
    </row>
    <row r="508" spans="1:23" x14ac:dyDescent="0.25">
      <c r="A508" s="76">
        <v>3</v>
      </c>
      <c r="B508" s="76" t="s">
        <v>54</v>
      </c>
      <c r="C508" s="76">
        <v>2006</v>
      </c>
      <c r="D508" s="76" t="str">
        <f t="shared" si="39"/>
        <v>A06X</v>
      </c>
      <c r="E508" s="76" t="s">
        <v>33</v>
      </c>
      <c r="F508" s="77" t="s">
        <v>439</v>
      </c>
      <c r="G508" s="78">
        <v>0.96207270467212669</v>
      </c>
      <c r="H508" s="79">
        <v>38982</v>
      </c>
      <c r="I508" s="79">
        <v>42271</v>
      </c>
      <c r="J508" s="3">
        <f t="shared" si="36"/>
        <v>9</v>
      </c>
      <c r="K508" s="7">
        <v>1.4352469959946657E-2</v>
      </c>
      <c r="L508" s="7">
        <v>1.5030060120240663E-2</v>
      </c>
      <c r="M508" s="7">
        <v>1.4671557185728545E-2</v>
      </c>
      <c r="N508" s="7">
        <v>1.7166666666666774E-2</v>
      </c>
      <c r="O508" s="7">
        <v>1.9999999999998908E-2</v>
      </c>
      <c r="P508" s="7">
        <v>1.7229953611664905E-2</v>
      </c>
      <c r="Q508" s="7">
        <v>-9.9999999999985656E-3</v>
      </c>
      <c r="R508" s="7">
        <v>1.3333333333336306E-2</v>
      </c>
      <c r="S508" s="7">
        <v>-8.0000000000003069E-2</v>
      </c>
      <c r="T508" s="7">
        <v>-1</v>
      </c>
      <c r="U508" s="1">
        <v>3081</v>
      </c>
      <c r="W508" s="1">
        <v>996751</v>
      </c>
    </row>
    <row r="509" spans="1:23" x14ac:dyDescent="0.25">
      <c r="A509" s="76">
        <v>3</v>
      </c>
      <c r="B509" s="76" t="s">
        <v>54</v>
      </c>
      <c r="C509" s="76">
        <v>2006</v>
      </c>
      <c r="D509" s="76" t="str">
        <f t="shared" si="39"/>
        <v>A06X</v>
      </c>
      <c r="E509" s="76" t="s">
        <v>33</v>
      </c>
      <c r="F509" s="77" t="s">
        <v>440</v>
      </c>
      <c r="G509" s="78">
        <v>0.98548749272443292</v>
      </c>
      <c r="H509" s="79">
        <v>38982</v>
      </c>
      <c r="I509" s="79">
        <v>42271</v>
      </c>
      <c r="J509" s="3">
        <f t="shared" si="36"/>
        <v>9</v>
      </c>
      <c r="K509" s="7">
        <v>2.2863818424566196E-2</v>
      </c>
      <c r="L509" s="7">
        <v>2.3881095524382001E-2</v>
      </c>
      <c r="M509" s="7">
        <v>2.5341780593531205E-2</v>
      </c>
      <c r="N509" s="7">
        <v>2.633333333333332E-2</v>
      </c>
      <c r="O509" s="7">
        <v>2.9999999999999138E-2</v>
      </c>
      <c r="P509" s="7">
        <v>3.3797216699802624E-2</v>
      </c>
      <c r="Q509" s="7">
        <v>5.3333333333333233E-2</v>
      </c>
      <c r="R509" s="7">
        <v>5.0000000000000044E-2</v>
      </c>
      <c r="S509" s="7">
        <v>2.666666666666706E-2</v>
      </c>
      <c r="T509" s="7">
        <v>-1</v>
      </c>
      <c r="U509" s="1">
        <v>3903</v>
      </c>
      <c r="W509" s="1">
        <v>1000209</v>
      </c>
    </row>
    <row r="510" spans="1:23" x14ac:dyDescent="0.25">
      <c r="A510" s="76">
        <v>3</v>
      </c>
      <c r="B510" s="76" t="s">
        <v>54</v>
      </c>
      <c r="C510" s="76">
        <v>2006</v>
      </c>
      <c r="D510" s="76" t="str">
        <f t="shared" si="39"/>
        <v>A06X</v>
      </c>
      <c r="E510" s="76" t="s">
        <v>33</v>
      </c>
      <c r="F510" s="77" t="s">
        <v>441</v>
      </c>
      <c r="G510" s="78">
        <v>0.95740464209190501</v>
      </c>
      <c r="H510" s="79">
        <v>38982</v>
      </c>
      <c r="I510" s="79">
        <v>38982</v>
      </c>
      <c r="J510" s="3" t="str">
        <f t="shared" si="36"/>
        <v/>
      </c>
      <c r="K510" s="7">
        <v>1.5687583444592645E-2</v>
      </c>
      <c r="L510" s="7">
        <v>7.5150300601203313E-3</v>
      </c>
      <c r="M510" s="7">
        <v>1.4838279426475642E-2</v>
      </c>
      <c r="N510" s="7">
        <v>1.5833333333333366E-2</v>
      </c>
      <c r="O510" s="7">
        <v>1.6666666666665719E-2</v>
      </c>
      <c r="P510" s="7">
        <v>1.7229953611664905E-2</v>
      </c>
      <c r="Q510" s="7">
        <v>-3.6666666666667402E-2</v>
      </c>
      <c r="R510" s="7">
        <v>-2.0000000000000795E-2</v>
      </c>
      <c r="S510" s="7">
        <v>-6.6666666666666652E-2</v>
      </c>
      <c r="T510" s="7">
        <v>-1</v>
      </c>
      <c r="U510" s="1" t="s">
        <v>1116</v>
      </c>
      <c r="W510" s="1">
        <v>1000772</v>
      </c>
    </row>
    <row r="511" spans="1:23" x14ac:dyDescent="0.25">
      <c r="A511" s="76">
        <v>3</v>
      </c>
      <c r="B511" s="76" t="s">
        <v>54</v>
      </c>
      <c r="C511" s="76">
        <v>2006</v>
      </c>
      <c r="D511" s="76" t="str">
        <f t="shared" si="39"/>
        <v>A06X</v>
      </c>
      <c r="E511" s="76" t="s">
        <v>33</v>
      </c>
      <c r="F511" s="77" t="s">
        <v>442</v>
      </c>
      <c r="G511" s="78">
        <v>0.97303920540289901</v>
      </c>
      <c r="H511" s="79">
        <v>38982</v>
      </c>
      <c r="I511" s="79">
        <v>42271</v>
      </c>
      <c r="J511" s="3">
        <f t="shared" si="36"/>
        <v>9</v>
      </c>
      <c r="K511" s="7">
        <v>1.8190921228304235E-2</v>
      </c>
      <c r="L511" s="7">
        <v>1.9038076152304573E-2</v>
      </c>
      <c r="M511" s="7">
        <v>2.0340113371124069E-2</v>
      </c>
      <c r="N511" s="7">
        <v>2.0333333333333092E-2</v>
      </c>
      <c r="O511" s="7">
        <v>2.1666666666669609E-2</v>
      </c>
      <c r="P511" s="7">
        <v>2.3856858846913909E-2</v>
      </c>
      <c r="Q511" s="7">
        <v>5.3333333333330346E-2</v>
      </c>
      <c r="R511" s="7">
        <v>3.3333333333378512E-3</v>
      </c>
      <c r="S511" s="7">
        <v>-2.3333333333334871E-2</v>
      </c>
      <c r="T511" s="7">
        <v>-1</v>
      </c>
      <c r="U511" s="1">
        <v>2960</v>
      </c>
      <c r="W511" s="1">
        <v>1000284</v>
      </c>
    </row>
    <row r="512" spans="1:23" x14ac:dyDescent="0.25">
      <c r="A512" s="76">
        <v>3</v>
      </c>
      <c r="B512" s="76" t="s">
        <v>54</v>
      </c>
      <c r="C512" s="76">
        <v>2006</v>
      </c>
      <c r="D512" s="76" t="str">
        <f t="shared" si="39"/>
        <v>A06X</v>
      </c>
      <c r="E512" s="76" t="s">
        <v>33</v>
      </c>
      <c r="F512" s="77" t="s">
        <v>443</v>
      </c>
      <c r="G512" s="78">
        <v>0.93519990341642723</v>
      </c>
      <c r="H512" s="79">
        <v>42269</v>
      </c>
      <c r="I512" s="79">
        <v>42269</v>
      </c>
      <c r="J512" s="3" t="str">
        <f t="shared" si="36"/>
        <v/>
      </c>
      <c r="K512" s="7">
        <v>-1.3184245660881277E-2</v>
      </c>
      <c r="L512" s="7">
        <v>-1.26920507682029E-2</v>
      </c>
      <c r="M512" s="7">
        <v>8.3361120373459663E-4</v>
      </c>
      <c r="N512" s="7">
        <v>-6.8333333333332469E-3</v>
      </c>
      <c r="O512" s="7">
        <v>-3.3333333333333437E-2</v>
      </c>
      <c r="P512" s="7">
        <v>-2.6507620941050858E-3</v>
      </c>
      <c r="Q512" s="7">
        <v>-2.6666666666666727E-2</v>
      </c>
      <c r="R512" s="7">
        <v>-5.3333333333333122E-2</v>
      </c>
      <c r="S512" s="7">
        <v>-4.6666666666666301E-2</v>
      </c>
      <c r="T512" s="7">
        <v>-1</v>
      </c>
      <c r="U512" s="1">
        <v>3795</v>
      </c>
      <c r="W512" s="1">
        <v>832588</v>
      </c>
    </row>
    <row r="513" spans="1:23" x14ac:dyDescent="0.25">
      <c r="A513" s="76">
        <v>3</v>
      </c>
      <c r="B513" s="76" t="s">
        <v>54</v>
      </c>
      <c r="C513" s="76">
        <v>2006</v>
      </c>
      <c r="D513" s="76" t="str">
        <f t="shared" si="39"/>
        <v>A06X</v>
      </c>
      <c r="E513" s="76" t="s">
        <v>33</v>
      </c>
      <c r="F513" s="77" t="s">
        <v>444</v>
      </c>
      <c r="G513" s="78">
        <v>0.96413696837432206</v>
      </c>
      <c r="H513" s="79">
        <v>39035</v>
      </c>
      <c r="I513" s="79">
        <v>42269</v>
      </c>
      <c r="J513" s="3">
        <f t="shared" si="36"/>
        <v>9</v>
      </c>
      <c r="K513" s="7">
        <v>6.3417890520693909E-3</v>
      </c>
      <c r="L513" s="7">
        <v>7.8490313961254721E-3</v>
      </c>
      <c r="M513" s="7">
        <v>2.0340113371123625E-2</v>
      </c>
      <c r="N513" s="7">
        <v>1.1500000000000288E-2</v>
      </c>
      <c r="O513" s="7">
        <v>1.6666666666666607E-2</v>
      </c>
      <c r="P513" s="7">
        <v>2.0543406229297068E-2</v>
      </c>
      <c r="Q513" s="7">
        <v>2.333333333333476E-2</v>
      </c>
      <c r="R513" s="7">
        <v>0</v>
      </c>
      <c r="S513" s="7">
        <v>-5.9999999999998499E-2</v>
      </c>
      <c r="T513" s="7">
        <v>-1</v>
      </c>
      <c r="U513" s="1">
        <v>2506</v>
      </c>
      <c r="W513" s="1">
        <v>832091</v>
      </c>
    </row>
    <row r="514" spans="1:23" x14ac:dyDescent="0.25">
      <c r="A514" s="76">
        <v>3</v>
      </c>
      <c r="B514" s="76" t="s">
        <v>54</v>
      </c>
      <c r="C514" s="76">
        <v>2006</v>
      </c>
      <c r="D514" s="76" t="str">
        <f>LEFT(F514,4)</f>
        <v>A06X</v>
      </c>
      <c r="E514" s="76" t="s">
        <v>33</v>
      </c>
      <c r="F514" s="77" t="s">
        <v>576</v>
      </c>
      <c r="G514" s="78">
        <v>0.93868379311593797</v>
      </c>
      <c r="H514" s="79">
        <v>39098</v>
      </c>
      <c r="I514" s="79">
        <v>42136</v>
      </c>
      <c r="J514" s="3">
        <f t="shared" si="36"/>
        <v>8</v>
      </c>
      <c r="K514" s="7">
        <v>-4.0431266846364666E-3</v>
      </c>
      <c r="L514" s="7">
        <v>1.6016713091921098E-2</v>
      </c>
      <c r="M514" s="7">
        <v>1.9498607242340427E-2</v>
      </c>
      <c r="N514" s="7">
        <v>2.0194986072423315E-2</v>
      </c>
      <c r="O514" s="7">
        <v>-2.4937655860347574E-3</v>
      </c>
      <c r="P514" s="7">
        <v>-9.0316106372303473E-3</v>
      </c>
      <c r="Q514" s="7">
        <v>1.5060240963848948E-3</v>
      </c>
      <c r="R514" s="7">
        <v>-7.5376884422110324E-3</v>
      </c>
      <c r="S514" s="7">
        <v>-0.24874371859296529</v>
      </c>
      <c r="T514" s="7">
        <v>-1</v>
      </c>
      <c r="U514" s="1">
        <v>3322</v>
      </c>
      <c r="W514" s="1">
        <v>932299</v>
      </c>
    </row>
    <row r="515" spans="1:23" x14ac:dyDescent="0.25">
      <c r="A515" s="76">
        <v>3</v>
      </c>
      <c r="B515" s="76" t="s">
        <v>54</v>
      </c>
      <c r="C515" s="76">
        <v>2006</v>
      </c>
      <c r="D515" s="76" t="str">
        <f>LEFT(F515,4)</f>
        <v>A06X</v>
      </c>
      <c r="E515" s="76" t="s">
        <v>33</v>
      </c>
      <c r="F515" s="77" t="s">
        <v>577</v>
      </c>
      <c r="G515" s="78">
        <v>1.0026038242163293</v>
      </c>
      <c r="H515" s="79">
        <v>39010</v>
      </c>
      <c r="I515" s="79">
        <v>42259</v>
      </c>
      <c r="J515" s="3">
        <f t="shared" si="36"/>
        <v>9</v>
      </c>
      <c r="K515" s="7">
        <v>2.1563342318058565E-2</v>
      </c>
      <c r="L515" s="7">
        <v>4.0389972144847519E-2</v>
      </c>
      <c r="M515" s="7">
        <v>4.4568245125348183E-2</v>
      </c>
      <c r="N515" s="7">
        <v>0.1887186629526465</v>
      </c>
      <c r="O515" s="7">
        <v>3.4912718204488824E-2</v>
      </c>
      <c r="P515" s="7">
        <v>3.6126442548922943E-2</v>
      </c>
      <c r="Q515" s="7">
        <v>5.6726907630522572E-2</v>
      </c>
      <c r="R515" s="7">
        <v>5.2763819095476894E-2</v>
      </c>
      <c r="S515" s="7">
        <v>-7.7889447236179743E-2</v>
      </c>
      <c r="T515" s="7">
        <v>-1</v>
      </c>
      <c r="U515" s="1">
        <v>2852</v>
      </c>
      <c r="W515" s="1">
        <v>933597</v>
      </c>
    </row>
    <row r="516" spans="1:23" x14ac:dyDescent="0.25">
      <c r="A516" s="76">
        <v>3</v>
      </c>
      <c r="B516" s="76" t="s">
        <v>54</v>
      </c>
      <c r="C516" s="76">
        <v>2006</v>
      </c>
      <c r="D516" s="76" t="str">
        <f>LEFT(F516,4)</f>
        <v>A06X</v>
      </c>
      <c r="E516" s="76" t="s">
        <v>33</v>
      </c>
      <c r="F516" s="77" t="s">
        <v>578</v>
      </c>
      <c r="G516" s="78">
        <v>0.94894715273498031</v>
      </c>
      <c r="H516" s="79">
        <v>38999</v>
      </c>
      <c r="I516" s="79">
        <v>42259</v>
      </c>
      <c r="J516" s="3">
        <f t="shared" si="36"/>
        <v>9</v>
      </c>
      <c r="K516" s="7">
        <v>6.7385444743941481E-3</v>
      </c>
      <c r="L516" s="7">
        <v>1.044568245125288E-2</v>
      </c>
      <c r="M516" s="7">
        <v>2.8551532033426863E-2</v>
      </c>
      <c r="N516" s="7">
        <v>3.2033426183843972E-2</v>
      </c>
      <c r="O516" s="7">
        <v>2.4937655860348684E-3</v>
      </c>
      <c r="P516" s="7">
        <v>-6.5228299046657945E-3</v>
      </c>
      <c r="Q516" s="7">
        <v>6.5261044176696537E-3</v>
      </c>
      <c r="R516" s="7">
        <v>-7.5376884422110324E-3</v>
      </c>
      <c r="S516" s="7">
        <v>-0.16080402010050299</v>
      </c>
      <c r="T516" s="7">
        <v>-1</v>
      </c>
      <c r="U516" s="1">
        <v>4774</v>
      </c>
      <c r="W516" s="1">
        <v>932191</v>
      </c>
    </row>
    <row r="517" spans="1:23" x14ac:dyDescent="0.25">
      <c r="A517" s="76">
        <v>3</v>
      </c>
      <c r="B517" s="76" t="s">
        <v>54</v>
      </c>
      <c r="C517" s="76">
        <v>2006</v>
      </c>
      <c r="D517" s="76" t="str">
        <f>LEFT(F517,4)</f>
        <v>A06X</v>
      </c>
      <c r="E517" s="76" t="s">
        <v>33</v>
      </c>
      <c r="F517" s="77" t="s">
        <v>579</v>
      </c>
      <c r="G517" s="78">
        <v>0.97942454914784016</v>
      </c>
      <c r="H517" s="79">
        <v>39010</v>
      </c>
      <c r="I517" s="79">
        <v>42259</v>
      </c>
      <c r="J517" s="3">
        <f t="shared" ref="J517:J580" si="40">IF(YEAR(I517)-YEAR(H517)=0,"",YEAR(I517)-YEAR(H517))</f>
        <v>9</v>
      </c>
      <c r="K517" s="7">
        <v>2.2237196765498846E-2</v>
      </c>
      <c r="L517" s="7">
        <v>4.2479108635097962E-2</v>
      </c>
      <c r="M517" s="7">
        <v>4.2479108635097518E-2</v>
      </c>
      <c r="N517" s="7">
        <v>4.2479108635097518E-2</v>
      </c>
      <c r="O517" s="7">
        <v>3.2418952618453512E-2</v>
      </c>
      <c r="P517" s="7">
        <v>2.1073758153538513E-2</v>
      </c>
      <c r="Q517" s="7">
        <v>3.4136546184740046E-2</v>
      </c>
      <c r="R517" s="7">
        <v>5.025125628140592E-2</v>
      </c>
      <c r="S517" s="7">
        <v>-6.7839195979901734E-2</v>
      </c>
      <c r="T517" s="7">
        <v>-1</v>
      </c>
      <c r="U517" s="1">
        <v>2362</v>
      </c>
      <c r="W517" s="1">
        <v>933457</v>
      </c>
    </row>
    <row r="518" spans="1:23" x14ac:dyDescent="0.25">
      <c r="A518" s="76">
        <v>3</v>
      </c>
      <c r="B518" s="76" t="s">
        <v>54</v>
      </c>
      <c r="C518" s="76">
        <v>2006</v>
      </c>
      <c r="D518" s="76" t="str">
        <f>LEFT(F518,4)</f>
        <v>A06X</v>
      </c>
      <c r="E518" s="76" t="s">
        <v>33</v>
      </c>
      <c r="F518" s="77" t="s">
        <v>580</v>
      </c>
      <c r="G518" s="78">
        <v>0.96171968897897075</v>
      </c>
      <c r="H518" s="79">
        <v>38999</v>
      </c>
      <c r="I518" s="79">
        <v>42259</v>
      </c>
      <c r="J518" s="3">
        <f t="shared" si="40"/>
        <v>9</v>
      </c>
      <c r="K518" s="7">
        <v>1.7520215633423097E-2</v>
      </c>
      <c r="L518" s="7">
        <v>3.6211699164345079E-2</v>
      </c>
      <c r="M518" s="7">
        <v>4.1086350974930408E-2</v>
      </c>
      <c r="N518" s="7">
        <v>4.3871866295264406E-2</v>
      </c>
      <c r="O518" s="7">
        <v>1.4962593516209433E-2</v>
      </c>
      <c r="P518" s="7">
        <v>6.021073758154083E-3</v>
      </c>
      <c r="Q518" s="7">
        <v>1.405622489959768E-2</v>
      </c>
      <c r="R518" s="7">
        <v>5.0251256281421686E-3</v>
      </c>
      <c r="S518" s="7">
        <v>-0.14070351758793853</v>
      </c>
      <c r="T518" s="7">
        <v>-1</v>
      </c>
      <c r="U518" s="1">
        <v>2993</v>
      </c>
      <c r="W518" s="1">
        <v>932205</v>
      </c>
    </row>
    <row r="519" spans="1:23" x14ac:dyDescent="0.25">
      <c r="A519" s="76">
        <v>3</v>
      </c>
      <c r="B519" s="76" t="s">
        <v>54</v>
      </c>
      <c r="C519" s="76">
        <v>2006</v>
      </c>
      <c r="D519" s="76" t="str">
        <f t="shared" ref="D519:D528" si="41">LEFT(F519,4)</f>
        <v>A06X</v>
      </c>
      <c r="E519" s="76" t="s">
        <v>33</v>
      </c>
      <c r="F519" s="77" t="s">
        <v>645</v>
      </c>
      <c r="G519" s="78">
        <v>0.92938717678152227</v>
      </c>
      <c r="H519" s="79">
        <v>38960</v>
      </c>
      <c r="I519" s="79">
        <v>38960</v>
      </c>
      <c r="J519" s="3" t="str">
        <f t="shared" si="40"/>
        <v/>
      </c>
      <c r="K519" s="7">
        <v>-7.3529411764705621E-3</v>
      </c>
      <c r="L519" s="7">
        <v>-7.4324324324318569E-3</v>
      </c>
      <c r="M519" s="7">
        <v>-5.4163845633032892E-3</v>
      </c>
      <c r="N519" s="7">
        <v>2.0325203252022916E-3</v>
      </c>
      <c r="O519" s="7">
        <v>3.0000000000001137E-2</v>
      </c>
      <c r="P519" s="7">
        <v>1.4999999999997682E-2</v>
      </c>
      <c r="Q519" s="7">
        <v>0</v>
      </c>
      <c r="R519" s="7">
        <v>-6.7499999999995453E-2</v>
      </c>
      <c r="S519" s="7">
        <v>-0.98750000000000004</v>
      </c>
      <c r="T519" s="7">
        <v>-1</v>
      </c>
      <c r="U519" s="1">
        <v>4638</v>
      </c>
      <c r="W519" s="1">
        <v>215236</v>
      </c>
    </row>
    <row r="520" spans="1:23" x14ac:dyDescent="0.25">
      <c r="A520" s="76">
        <v>3</v>
      </c>
      <c r="B520" s="76" t="s">
        <v>54</v>
      </c>
      <c r="C520" s="76">
        <v>2006</v>
      </c>
      <c r="D520" s="76" t="str">
        <f t="shared" si="41"/>
        <v>A06X</v>
      </c>
      <c r="E520" s="76" t="s">
        <v>33</v>
      </c>
      <c r="F520" s="77" t="s">
        <v>646</v>
      </c>
      <c r="G520" s="78">
        <v>0.93667652614637187</v>
      </c>
      <c r="H520" s="79">
        <v>38960</v>
      </c>
      <c r="I520" s="79">
        <v>38960</v>
      </c>
      <c r="J520" s="3" t="str">
        <f t="shared" si="40"/>
        <v/>
      </c>
      <c r="K520" s="7">
        <v>-2.0053475935829068E-2</v>
      </c>
      <c r="L520" s="7">
        <v>8.1081081081084694E-3</v>
      </c>
      <c r="M520" s="7">
        <v>8.8016249153690662E-3</v>
      </c>
      <c r="N520" s="7">
        <v>2.2357723577235644E-2</v>
      </c>
      <c r="O520" s="7">
        <v>-1.4999999999997682E-2</v>
      </c>
      <c r="P520" s="7">
        <v>1.2499999999999956E-2</v>
      </c>
      <c r="Q520" s="7">
        <v>-2.5000000000033884E-3</v>
      </c>
      <c r="R520" s="7">
        <v>-4.7499999999996545E-2</v>
      </c>
      <c r="S520" s="7">
        <v>-0.74500000000000455</v>
      </c>
      <c r="T520" s="7">
        <v>-1</v>
      </c>
      <c r="U520" s="1" t="s">
        <v>1116</v>
      </c>
      <c r="W520" s="1">
        <v>214931</v>
      </c>
    </row>
    <row r="521" spans="1:23" x14ac:dyDescent="0.25">
      <c r="A521" s="76">
        <v>3</v>
      </c>
      <c r="B521" s="76" t="s">
        <v>54</v>
      </c>
      <c r="C521" s="76">
        <v>2006</v>
      </c>
      <c r="D521" s="76" t="str">
        <f t="shared" si="41"/>
        <v>A06X</v>
      </c>
      <c r="E521" s="76" t="s">
        <v>33</v>
      </c>
      <c r="F521" s="77" t="s">
        <v>647</v>
      </c>
      <c r="G521" s="78">
        <v>0.96819733305511924</v>
      </c>
      <c r="H521" s="79">
        <v>38965</v>
      </c>
      <c r="I521" s="79">
        <v>38965</v>
      </c>
      <c r="J521" s="3" t="str">
        <f t="shared" si="40"/>
        <v/>
      </c>
      <c r="K521" s="7">
        <v>-7.3529411764705621E-3</v>
      </c>
      <c r="L521" s="7">
        <v>-6.7567567567539122E-4</v>
      </c>
      <c r="M521" s="7">
        <v>3.3852403520646668E-3</v>
      </c>
      <c r="N521" s="7">
        <v>3.3875338753388551E-3</v>
      </c>
      <c r="O521" s="7">
        <v>2.4999999999999911E-2</v>
      </c>
      <c r="P521" s="7">
        <v>1.7500000000001181E-2</v>
      </c>
      <c r="Q521" s="7">
        <v>2.2499999999996634E-2</v>
      </c>
      <c r="R521" s="7">
        <v>-2.7499999999997748E-2</v>
      </c>
      <c r="S521" s="7">
        <v>-0.43249999999999889</v>
      </c>
      <c r="T521" s="7">
        <v>-1</v>
      </c>
      <c r="U521" s="1">
        <v>4338</v>
      </c>
      <c r="W521" s="1">
        <v>215775</v>
      </c>
    </row>
    <row r="522" spans="1:23" x14ac:dyDescent="0.25">
      <c r="A522" s="76">
        <v>3</v>
      </c>
      <c r="B522" s="76" t="s">
        <v>54</v>
      </c>
      <c r="C522" s="76">
        <v>2006</v>
      </c>
      <c r="D522" s="76" t="str">
        <f t="shared" si="41"/>
        <v>A06X</v>
      </c>
      <c r="E522" s="76" t="s">
        <v>33</v>
      </c>
      <c r="F522" s="77" t="s">
        <v>648</v>
      </c>
      <c r="G522" s="78">
        <v>0.97011377027867418</v>
      </c>
      <c r="H522" s="79">
        <v>38960</v>
      </c>
      <c r="I522" s="79">
        <v>38960</v>
      </c>
      <c r="J522" s="3" t="str">
        <f t="shared" si="40"/>
        <v/>
      </c>
      <c r="K522" s="7">
        <v>2.2058823529410798E-2</v>
      </c>
      <c r="L522" s="7">
        <v>2.7027027027026973E-2</v>
      </c>
      <c r="M522" s="7">
        <v>2.9790115098171421E-2</v>
      </c>
      <c r="N522" s="7">
        <v>3.1165311653116534E-2</v>
      </c>
      <c r="O522" s="7">
        <v>4.7500000000000098E-2</v>
      </c>
      <c r="P522" s="7">
        <v>3.2500000000000195E-2</v>
      </c>
      <c r="Q522" s="7">
        <v>-4.7500000000000875E-2</v>
      </c>
      <c r="R522" s="7">
        <v>-0.12000000000000033</v>
      </c>
      <c r="S522" s="7">
        <v>-0.40999999999999948</v>
      </c>
      <c r="T522" s="7">
        <v>-1</v>
      </c>
      <c r="U522" s="1">
        <v>8493</v>
      </c>
      <c r="W522" s="1">
        <v>215279</v>
      </c>
    </row>
    <row r="523" spans="1:23" x14ac:dyDescent="0.25">
      <c r="A523" s="76">
        <v>3</v>
      </c>
      <c r="B523" s="76" t="s">
        <v>54</v>
      </c>
      <c r="C523" s="76">
        <v>2006</v>
      </c>
      <c r="D523" s="76" t="str">
        <f t="shared" si="41"/>
        <v>A06X</v>
      </c>
      <c r="E523" s="76" t="s">
        <v>33</v>
      </c>
      <c r="F523" s="77" t="s">
        <v>649</v>
      </c>
      <c r="G523" s="78">
        <v>0.93827428694465298</v>
      </c>
      <c r="H523" s="79">
        <v>38960</v>
      </c>
      <c r="I523" s="79">
        <v>38960</v>
      </c>
      <c r="J523" s="3" t="str">
        <f t="shared" si="40"/>
        <v/>
      </c>
      <c r="K523" s="7">
        <v>-3.3422459893046597E-3</v>
      </c>
      <c r="L523" s="7">
        <v>-4.7297297297292928E-3</v>
      </c>
      <c r="M523" s="7">
        <v>-2.7081922816521997E-3</v>
      </c>
      <c r="N523" s="7">
        <v>-6.7750677506772661E-4</v>
      </c>
      <c r="O523" s="7">
        <v>1.4999999999997682E-2</v>
      </c>
      <c r="P523" s="7">
        <v>7.5000000000045031E-3</v>
      </c>
      <c r="Q523" s="7">
        <v>-7.5000000000045031E-3</v>
      </c>
      <c r="R523" s="7">
        <v>-7.2499999999996567E-2</v>
      </c>
      <c r="S523" s="7">
        <v>-0.73000000000000109</v>
      </c>
      <c r="T523" s="7">
        <v>-1</v>
      </c>
      <c r="U523" s="1">
        <v>5194</v>
      </c>
      <c r="W523" s="1">
        <v>217875</v>
      </c>
    </row>
    <row r="524" spans="1:23" x14ac:dyDescent="0.25">
      <c r="A524" s="76">
        <v>3</v>
      </c>
      <c r="B524" s="76" t="s">
        <v>54</v>
      </c>
      <c r="C524" s="76">
        <v>2006</v>
      </c>
      <c r="D524" s="76" t="str">
        <f t="shared" si="41"/>
        <v>A06X</v>
      </c>
      <c r="E524" s="76" t="s">
        <v>33</v>
      </c>
      <c r="F524" s="77" t="s">
        <v>650</v>
      </c>
      <c r="G524" s="78">
        <v>0.95212175584166303</v>
      </c>
      <c r="H524" s="79">
        <v>37499</v>
      </c>
      <c r="I524" s="79">
        <v>37499</v>
      </c>
      <c r="J524" s="3" t="str">
        <f t="shared" si="40"/>
        <v/>
      </c>
      <c r="K524" s="7">
        <v>5.347593582888388E-3</v>
      </c>
      <c r="L524" s="7">
        <v>2.7027027027033412E-3</v>
      </c>
      <c r="M524" s="7">
        <v>4.7393364928911552E-3</v>
      </c>
      <c r="N524" s="7">
        <v>6.7750677506772661E-3</v>
      </c>
      <c r="O524" s="7">
        <v>1.5000000000000568E-2</v>
      </c>
      <c r="P524" s="7">
        <v>1.2499999999999956E-2</v>
      </c>
      <c r="Q524" s="7">
        <v>9.9999999999993427E-3</v>
      </c>
      <c r="R524" s="7">
        <v>-6.9999999999998841E-2</v>
      </c>
      <c r="S524" s="7">
        <v>-0.58750000000000002</v>
      </c>
      <c r="T524" s="7">
        <v>-1</v>
      </c>
      <c r="U524" s="1">
        <v>4187</v>
      </c>
      <c r="W524" s="1">
        <v>217395</v>
      </c>
    </row>
    <row r="525" spans="1:23" x14ac:dyDescent="0.25">
      <c r="A525" s="76">
        <v>3</v>
      </c>
      <c r="B525" s="76" t="s">
        <v>54</v>
      </c>
      <c r="C525" s="76">
        <v>2006</v>
      </c>
      <c r="D525" s="76" t="str">
        <f t="shared" si="41"/>
        <v>A06X</v>
      </c>
      <c r="E525" s="76" t="s">
        <v>33</v>
      </c>
      <c r="F525" s="77" t="s">
        <v>651</v>
      </c>
      <c r="G525" s="78">
        <v>0.94360151561259153</v>
      </c>
      <c r="H525" s="79">
        <v>37499</v>
      </c>
      <c r="I525" s="79">
        <v>37499</v>
      </c>
      <c r="J525" s="3" t="str">
        <f t="shared" si="40"/>
        <v/>
      </c>
      <c r="K525" s="7">
        <v>1.8716577540107693E-2</v>
      </c>
      <c r="L525" s="7">
        <v>1.5540540540540437E-2</v>
      </c>
      <c r="M525" s="7">
        <v>1.7603249830738132E-2</v>
      </c>
      <c r="N525" s="7">
        <v>1.7615176151761558E-2</v>
      </c>
      <c r="O525" s="7">
        <v>2.2500000000000853E-2</v>
      </c>
      <c r="P525" s="7">
        <v>1.5000000000000568E-2</v>
      </c>
      <c r="Q525" s="7">
        <v>-3.5000000000002252E-2</v>
      </c>
      <c r="R525" s="7">
        <v>-0.11250000000000004</v>
      </c>
      <c r="S525" s="7">
        <v>-0.67999999999999827</v>
      </c>
      <c r="T525" s="7">
        <v>-1</v>
      </c>
      <c r="U525" s="1">
        <v>4167</v>
      </c>
      <c r="W525" s="1">
        <v>217451</v>
      </c>
    </row>
    <row r="526" spans="1:23" x14ac:dyDescent="0.25">
      <c r="A526" s="76">
        <v>3</v>
      </c>
      <c r="B526" s="76" t="s">
        <v>54</v>
      </c>
      <c r="C526" s="76">
        <v>2006</v>
      </c>
      <c r="D526" s="76" t="str">
        <f t="shared" si="41"/>
        <v>A06X</v>
      </c>
      <c r="E526" s="76" t="s">
        <v>33</v>
      </c>
      <c r="F526" s="77" t="s">
        <v>652</v>
      </c>
      <c r="G526" s="78">
        <v>0.9736867618475562</v>
      </c>
      <c r="H526" s="79">
        <v>38960</v>
      </c>
      <c r="I526" s="79">
        <v>38960</v>
      </c>
      <c r="J526" s="3" t="str">
        <f t="shared" si="40"/>
        <v/>
      </c>
      <c r="K526" s="7">
        <v>1.3368983957218195E-3</v>
      </c>
      <c r="L526" s="7">
        <v>1.3513513513512265E-3</v>
      </c>
      <c r="M526" s="7">
        <v>6.7704807041304438E-3</v>
      </c>
      <c r="N526" s="7">
        <v>2.7100271002711285E-3</v>
      </c>
      <c r="O526" s="7">
        <v>6.25E-2</v>
      </c>
      <c r="P526" s="7">
        <v>1.5000000000000568E-2</v>
      </c>
      <c r="Q526" s="7">
        <v>1.4999999999997682E-2</v>
      </c>
      <c r="R526" s="7">
        <v>-3.2499999999998863E-2</v>
      </c>
      <c r="S526" s="7">
        <v>-0.46750000000000114</v>
      </c>
      <c r="T526" s="7">
        <v>-1</v>
      </c>
      <c r="U526" s="1">
        <v>5117</v>
      </c>
      <c r="W526" s="1">
        <v>214884</v>
      </c>
    </row>
    <row r="527" spans="1:23" x14ac:dyDescent="0.25">
      <c r="A527" s="76">
        <v>3</v>
      </c>
      <c r="B527" s="76" t="s">
        <v>54</v>
      </c>
      <c r="C527" s="76">
        <v>2006</v>
      </c>
      <c r="D527" s="76" t="str">
        <f t="shared" si="41"/>
        <v>A06X</v>
      </c>
      <c r="E527" s="76" t="s">
        <v>33</v>
      </c>
      <c r="F527" s="77" t="s">
        <v>653</v>
      </c>
      <c r="G527" s="78">
        <v>0.90358162697847955</v>
      </c>
      <c r="H527" s="79">
        <v>38960</v>
      </c>
      <c r="I527" s="79">
        <v>38960</v>
      </c>
      <c r="J527" s="3" t="str">
        <f t="shared" si="40"/>
        <v/>
      </c>
      <c r="K527" s="7">
        <v>1.9385026737968047E-2</v>
      </c>
      <c r="L527" s="7">
        <v>1.9594594594594339E-2</v>
      </c>
      <c r="M527" s="7">
        <v>1.8957345971564843E-2</v>
      </c>
      <c r="N527" s="7">
        <v>3.3197831978319714E-2</v>
      </c>
      <c r="O527" s="7">
        <v>-2.2500000000002296E-2</v>
      </c>
      <c r="P527" s="7">
        <v>1.7500000000001181E-2</v>
      </c>
      <c r="Q527" s="7">
        <v>-8.5000000000002296E-2</v>
      </c>
      <c r="R527" s="7">
        <v>-0.25249999999999773</v>
      </c>
      <c r="S527" s="7">
        <v>-0.94250000000000111</v>
      </c>
      <c r="T527" s="7">
        <v>-1</v>
      </c>
      <c r="U527" s="1">
        <v>5179</v>
      </c>
      <c r="W527" s="1">
        <v>217409</v>
      </c>
    </row>
    <row r="528" spans="1:23" x14ac:dyDescent="0.25">
      <c r="A528" s="76">
        <v>3</v>
      </c>
      <c r="B528" s="76" t="s">
        <v>54</v>
      </c>
      <c r="C528" s="76">
        <v>2006</v>
      </c>
      <c r="D528" s="76" t="str">
        <f t="shared" si="41"/>
        <v>A06X</v>
      </c>
      <c r="E528" s="76" t="s">
        <v>33</v>
      </c>
      <c r="F528" s="77" t="s">
        <v>654</v>
      </c>
      <c r="G528" s="78">
        <v>0.90151037504175802</v>
      </c>
      <c r="H528" s="79">
        <v>38959</v>
      </c>
      <c r="I528" s="79">
        <v>38959</v>
      </c>
      <c r="J528" s="3" t="str">
        <f t="shared" si="40"/>
        <v/>
      </c>
      <c r="K528" s="7">
        <v>-3.3422459893046597E-3</v>
      </c>
      <c r="L528" s="7">
        <v>-2.7027027027025641E-3</v>
      </c>
      <c r="M528" s="7">
        <v>6.7704807041280013E-4</v>
      </c>
      <c r="N528" s="7">
        <v>1.3550135501352312E-3</v>
      </c>
      <c r="O528" s="7">
        <v>5.0000000000012257E-3</v>
      </c>
      <c r="P528" s="7">
        <v>-1.2499999999999956E-2</v>
      </c>
      <c r="Q528" s="7">
        <v>-6.7500000000001115E-2</v>
      </c>
      <c r="R528" s="7">
        <v>-0.17249999999999654</v>
      </c>
      <c r="S528" s="7">
        <v>-0.99500000000000455</v>
      </c>
      <c r="T528" s="7">
        <v>-1</v>
      </c>
      <c r="U528" s="1" t="s">
        <v>1116</v>
      </c>
      <c r="W528" s="1">
        <v>216097</v>
      </c>
    </row>
    <row r="529" spans="1:23" x14ac:dyDescent="0.25">
      <c r="A529" s="76">
        <v>3</v>
      </c>
      <c r="B529" s="76" t="s">
        <v>54</v>
      </c>
      <c r="C529" s="76">
        <v>2006</v>
      </c>
      <c r="D529" s="76" t="str">
        <f t="shared" ref="D529:D538" si="42">LEFT(F529,4)</f>
        <v>A06X</v>
      </c>
      <c r="E529" s="76" t="s">
        <v>33</v>
      </c>
      <c r="F529" s="77" t="s">
        <v>658</v>
      </c>
      <c r="G529" s="78">
        <v>0.97757568560735997</v>
      </c>
      <c r="H529" s="79">
        <v>38959</v>
      </c>
      <c r="I529" s="79">
        <v>38959</v>
      </c>
      <c r="J529" s="3" t="str">
        <f t="shared" si="40"/>
        <v/>
      </c>
      <c r="K529" s="7">
        <v>1.5312916111851038E-2</v>
      </c>
      <c r="L529" s="7">
        <v>1.6655562958028947E-2</v>
      </c>
      <c r="M529" s="7">
        <v>1.440576230492141E-2</v>
      </c>
      <c r="N529" s="7">
        <v>1.2616201859229736E-2</v>
      </c>
      <c r="O529" s="7">
        <v>-1.0000000000002229E-2</v>
      </c>
      <c r="P529" s="7">
        <v>2.4999999999999911E-2</v>
      </c>
      <c r="Q529" s="7">
        <v>8.0000000000001181E-2</v>
      </c>
      <c r="R529" s="7">
        <v>-1.7500000000001181E-2</v>
      </c>
      <c r="S529" s="7">
        <v>-0.35999999999999654</v>
      </c>
      <c r="T529" s="7">
        <v>-1</v>
      </c>
      <c r="U529" s="1" t="s">
        <v>1116</v>
      </c>
      <c r="W529" s="1">
        <v>217905</v>
      </c>
    </row>
    <row r="530" spans="1:23" x14ac:dyDescent="0.25">
      <c r="A530" s="76">
        <v>3</v>
      </c>
      <c r="B530" s="76" t="s">
        <v>54</v>
      </c>
      <c r="C530" s="76">
        <v>2006</v>
      </c>
      <c r="D530" s="76" t="str">
        <f t="shared" si="42"/>
        <v>A06X</v>
      </c>
      <c r="E530" s="76" t="s">
        <v>33</v>
      </c>
      <c r="F530" s="77" t="s">
        <v>659</v>
      </c>
      <c r="G530" s="78">
        <v>0.96805765081014639</v>
      </c>
      <c r="H530" s="79">
        <v>38959</v>
      </c>
      <c r="I530" s="79">
        <v>38959</v>
      </c>
      <c r="J530" s="3" t="str">
        <f t="shared" si="40"/>
        <v/>
      </c>
      <c r="K530" s="7">
        <v>1.9973368841543548E-2</v>
      </c>
      <c r="L530" s="7">
        <v>1.2658227848101333E-2</v>
      </c>
      <c r="M530" s="7">
        <v>7.7364279044951356E-3</v>
      </c>
      <c r="N530" s="7">
        <v>5.3120849933601111E-3</v>
      </c>
      <c r="O530" s="7">
        <v>7.9999999999998295E-2</v>
      </c>
      <c r="P530" s="7">
        <v>-2.7499999999997748E-2</v>
      </c>
      <c r="Q530" s="7">
        <v>3.2499999999998863E-2</v>
      </c>
      <c r="R530" s="7">
        <v>1.5000000000000568E-2</v>
      </c>
      <c r="S530" s="7">
        <v>-0.58750000000000002</v>
      </c>
      <c r="T530" s="7">
        <v>-1</v>
      </c>
      <c r="U530" s="1" t="s">
        <v>1116</v>
      </c>
      <c r="W530" s="1">
        <v>216488</v>
      </c>
    </row>
    <row r="531" spans="1:23" x14ac:dyDescent="0.25">
      <c r="A531" s="76">
        <v>3</v>
      </c>
      <c r="B531" s="76" t="s">
        <v>54</v>
      </c>
      <c r="C531" s="76">
        <v>2006</v>
      </c>
      <c r="D531" s="76" t="str">
        <f t="shared" si="42"/>
        <v>A06X</v>
      </c>
      <c r="E531" s="76" t="s">
        <v>33</v>
      </c>
      <c r="F531" s="77" t="s">
        <v>660</v>
      </c>
      <c r="G531" s="78">
        <v>0.9540957685592919</v>
      </c>
      <c r="H531" s="79">
        <v>38965</v>
      </c>
      <c r="I531" s="79">
        <v>38965</v>
      </c>
      <c r="J531" s="3" t="str">
        <f t="shared" si="40"/>
        <v/>
      </c>
      <c r="K531" s="7">
        <v>2.2636484687083458E-2</v>
      </c>
      <c r="L531" s="7">
        <v>1.3324450366423157E-3</v>
      </c>
      <c r="M531" s="7">
        <v>5.068694144324537E-3</v>
      </c>
      <c r="N531" s="7">
        <v>1.9920318725097363E-3</v>
      </c>
      <c r="O531" s="7">
        <v>2.2500000000000853E-2</v>
      </c>
      <c r="P531" s="7">
        <v>2.4999999999999911E-2</v>
      </c>
      <c r="Q531" s="7">
        <v>1.7499999999998295E-2</v>
      </c>
      <c r="R531" s="7">
        <v>-3.4999999999999476E-2</v>
      </c>
      <c r="S531" s="7">
        <v>-0.7</v>
      </c>
      <c r="T531" s="7">
        <v>-1</v>
      </c>
      <c r="U531" s="1" t="s">
        <v>1116</v>
      </c>
      <c r="W531" s="1">
        <v>215007</v>
      </c>
    </row>
    <row r="532" spans="1:23" x14ac:dyDescent="0.25">
      <c r="A532" s="76">
        <v>3</v>
      </c>
      <c r="B532" s="76" t="s">
        <v>54</v>
      </c>
      <c r="C532" s="76">
        <v>2006</v>
      </c>
      <c r="D532" s="76" t="str">
        <f t="shared" si="42"/>
        <v>A06X</v>
      </c>
      <c r="E532" s="76" t="s">
        <v>33</v>
      </c>
      <c r="F532" s="77" t="s">
        <v>661</v>
      </c>
      <c r="G532" s="78">
        <v>0.96275301590065543</v>
      </c>
      <c r="H532" s="79">
        <v>38960</v>
      </c>
      <c r="I532" s="79">
        <v>38960</v>
      </c>
      <c r="J532" s="3" t="str">
        <f t="shared" si="40"/>
        <v/>
      </c>
      <c r="K532" s="7">
        <v>-2.7962716378163166E-2</v>
      </c>
      <c r="L532" s="7">
        <v>1.065956029313786E-2</v>
      </c>
      <c r="M532" s="7">
        <v>1.4405762304921854E-2</v>
      </c>
      <c r="N532" s="7">
        <v>8.6321381142098197E-3</v>
      </c>
      <c r="O532" s="7">
        <v>2.7500000000000524E-2</v>
      </c>
      <c r="P532" s="7">
        <v>2.249999999999952E-2</v>
      </c>
      <c r="Q532" s="7">
        <v>2.0000000000001794E-2</v>
      </c>
      <c r="R532" s="7">
        <v>-4.7500000000002318E-2</v>
      </c>
      <c r="S532" s="7">
        <v>-0.54249999999999832</v>
      </c>
      <c r="T532" s="7">
        <v>-1</v>
      </c>
      <c r="U532" s="1" t="s">
        <v>1116</v>
      </c>
      <c r="W532" s="1">
        <v>217808</v>
      </c>
    </row>
    <row r="533" spans="1:23" x14ac:dyDescent="0.25">
      <c r="A533" s="76">
        <v>3</v>
      </c>
      <c r="B533" s="76" t="s">
        <v>54</v>
      </c>
      <c r="C533" s="76">
        <v>2006</v>
      </c>
      <c r="D533" s="76" t="str">
        <f t="shared" si="42"/>
        <v>A06X</v>
      </c>
      <c r="E533" s="76" t="s">
        <v>33</v>
      </c>
      <c r="F533" s="77" t="s">
        <v>662</v>
      </c>
      <c r="G533" s="78">
        <v>0.98744132614267444</v>
      </c>
      <c r="H533" s="79">
        <v>38971</v>
      </c>
      <c r="I533" s="79">
        <v>38971</v>
      </c>
      <c r="J533" s="3" t="str">
        <f t="shared" si="40"/>
        <v/>
      </c>
      <c r="K533" s="7">
        <v>3.661784287616543E-2</v>
      </c>
      <c r="L533" s="7">
        <v>2.2651565622918035E-2</v>
      </c>
      <c r="M533" s="7">
        <v>2.641056422569088E-2</v>
      </c>
      <c r="N533" s="7">
        <v>2.1912350597608654E-2</v>
      </c>
      <c r="O533" s="7">
        <v>4.0000000000003366E-2</v>
      </c>
      <c r="P533" s="7">
        <v>2.9999999999995364E-2</v>
      </c>
      <c r="Q533" s="7">
        <v>3.2500000000004636E-2</v>
      </c>
      <c r="R533" s="7">
        <v>-1.7500000000001181E-2</v>
      </c>
      <c r="S533" s="7">
        <v>-0.3600000000000001</v>
      </c>
      <c r="T533" s="7">
        <v>-1</v>
      </c>
      <c r="U533" s="1" t="s">
        <v>1116</v>
      </c>
      <c r="W533" s="1">
        <v>217311</v>
      </c>
    </row>
    <row r="534" spans="1:23" x14ac:dyDescent="0.25">
      <c r="A534" s="76">
        <v>3</v>
      </c>
      <c r="B534" s="76" t="s">
        <v>54</v>
      </c>
      <c r="C534" s="76">
        <v>2006</v>
      </c>
      <c r="D534" s="76" t="str">
        <f t="shared" si="42"/>
        <v>A06X</v>
      </c>
      <c r="E534" s="76" t="s">
        <v>33</v>
      </c>
      <c r="F534" s="77" t="s">
        <v>663</v>
      </c>
      <c r="G534" s="78">
        <v>0.91705867174544409</v>
      </c>
      <c r="H534" s="79">
        <v>38960</v>
      </c>
      <c r="I534" s="79">
        <v>38960</v>
      </c>
      <c r="J534" s="3" t="str">
        <f t="shared" si="40"/>
        <v/>
      </c>
      <c r="K534" s="7">
        <v>2.7962716378162389E-2</v>
      </c>
      <c r="L534" s="7">
        <v>-2.6648900732841874E-3</v>
      </c>
      <c r="M534" s="7">
        <v>1.1071095104708828E-2</v>
      </c>
      <c r="N534" s="7">
        <v>3.3200531208492645E-3</v>
      </c>
      <c r="O534" s="7">
        <v>1.0000000000002229E-2</v>
      </c>
      <c r="P534" s="7">
        <v>5.0000000000012257E-3</v>
      </c>
      <c r="Q534" s="7">
        <v>-3.0000000000001137E-2</v>
      </c>
      <c r="R534" s="7">
        <v>-0.125</v>
      </c>
      <c r="S534" s="7">
        <v>-0.99750000000000227</v>
      </c>
      <c r="T534" s="7">
        <v>-1</v>
      </c>
      <c r="U534" s="1" t="s">
        <v>1116</v>
      </c>
      <c r="W534" s="1">
        <v>217433</v>
      </c>
    </row>
    <row r="535" spans="1:23" x14ac:dyDescent="0.25">
      <c r="A535" s="76">
        <v>3</v>
      </c>
      <c r="B535" s="76" t="s">
        <v>54</v>
      </c>
      <c r="C535" s="76">
        <v>2006</v>
      </c>
      <c r="D535" s="76" t="str">
        <f t="shared" si="42"/>
        <v>A06X</v>
      </c>
      <c r="E535" s="76" t="s">
        <v>33</v>
      </c>
      <c r="F535" s="77" t="s">
        <v>664</v>
      </c>
      <c r="G535" s="78">
        <v>0.96554944377335239</v>
      </c>
      <c r="H535" s="79">
        <v>38960</v>
      </c>
      <c r="I535" s="79">
        <v>38960</v>
      </c>
      <c r="J535" s="3" t="str">
        <f t="shared" si="40"/>
        <v/>
      </c>
      <c r="K535" s="7">
        <v>2.7962716378162611E-2</v>
      </c>
      <c r="L535" s="7">
        <v>2.1319120586275941E-2</v>
      </c>
      <c r="M535" s="7">
        <v>1.7073496065092231E-2</v>
      </c>
      <c r="N535" s="7">
        <v>1.3280212483399945E-2</v>
      </c>
      <c r="O535" s="7">
        <v>3.250000000000175E-2</v>
      </c>
      <c r="P535" s="7">
        <v>2.999999999999825E-2</v>
      </c>
      <c r="Q535" s="7">
        <v>2.5000000000006128E-3</v>
      </c>
      <c r="R535" s="7">
        <v>-5.2500000000000546E-2</v>
      </c>
      <c r="S535" s="7">
        <v>-0.56749999999999834</v>
      </c>
      <c r="T535" s="7">
        <v>-1</v>
      </c>
      <c r="U535" s="1" t="s">
        <v>1116</v>
      </c>
      <c r="W535" s="1">
        <v>217867</v>
      </c>
    </row>
    <row r="536" spans="1:23" x14ac:dyDescent="0.25">
      <c r="A536" s="76">
        <v>3</v>
      </c>
      <c r="B536" s="76" t="s">
        <v>54</v>
      </c>
      <c r="C536" s="76">
        <v>2006</v>
      </c>
      <c r="D536" s="76" t="str">
        <f t="shared" si="42"/>
        <v>A06X</v>
      </c>
      <c r="E536" s="76" t="s">
        <v>33</v>
      </c>
      <c r="F536" s="77" t="s">
        <v>665</v>
      </c>
      <c r="G536" s="78">
        <v>0.96592276989587256</v>
      </c>
      <c r="H536" s="79">
        <v>42181</v>
      </c>
      <c r="I536" s="79">
        <v>42181</v>
      </c>
      <c r="J536" s="3" t="str">
        <f t="shared" si="40"/>
        <v/>
      </c>
      <c r="K536" s="7">
        <v>1.8641810918775148E-2</v>
      </c>
      <c r="L536" s="7">
        <v>3.9973351099269472E-3</v>
      </c>
      <c r="M536" s="7">
        <v>1.1071095104709494E-2</v>
      </c>
      <c r="N536" s="7">
        <v>6.6401062416991952E-3</v>
      </c>
      <c r="O536" s="7">
        <v>1.7500000000001181E-2</v>
      </c>
      <c r="P536" s="7">
        <v>1.7500000000001181E-2</v>
      </c>
      <c r="Q536" s="7">
        <v>9.9999999999966782E-3</v>
      </c>
      <c r="R536" s="7">
        <v>-4.4999999999999929E-2</v>
      </c>
      <c r="S536" s="7">
        <v>-0.43249999999999988</v>
      </c>
      <c r="T536" s="7">
        <v>-1</v>
      </c>
      <c r="U536" s="1">
        <v>4520</v>
      </c>
      <c r="W536" s="1">
        <v>215147</v>
      </c>
    </row>
    <row r="537" spans="1:23" x14ac:dyDescent="0.25">
      <c r="A537" s="76">
        <v>3</v>
      </c>
      <c r="B537" s="76" t="s">
        <v>54</v>
      </c>
      <c r="C537" s="76">
        <v>2006</v>
      </c>
      <c r="D537" s="76" t="str">
        <f t="shared" si="42"/>
        <v>A06X</v>
      </c>
      <c r="E537" s="76" t="s">
        <v>33</v>
      </c>
      <c r="F537" s="77" t="s">
        <v>666</v>
      </c>
      <c r="G537" s="78">
        <v>0.94139990791166839</v>
      </c>
      <c r="H537" s="79">
        <v>39007</v>
      </c>
      <c r="I537" s="79">
        <v>39007</v>
      </c>
      <c r="J537" s="3" t="str">
        <f t="shared" si="40"/>
        <v/>
      </c>
      <c r="K537" s="7">
        <v>4.3275632490013649E-2</v>
      </c>
      <c r="L537" s="7">
        <v>1.798800799466993E-2</v>
      </c>
      <c r="M537" s="7">
        <v>1.774042950513488E-2</v>
      </c>
      <c r="N537" s="7">
        <v>1.3944223107570153E-2</v>
      </c>
      <c r="O537" s="7">
        <v>2.7500000000003411E-2</v>
      </c>
      <c r="P537" s="7">
        <v>3.4999999999996589E-2</v>
      </c>
      <c r="Q537" s="7">
        <v>5.0000000000012257E-3</v>
      </c>
      <c r="R537" s="7">
        <v>-5.2499999999997771E-2</v>
      </c>
      <c r="S537" s="7">
        <v>-0.99500000000000455</v>
      </c>
      <c r="T537" s="7">
        <v>-1</v>
      </c>
      <c r="U537" s="1" t="s">
        <v>1116</v>
      </c>
      <c r="W537" s="1">
        <v>959782</v>
      </c>
    </row>
    <row r="538" spans="1:23" x14ac:dyDescent="0.25">
      <c r="A538" s="76">
        <v>3</v>
      </c>
      <c r="B538" s="76" t="s">
        <v>54</v>
      </c>
      <c r="C538" s="76">
        <v>2006</v>
      </c>
      <c r="D538" s="76" t="str">
        <f t="shared" si="42"/>
        <v>A06X</v>
      </c>
      <c r="E538" s="76" t="s">
        <v>33</v>
      </c>
      <c r="F538" s="77" t="s">
        <v>667</v>
      </c>
      <c r="G538" s="78">
        <v>0.9399072777957993</v>
      </c>
      <c r="H538" s="79">
        <v>42137</v>
      </c>
      <c r="I538" s="79">
        <v>42137</v>
      </c>
      <c r="J538" s="3" t="str">
        <f t="shared" si="40"/>
        <v/>
      </c>
      <c r="K538" s="7">
        <v>-3.9946737683086431E-3</v>
      </c>
      <c r="L538" s="7">
        <v>-4.663557628247994E-3</v>
      </c>
      <c r="M538" s="7">
        <v>-4.2683740162734463E-3</v>
      </c>
      <c r="N538" s="7">
        <v>-1.1288180610889098E-2</v>
      </c>
      <c r="O538" s="7">
        <v>2.4999999999977263E-3</v>
      </c>
      <c r="P538" s="7">
        <v>0</v>
      </c>
      <c r="Q538" s="7">
        <v>1.2499999999999956E-2</v>
      </c>
      <c r="R538" s="7">
        <v>-3.4999999999996589E-2</v>
      </c>
      <c r="S538" s="7">
        <v>-0.6950000000000045</v>
      </c>
      <c r="T538" s="7">
        <v>-1</v>
      </c>
      <c r="U538" s="1">
        <v>3396</v>
      </c>
      <c r="W538" s="1">
        <v>940658</v>
      </c>
    </row>
    <row r="539" spans="1:23" x14ac:dyDescent="0.25">
      <c r="A539" s="76">
        <v>3</v>
      </c>
      <c r="B539" s="76" t="s">
        <v>54</v>
      </c>
      <c r="C539" s="76">
        <v>2006</v>
      </c>
      <c r="D539" s="76" t="str">
        <f t="shared" ref="D539:D546" si="43">LEFT(F539,4)</f>
        <v>A06X</v>
      </c>
      <c r="E539" s="76" t="s">
        <v>33</v>
      </c>
      <c r="F539" s="77" t="s">
        <v>668</v>
      </c>
      <c r="G539" s="78">
        <v>0.95573449099499919</v>
      </c>
      <c r="H539" s="79">
        <v>39139</v>
      </c>
      <c r="I539" s="79">
        <v>39139</v>
      </c>
      <c r="J539" s="3" t="str">
        <f t="shared" si="40"/>
        <v/>
      </c>
      <c r="K539" s="7">
        <v>1.1904761904762085E-2</v>
      </c>
      <c r="L539" s="7">
        <v>9.8587796429532304E-3</v>
      </c>
      <c r="M539" s="7">
        <v>1.0141446490525619E-2</v>
      </c>
      <c r="N539" s="7">
        <v>9.0884790163061613E-3</v>
      </c>
      <c r="O539" s="7">
        <v>2.9999999999999805E-2</v>
      </c>
      <c r="P539" s="7">
        <v>1.7499999999999627E-2</v>
      </c>
      <c r="Q539" s="7">
        <v>2.7500000000000524E-2</v>
      </c>
      <c r="R539" s="7">
        <v>-0.25500000000000111</v>
      </c>
      <c r="S539" s="7">
        <v>-0.43499999999999939</v>
      </c>
      <c r="T539" s="7">
        <v>-1</v>
      </c>
      <c r="U539" s="1" t="s">
        <v>1116</v>
      </c>
      <c r="W539" s="1">
        <v>1450964</v>
      </c>
    </row>
    <row r="540" spans="1:23" x14ac:dyDescent="0.25">
      <c r="A540" s="76">
        <v>3</v>
      </c>
      <c r="B540" s="76" t="s">
        <v>54</v>
      </c>
      <c r="C540" s="76">
        <v>2006</v>
      </c>
      <c r="D540" s="76" t="str">
        <f t="shared" si="43"/>
        <v>A06X</v>
      </c>
      <c r="E540" s="76" t="s">
        <v>33</v>
      </c>
      <c r="F540" s="77" t="s">
        <v>669</v>
      </c>
      <c r="G540" s="78">
        <v>0.90916791512694317</v>
      </c>
      <c r="H540" s="79">
        <v>38926</v>
      </c>
      <c r="I540" s="79">
        <v>38926</v>
      </c>
      <c r="J540" s="3" t="str">
        <f t="shared" si="40"/>
        <v/>
      </c>
      <c r="K540" s="7">
        <v>-3.9682539682540652E-3</v>
      </c>
      <c r="L540" s="7">
        <v>-5.4622968292028506E-3</v>
      </c>
      <c r="M540" s="7">
        <v>-1.8681611956237187E-3</v>
      </c>
      <c r="N540" s="7">
        <v>-1.603849238170918E-3</v>
      </c>
      <c r="O540" s="7">
        <v>1.4999999999997682E-2</v>
      </c>
      <c r="P540" s="7">
        <v>0</v>
      </c>
      <c r="Q540" s="7">
        <v>-3.7499999999999978E-2</v>
      </c>
      <c r="R540" s="7">
        <v>-0.20249999999999768</v>
      </c>
      <c r="S540" s="7">
        <v>-0.96999999999999886</v>
      </c>
      <c r="T540" s="7">
        <v>-1</v>
      </c>
      <c r="U540" s="1" t="s">
        <v>1116</v>
      </c>
      <c r="W540" s="1">
        <v>229377</v>
      </c>
    </row>
    <row r="541" spans="1:23" x14ac:dyDescent="0.25">
      <c r="A541" s="76">
        <v>3</v>
      </c>
      <c r="B541" s="76" t="s">
        <v>54</v>
      </c>
      <c r="C541" s="76">
        <v>2006</v>
      </c>
      <c r="D541" s="76" t="str">
        <f t="shared" si="43"/>
        <v>A06X</v>
      </c>
      <c r="E541" s="76" t="s">
        <v>33</v>
      </c>
      <c r="F541" s="77" t="s">
        <v>670</v>
      </c>
      <c r="G541" s="78">
        <v>0.98588881035378262</v>
      </c>
      <c r="H541" s="79">
        <v>39066</v>
      </c>
      <c r="I541" s="79">
        <v>42201</v>
      </c>
      <c r="J541" s="3">
        <f t="shared" si="40"/>
        <v>9</v>
      </c>
      <c r="K541" s="7">
        <v>1.0582010582011803E-2</v>
      </c>
      <c r="L541" s="7">
        <v>7.86037836397524E-3</v>
      </c>
      <c r="M541" s="7">
        <v>1.0808646917534137E-2</v>
      </c>
      <c r="N541" s="7">
        <v>1.2429831595829999E-2</v>
      </c>
      <c r="O541" s="7">
        <v>2.7499999999997637E-2</v>
      </c>
      <c r="P541" s="7">
        <v>2.2500000000000187E-2</v>
      </c>
      <c r="Q541" s="7">
        <v>3.0000000000000027E-2</v>
      </c>
      <c r="R541" s="7">
        <v>-1.000000000000012E-2</v>
      </c>
      <c r="S541" s="7">
        <v>-0.24249999999999972</v>
      </c>
      <c r="T541" s="7">
        <v>-1</v>
      </c>
      <c r="U541" s="1">
        <v>3804</v>
      </c>
      <c r="W541" s="1">
        <v>1746758</v>
      </c>
    </row>
    <row r="542" spans="1:23" x14ac:dyDescent="0.25">
      <c r="A542" s="76">
        <v>3</v>
      </c>
      <c r="B542" s="76" t="s">
        <v>54</v>
      </c>
      <c r="C542" s="76">
        <v>2006</v>
      </c>
      <c r="D542" s="76" t="str">
        <f t="shared" si="43"/>
        <v>A06X</v>
      </c>
      <c r="E542" s="76" t="s">
        <v>33</v>
      </c>
      <c r="F542" s="77" t="s">
        <v>671</v>
      </c>
      <c r="G542" s="78">
        <v>0.95991497404859838</v>
      </c>
      <c r="H542" s="79">
        <v>42139</v>
      </c>
      <c r="I542" s="79">
        <v>42139</v>
      </c>
      <c r="J542" s="3" t="str">
        <f t="shared" si="40"/>
        <v/>
      </c>
      <c r="K542" s="7">
        <v>-7.2751322751324343E-3</v>
      </c>
      <c r="L542" s="7">
        <v>-1.2123634425792229E-2</v>
      </c>
      <c r="M542" s="7">
        <v>-1.0541766746731018E-2</v>
      </c>
      <c r="N542" s="7">
        <v>-9.6230954290292825E-3</v>
      </c>
      <c r="O542" s="7">
        <v>0</v>
      </c>
      <c r="P542" s="7">
        <v>-5.0000000000011147E-3</v>
      </c>
      <c r="Q542" s="7">
        <v>-5.0000000000011147E-3</v>
      </c>
      <c r="R542" s="7">
        <v>-4.4999999999998819E-2</v>
      </c>
      <c r="S542" s="7">
        <v>-0.25749999999999884</v>
      </c>
      <c r="T542" s="7">
        <v>-1</v>
      </c>
      <c r="U542" s="1">
        <v>2420</v>
      </c>
      <c r="W542" s="1">
        <v>962651</v>
      </c>
    </row>
    <row r="543" spans="1:23" x14ac:dyDescent="0.25">
      <c r="A543" s="76">
        <v>3</v>
      </c>
      <c r="B543" s="76" t="s">
        <v>54</v>
      </c>
      <c r="C543" s="76">
        <v>2006</v>
      </c>
      <c r="D543" s="76" t="str">
        <f t="shared" si="43"/>
        <v>A06X</v>
      </c>
      <c r="E543" s="76" t="s">
        <v>33</v>
      </c>
      <c r="F543" s="77" t="s">
        <v>672</v>
      </c>
      <c r="G543" s="78">
        <v>0.98400839824747088</v>
      </c>
      <c r="H543" s="79">
        <v>42152</v>
      </c>
      <c r="I543" s="79">
        <v>42152</v>
      </c>
      <c r="J543" s="3" t="str">
        <f t="shared" si="40"/>
        <v/>
      </c>
      <c r="K543" s="7">
        <v>3.3068783068779251E-3</v>
      </c>
      <c r="L543" s="7">
        <v>-9.4590993871567219E-3</v>
      </c>
      <c r="M543" s="7">
        <v>-6.5385641846804621E-3</v>
      </c>
      <c r="N543" s="7">
        <v>-2.6730820636244879E-4</v>
      </c>
      <c r="O543" s="7">
        <v>1.9999999999998908E-2</v>
      </c>
      <c r="P543" s="7">
        <v>1.2499999999999956E-2</v>
      </c>
      <c r="Q543" s="7">
        <v>4.0000000000003366E-2</v>
      </c>
      <c r="R543" s="7">
        <v>0</v>
      </c>
      <c r="S543" s="7">
        <v>-0.17500000000000004</v>
      </c>
      <c r="T543" s="7">
        <v>-1</v>
      </c>
      <c r="U543" s="1">
        <v>4375</v>
      </c>
      <c r="W543" s="1">
        <v>1792709</v>
      </c>
    </row>
    <row r="544" spans="1:23" x14ac:dyDescent="0.25">
      <c r="A544" s="76">
        <v>3</v>
      </c>
      <c r="B544" s="76" t="s">
        <v>54</v>
      </c>
      <c r="C544" s="76">
        <v>2006</v>
      </c>
      <c r="D544" s="76" t="str">
        <f t="shared" si="43"/>
        <v>A06X</v>
      </c>
      <c r="E544" s="76" t="s">
        <v>33</v>
      </c>
      <c r="F544" s="77" t="s">
        <v>673</v>
      </c>
      <c r="G544" s="78">
        <v>0.96836505231063552</v>
      </c>
      <c r="H544" s="79">
        <v>42137</v>
      </c>
      <c r="I544" s="79">
        <v>42137</v>
      </c>
      <c r="J544" s="3" t="str">
        <f t="shared" si="40"/>
        <v/>
      </c>
      <c r="K544" s="7">
        <v>7.9365079365079083E-3</v>
      </c>
      <c r="L544" s="7">
        <v>2.5313082867042258E-3</v>
      </c>
      <c r="M544" s="7">
        <v>-2.5353616226314601E-3</v>
      </c>
      <c r="N544" s="7">
        <v>-3.6086607858866193E-3</v>
      </c>
      <c r="O544" s="7">
        <v>-4.2499999999998317E-2</v>
      </c>
      <c r="P544" s="7">
        <v>5.7499999999998774E-2</v>
      </c>
      <c r="Q544" s="7">
        <v>9.9999999999993427E-3</v>
      </c>
      <c r="R544" s="7">
        <v>-1.4999999999997682E-2</v>
      </c>
      <c r="S544" s="7">
        <v>-0.31500000000000339</v>
      </c>
      <c r="T544" s="7">
        <v>-1</v>
      </c>
      <c r="U544" s="1">
        <v>2456</v>
      </c>
      <c r="W544" s="1">
        <v>935565</v>
      </c>
    </row>
    <row r="545" spans="1:23" x14ac:dyDescent="0.25">
      <c r="A545" s="76">
        <v>3</v>
      </c>
      <c r="B545" s="76" t="s">
        <v>54</v>
      </c>
      <c r="C545" s="76">
        <v>2006</v>
      </c>
      <c r="D545" s="76" t="str">
        <f t="shared" si="43"/>
        <v>A06X</v>
      </c>
      <c r="E545" s="76" t="s">
        <v>33</v>
      </c>
      <c r="F545" s="77" t="s">
        <v>676</v>
      </c>
      <c r="G545" s="78">
        <v>0.96530337094079954</v>
      </c>
      <c r="H545" s="79">
        <v>42137</v>
      </c>
      <c r="I545" s="79">
        <v>42137</v>
      </c>
      <c r="J545" s="3" t="str">
        <f t="shared" si="40"/>
        <v/>
      </c>
      <c r="K545" s="7">
        <v>2.447089947089931E-2</v>
      </c>
      <c r="L545" s="7">
        <v>2.1849187316812957E-2</v>
      </c>
      <c r="M545" s="7">
        <v>2.0816653322658141E-2</v>
      </c>
      <c r="N545" s="7">
        <v>2.0449077786687697E-2</v>
      </c>
      <c r="O545" s="7">
        <v>2.7500000000003411E-2</v>
      </c>
      <c r="P545" s="7">
        <v>1.7500000000001181E-2</v>
      </c>
      <c r="Q545" s="7">
        <v>3.4999999999996589E-2</v>
      </c>
      <c r="R545" s="7">
        <v>-2.2499999999996634E-2</v>
      </c>
      <c r="S545" s="7">
        <v>-0.61750000000000116</v>
      </c>
      <c r="T545" s="7">
        <v>-1</v>
      </c>
      <c r="U545" s="1">
        <v>3401</v>
      </c>
      <c r="W545" s="1">
        <v>2491842</v>
      </c>
    </row>
    <row r="546" spans="1:23" x14ac:dyDescent="0.25">
      <c r="A546" s="76">
        <v>3</v>
      </c>
      <c r="B546" s="76" t="s">
        <v>54</v>
      </c>
      <c r="C546" s="76">
        <v>2006</v>
      </c>
      <c r="D546" s="76" t="str">
        <f t="shared" si="43"/>
        <v>A06X</v>
      </c>
      <c r="E546" s="76" t="s">
        <v>33</v>
      </c>
      <c r="F546" s="77" t="s">
        <v>677</v>
      </c>
      <c r="G546" s="78">
        <v>1.0006576366011908</v>
      </c>
      <c r="H546" s="79">
        <v>39088</v>
      </c>
      <c r="I546" s="79">
        <v>39088</v>
      </c>
      <c r="J546" s="3" t="str">
        <f t="shared" si="40"/>
        <v/>
      </c>
      <c r="K546" s="7">
        <v>4.9603174603173539E-2</v>
      </c>
      <c r="L546" s="7">
        <v>4.4497735145218265E-2</v>
      </c>
      <c r="M546" s="7">
        <v>4.4835868694955927E-2</v>
      </c>
      <c r="N546" s="7">
        <v>4.4506816359262347E-2</v>
      </c>
      <c r="O546" s="7">
        <v>5.2499999999999103E-2</v>
      </c>
      <c r="P546" s="7">
        <v>6.0000000000000941E-2</v>
      </c>
      <c r="Q546" s="7">
        <v>4.7499999999999432E-2</v>
      </c>
      <c r="R546" s="7">
        <v>-1.2499999999999956E-2</v>
      </c>
      <c r="S546" s="7">
        <v>-0.42999999999999972</v>
      </c>
      <c r="T546" s="7">
        <v>-1</v>
      </c>
      <c r="U546" s="1" t="s">
        <v>1116</v>
      </c>
      <c r="W546" s="1">
        <v>1590006</v>
      </c>
    </row>
    <row r="547" spans="1:23" x14ac:dyDescent="0.25">
      <c r="A547" s="76">
        <v>3</v>
      </c>
      <c r="B547" s="76" t="s">
        <v>54</v>
      </c>
      <c r="C547" s="76">
        <v>2006</v>
      </c>
      <c r="D547" s="76" t="str">
        <f t="shared" ref="D547:D552" si="44">LEFT(F547,4)</f>
        <v>A06X</v>
      </c>
      <c r="E547" s="76" t="s">
        <v>33</v>
      </c>
      <c r="F547" s="77" t="s">
        <v>678</v>
      </c>
      <c r="G547" s="78">
        <v>0.98606089894446514</v>
      </c>
      <c r="H547" s="79">
        <v>42137</v>
      </c>
      <c r="I547" s="79">
        <v>42137</v>
      </c>
      <c r="J547" s="3" t="str">
        <f t="shared" si="40"/>
        <v/>
      </c>
      <c r="K547" s="7">
        <v>2.68096514745313E-2</v>
      </c>
      <c r="L547" s="7">
        <v>2.9371954520844845E-2</v>
      </c>
      <c r="M547" s="7">
        <v>3.116531165311609E-2</v>
      </c>
      <c r="N547" s="7">
        <v>3.1123139377537079E-2</v>
      </c>
      <c r="O547" s="7">
        <v>7.7500000000003455E-2</v>
      </c>
      <c r="P547" s="7">
        <v>1.4999999999997682E-2</v>
      </c>
      <c r="Q547" s="7">
        <v>2.2500000000002185E-2</v>
      </c>
      <c r="R547" s="7">
        <v>-3.7499999999999978E-2</v>
      </c>
      <c r="S547" s="7">
        <v>-0.44250000000000111</v>
      </c>
      <c r="T547" s="7">
        <v>-1</v>
      </c>
      <c r="U547" s="1">
        <v>5831</v>
      </c>
      <c r="W547" s="1">
        <v>2492628</v>
      </c>
    </row>
    <row r="548" spans="1:23" x14ac:dyDescent="0.25">
      <c r="A548" s="76">
        <v>3</v>
      </c>
      <c r="B548" s="76" t="s">
        <v>54</v>
      </c>
      <c r="C548" s="76">
        <v>2006</v>
      </c>
      <c r="D548" s="76" t="str">
        <f t="shared" si="44"/>
        <v>A06X</v>
      </c>
      <c r="E548" s="76" t="s">
        <v>33</v>
      </c>
      <c r="F548" s="77" t="s">
        <v>679</v>
      </c>
      <c r="G548" s="78">
        <v>0.96542745208899383</v>
      </c>
      <c r="H548" s="79">
        <v>39100</v>
      </c>
      <c r="I548" s="79">
        <v>42753</v>
      </c>
      <c r="J548" s="3">
        <f t="shared" si="40"/>
        <v>10</v>
      </c>
      <c r="K548" s="7">
        <v>-9.3833780160863522E-3</v>
      </c>
      <c r="L548" s="7">
        <v>-5.8202490525175454E-3</v>
      </c>
      <c r="M548" s="7">
        <v>-6.0975609756097615E-3</v>
      </c>
      <c r="N548" s="7">
        <v>-6.7658998646823454E-3</v>
      </c>
      <c r="O548" s="7">
        <v>4.5000000000001705E-2</v>
      </c>
      <c r="P548" s="7">
        <v>-2.5000000000006128E-3</v>
      </c>
      <c r="Q548" s="7">
        <v>7.4999999999989519E-3</v>
      </c>
      <c r="R548" s="7">
        <v>-1.4999999999997682E-2</v>
      </c>
      <c r="S548" s="7">
        <v>-0.43000000000000116</v>
      </c>
      <c r="T548" s="7">
        <v>-1</v>
      </c>
      <c r="U548" s="1" t="s">
        <v>1116</v>
      </c>
      <c r="W548" s="1">
        <v>962406</v>
      </c>
    </row>
    <row r="549" spans="1:23" x14ac:dyDescent="0.25">
      <c r="A549" s="76">
        <v>3</v>
      </c>
      <c r="B549" s="76" t="s">
        <v>54</v>
      </c>
      <c r="C549" s="76">
        <v>2006</v>
      </c>
      <c r="D549" s="76" t="str">
        <f t="shared" si="44"/>
        <v>A06X</v>
      </c>
      <c r="E549" s="76" t="s">
        <v>33</v>
      </c>
      <c r="F549" s="77" t="s">
        <v>680</v>
      </c>
      <c r="G549" s="78">
        <v>0.96735408711662019</v>
      </c>
      <c r="H549" s="79">
        <v>42152</v>
      </c>
      <c r="I549" s="79">
        <v>42152</v>
      </c>
      <c r="J549" s="3" t="str">
        <f t="shared" si="40"/>
        <v/>
      </c>
      <c r="K549" s="7">
        <v>3.9544235924933169E-2</v>
      </c>
      <c r="L549" s="7">
        <v>3.7493232268544174E-2</v>
      </c>
      <c r="M549" s="7">
        <v>4.2682926829267442E-2</v>
      </c>
      <c r="N549" s="7">
        <v>4.3301759133965056E-2</v>
      </c>
      <c r="O549" s="7">
        <v>7.7499999999997682E-2</v>
      </c>
      <c r="P549" s="7">
        <v>4.2500000000001092E-2</v>
      </c>
      <c r="Q549" s="7">
        <v>4.0000000000003366E-2</v>
      </c>
      <c r="R549" s="7">
        <v>-1.2499999999999956E-2</v>
      </c>
      <c r="S549" s="7">
        <v>-0.99000000000000343</v>
      </c>
      <c r="T549" s="7">
        <v>-1</v>
      </c>
      <c r="U549" s="1">
        <v>4023</v>
      </c>
      <c r="W549" s="1">
        <v>1621981</v>
      </c>
    </row>
    <row r="550" spans="1:23" x14ac:dyDescent="0.25">
      <c r="A550" s="76">
        <v>3</v>
      </c>
      <c r="B550" s="76" t="s">
        <v>54</v>
      </c>
      <c r="C550" s="76">
        <v>2006</v>
      </c>
      <c r="D550" s="76" t="str">
        <f t="shared" si="44"/>
        <v>A06X</v>
      </c>
      <c r="E550" s="76" t="s">
        <v>33</v>
      </c>
      <c r="F550" s="77" t="s">
        <v>682</v>
      </c>
      <c r="G550" s="78">
        <v>0.90158789824567287</v>
      </c>
      <c r="H550" s="79">
        <v>39070</v>
      </c>
      <c r="I550" s="79">
        <v>39070</v>
      </c>
      <c r="J550" s="3" t="str">
        <f t="shared" si="40"/>
        <v/>
      </c>
      <c r="K550" s="7">
        <v>-4.8257372654161301E-3</v>
      </c>
      <c r="L550" s="7">
        <v>-5.1434759068759162E-3</v>
      </c>
      <c r="M550" s="7">
        <v>-4.7425474254736422E-3</v>
      </c>
      <c r="N550" s="7">
        <v>2.7063599458729826E-3</v>
      </c>
      <c r="O550" s="7">
        <v>3.7500000000000089E-2</v>
      </c>
      <c r="P550" s="7">
        <v>-7.5000000000045031E-3</v>
      </c>
      <c r="Q550" s="7">
        <v>-7.7499999999997682E-2</v>
      </c>
      <c r="R550" s="7">
        <v>-0.26750000000000118</v>
      </c>
      <c r="S550" s="7">
        <v>-0.99499999999999889</v>
      </c>
      <c r="T550" s="7">
        <v>-1</v>
      </c>
      <c r="U550" s="1" t="s">
        <v>1116</v>
      </c>
      <c r="W550" s="1">
        <v>1296833</v>
      </c>
    </row>
    <row r="551" spans="1:23" x14ac:dyDescent="0.25">
      <c r="A551" s="76">
        <v>3</v>
      </c>
      <c r="B551" s="76" t="s">
        <v>54</v>
      </c>
      <c r="C551" s="76">
        <v>2006</v>
      </c>
      <c r="D551" s="76" t="str">
        <f t="shared" si="44"/>
        <v>A06X</v>
      </c>
      <c r="E551" s="76" t="s">
        <v>33</v>
      </c>
      <c r="F551" s="77" t="s">
        <v>683</v>
      </c>
      <c r="G551" s="78">
        <v>0.91270338408103691</v>
      </c>
      <c r="H551" s="79">
        <v>42137</v>
      </c>
      <c r="I551" s="79">
        <v>42137</v>
      </c>
      <c r="J551" s="3" t="str">
        <f t="shared" si="40"/>
        <v/>
      </c>
      <c r="K551" s="7">
        <v>-3.3512064343144132E-3</v>
      </c>
      <c r="L551" s="7">
        <v>-5.1434759068759162E-3</v>
      </c>
      <c r="M551" s="7">
        <v>-6.0975609756097615E-3</v>
      </c>
      <c r="N551" s="7">
        <v>-3.3829499323413392E-3</v>
      </c>
      <c r="O551" s="7">
        <v>2.2500000000002185E-2</v>
      </c>
      <c r="P551" s="7">
        <v>-7.5000000000017275E-3</v>
      </c>
      <c r="Q551" s="7">
        <v>-4.4999999999998819E-2</v>
      </c>
      <c r="R551" s="7">
        <v>-0.11750000000000116</v>
      </c>
      <c r="S551" s="7">
        <v>-0.99249999999999827</v>
      </c>
      <c r="T551" s="7">
        <v>-1</v>
      </c>
      <c r="U551" s="1">
        <v>1946</v>
      </c>
      <c r="W551" s="1">
        <v>2490412</v>
      </c>
    </row>
    <row r="552" spans="1:23" x14ac:dyDescent="0.25">
      <c r="A552" s="76">
        <v>3</v>
      </c>
      <c r="B552" s="76" t="s">
        <v>54</v>
      </c>
      <c r="C552" s="76">
        <v>2006</v>
      </c>
      <c r="D552" s="76" t="str">
        <f t="shared" si="44"/>
        <v>A06X</v>
      </c>
      <c r="E552" s="76" t="s">
        <v>33</v>
      </c>
      <c r="F552" s="77" t="s">
        <v>684</v>
      </c>
      <c r="G552" s="78">
        <v>0.94937585878072761</v>
      </c>
      <c r="H552" s="79">
        <v>39088</v>
      </c>
      <c r="I552" s="79">
        <v>39088</v>
      </c>
      <c r="J552" s="3" t="str">
        <f t="shared" si="40"/>
        <v/>
      </c>
      <c r="K552" s="7">
        <v>2.077747989276113E-2</v>
      </c>
      <c r="L552" s="7">
        <v>1.786681104493848E-2</v>
      </c>
      <c r="M552" s="7">
        <v>2.2357723577234978E-2</v>
      </c>
      <c r="N552" s="7">
        <v>2.5033829499323312E-2</v>
      </c>
      <c r="O552" s="7">
        <v>6.0000000000002274E-2</v>
      </c>
      <c r="P552" s="7">
        <v>3.5000000000002363E-2</v>
      </c>
      <c r="Q552" s="7">
        <v>1.2499999999999956E-2</v>
      </c>
      <c r="R552" s="7">
        <v>-6.25E-2</v>
      </c>
      <c r="S552" s="7">
        <v>-0.99250000000000116</v>
      </c>
      <c r="T552" s="7">
        <v>-1</v>
      </c>
      <c r="U552" s="1" t="s">
        <v>1116</v>
      </c>
      <c r="W552" s="1">
        <v>1590111</v>
      </c>
    </row>
    <row r="553" spans="1:23" x14ac:dyDescent="0.25">
      <c r="A553" s="76">
        <v>3</v>
      </c>
      <c r="B553" s="76" t="s">
        <v>54</v>
      </c>
      <c r="C553" s="76">
        <v>2006</v>
      </c>
      <c r="D553" s="76" t="str">
        <f t="shared" ref="D553:D561" si="45">LEFT(F553,4)</f>
        <v>A06X</v>
      </c>
      <c r="E553" s="76" t="s">
        <v>33</v>
      </c>
      <c r="F553" s="77" t="s">
        <v>688</v>
      </c>
      <c r="G553" s="78">
        <v>1.0286351764396284</v>
      </c>
      <c r="H553" s="79">
        <v>39134</v>
      </c>
      <c r="I553" s="79">
        <v>39134</v>
      </c>
      <c r="J553" s="3" t="str">
        <f t="shared" si="40"/>
        <v/>
      </c>
      <c r="K553" s="7">
        <v>3.4598815293484408E-2</v>
      </c>
      <c r="L553" s="7">
        <v>4.7644829453167059E-2</v>
      </c>
      <c r="M553" s="7">
        <v>3.5230352303524226E-2</v>
      </c>
      <c r="N553" s="7">
        <v>4.47154471544704E-2</v>
      </c>
      <c r="O553" s="7">
        <v>6.7500000000001226E-2</v>
      </c>
      <c r="P553" s="7">
        <v>5.7499999999998774E-2</v>
      </c>
      <c r="Q553" s="7">
        <v>8.0000000000001181E-2</v>
      </c>
      <c r="R553" s="7">
        <v>4.4999999999998819E-2</v>
      </c>
      <c r="S553" s="7">
        <v>-0.12249999999999661</v>
      </c>
      <c r="T553" s="7">
        <v>-1</v>
      </c>
      <c r="U553" s="1" t="s">
        <v>1116</v>
      </c>
      <c r="W553" s="1">
        <v>1306014</v>
      </c>
    </row>
    <row r="554" spans="1:23" x14ac:dyDescent="0.25">
      <c r="A554" s="76">
        <v>3</v>
      </c>
      <c r="B554" s="76" t="s">
        <v>54</v>
      </c>
      <c r="C554" s="76">
        <v>2006</v>
      </c>
      <c r="D554" s="76" t="str">
        <f t="shared" si="45"/>
        <v>A06X</v>
      </c>
      <c r="E554" s="76" t="s">
        <v>33</v>
      </c>
      <c r="F554" s="77" t="s">
        <v>689</v>
      </c>
      <c r="G554" s="78">
        <v>0.96656944221535002</v>
      </c>
      <c r="H554" s="79">
        <v>42137</v>
      </c>
      <c r="I554" s="79">
        <v>42137</v>
      </c>
      <c r="J554" s="3" t="str">
        <f t="shared" si="40"/>
        <v/>
      </c>
      <c r="K554" s="7">
        <v>-7.1351642434033247E-3</v>
      </c>
      <c r="L554" s="7">
        <v>-1.3941526800216208E-2</v>
      </c>
      <c r="M554" s="7">
        <v>2.5067750677506551E-2</v>
      </c>
      <c r="N554" s="7">
        <v>-1.4227642276422703E-2</v>
      </c>
      <c r="O554" s="7">
        <v>1.4999999999999902E-2</v>
      </c>
      <c r="P554" s="7">
        <v>7.5000000000002842E-3</v>
      </c>
      <c r="Q554" s="7">
        <v>-2.4999999999998357E-3</v>
      </c>
      <c r="R554" s="7">
        <v>-1.7500000000000404E-2</v>
      </c>
      <c r="S554" s="7">
        <v>-0.3274999999999999</v>
      </c>
      <c r="T554" s="7">
        <v>-1</v>
      </c>
      <c r="U554" s="1">
        <v>5570</v>
      </c>
      <c r="W554" s="1">
        <v>4019385</v>
      </c>
    </row>
    <row r="555" spans="1:23" x14ac:dyDescent="0.25">
      <c r="A555" s="76">
        <v>3</v>
      </c>
      <c r="B555" s="76" t="s">
        <v>54</v>
      </c>
      <c r="C555" s="76">
        <v>2006</v>
      </c>
      <c r="D555" s="76" t="str">
        <f t="shared" si="45"/>
        <v>A06X</v>
      </c>
      <c r="E555" s="76" t="s">
        <v>33</v>
      </c>
      <c r="F555" s="77" t="s">
        <v>690</v>
      </c>
      <c r="G555" s="78">
        <v>1.0147190569475062</v>
      </c>
      <c r="H555" s="79">
        <v>39066</v>
      </c>
      <c r="I555" s="79">
        <v>39066</v>
      </c>
      <c r="J555" s="3" t="str">
        <f t="shared" si="40"/>
        <v/>
      </c>
      <c r="K555" s="7">
        <v>2.1809369951534707E-2</v>
      </c>
      <c r="L555" s="7">
        <v>2.1250676773145516E-2</v>
      </c>
      <c r="M555" s="7">
        <v>3.1842818428184705E-2</v>
      </c>
      <c r="N555" s="7">
        <v>3.1842818428184039E-2</v>
      </c>
      <c r="O555" s="7">
        <v>5.0000000000000044E-2</v>
      </c>
      <c r="P555" s="7">
        <v>3.9999999999997815E-2</v>
      </c>
      <c r="Q555" s="7">
        <v>5.7500000000001661E-2</v>
      </c>
      <c r="R555" s="7">
        <v>4.2499999999998206E-2</v>
      </c>
      <c r="S555" s="7">
        <v>-0.10749999999999882</v>
      </c>
      <c r="T555" s="7">
        <v>-1</v>
      </c>
      <c r="U555" s="1" t="s">
        <v>1116</v>
      </c>
      <c r="W555" s="1">
        <v>1764004</v>
      </c>
    </row>
    <row r="556" spans="1:23" x14ac:dyDescent="0.25">
      <c r="A556" s="76">
        <v>3</v>
      </c>
      <c r="B556" s="76" t="s">
        <v>54</v>
      </c>
      <c r="C556" s="76">
        <v>2006</v>
      </c>
      <c r="D556" s="76" t="str">
        <f t="shared" si="45"/>
        <v>A06X</v>
      </c>
      <c r="E556" s="76" t="s">
        <v>33</v>
      </c>
      <c r="F556" s="77" t="s">
        <v>691</v>
      </c>
      <c r="G556" s="78">
        <v>0.95168713211726419</v>
      </c>
      <c r="H556" s="79">
        <v>39066</v>
      </c>
      <c r="I556" s="79">
        <v>39066</v>
      </c>
      <c r="J556" s="3" t="str">
        <f t="shared" si="40"/>
        <v/>
      </c>
      <c r="K556" s="7">
        <v>2.2482498653742633E-2</v>
      </c>
      <c r="L556" s="7">
        <v>2.2604223064428774E-2</v>
      </c>
      <c r="M556" s="7">
        <v>2.5745257452574499E-2</v>
      </c>
      <c r="N556" s="7">
        <v>2.4390243902439268E-2</v>
      </c>
      <c r="O556" s="7">
        <v>3.7500000000000089E-2</v>
      </c>
      <c r="P556" s="7">
        <v>1.5000000000000568E-2</v>
      </c>
      <c r="Q556" s="7">
        <v>9.9999999999993427E-3</v>
      </c>
      <c r="R556" s="7">
        <v>-9.9999999999994538E-3</v>
      </c>
      <c r="S556" s="7">
        <v>-0.85250000000000059</v>
      </c>
      <c r="T556" s="7">
        <v>-1</v>
      </c>
      <c r="U556" s="1" t="s">
        <v>1116</v>
      </c>
      <c r="W556" s="1">
        <v>1764731</v>
      </c>
    </row>
    <row r="557" spans="1:23" x14ac:dyDescent="0.25">
      <c r="A557" s="76">
        <v>3</v>
      </c>
      <c r="B557" s="76" t="s">
        <v>54</v>
      </c>
      <c r="C557" s="76">
        <v>2006</v>
      </c>
      <c r="D557" s="76" t="str">
        <f t="shared" si="45"/>
        <v>A06X</v>
      </c>
      <c r="E557" s="76" t="s">
        <v>33</v>
      </c>
      <c r="F557" s="77" t="s">
        <v>692</v>
      </c>
      <c r="G557" s="78">
        <v>0.96581084799813843</v>
      </c>
      <c r="H557" s="79">
        <v>42145</v>
      </c>
      <c r="I557" s="79">
        <v>42145</v>
      </c>
      <c r="J557" s="3" t="str">
        <f t="shared" si="40"/>
        <v/>
      </c>
      <c r="K557" s="7">
        <v>-1.7232094776521323E-2</v>
      </c>
      <c r="L557" s="7">
        <v>-2.0709258256632057E-2</v>
      </c>
      <c r="M557" s="7">
        <v>-1.5582655826558933E-2</v>
      </c>
      <c r="N557" s="7">
        <v>-1.6260162601626105E-2</v>
      </c>
      <c r="O557" s="7">
        <v>0</v>
      </c>
      <c r="P557" s="7">
        <v>-5.0000000000011147E-3</v>
      </c>
      <c r="Q557" s="7">
        <v>0</v>
      </c>
      <c r="R557" s="7">
        <v>-1.4999999999999125E-2</v>
      </c>
      <c r="S557" s="7">
        <v>-0.17250000000000087</v>
      </c>
      <c r="T557" s="7">
        <v>-1</v>
      </c>
      <c r="U557" s="1">
        <v>2532</v>
      </c>
      <c r="W557" s="1">
        <v>884847</v>
      </c>
    </row>
    <row r="558" spans="1:23" x14ac:dyDescent="0.25">
      <c r="A558" s="76">
        <v>3</v>
      </c>
      <c r="B558" s="76" t="s">
        <v>54</v>
      </c>
      <c r="C558" s="76">
        <v>2006</v>
      </c>
      <c r="D558" s="76" t="str">
        <f t="shared" si="45"/>
        <v>A06X</v>
      </c>
      <c r="E558" s="76" t="s">
        <v>33</v>
      </c>
      <c r="F558" s="77" t="s">
        <v>693</v>
      </c>
      <c r="G558" s="78">
        <v>0.93614798555551848</v>
      </c>
      <c r="H558" s="79">
        <v>42144</v>
      </c>
      <c r="I558" s="79">
        <v>42144</v>
      </c>
      <c r="J558" s="3" t="str">
        <f t="shared" si="40"/>
        <v/>
      </c>
      <c r="K558" s="7">
        <v>-4.4426494345720657E-3</v>
      </c>
      <c r="L558" s="7">
        <v>-3.7899296155924356E-3</v>
      </c>
      <c r="M558" s="7">
        <v>-3.387533875338522E-3</v>
      </c>
      <c r="N558" s="7">
        <v>-3.3875338753392992E-3</v>
      </c>
      <c r="O558" s="7">
        <v>5.0000000000012257E-3</v>
      </c>
      <c r="P558" s="7">
        <v>-5.0000000000000044E-2</v>
      </c>
      <c r="Q558" s="7">
        <v>9.9999999999993427E-3</v>
      </c>
      <c r="R558" s="7">
        <v>-1.9999999999998908E-2</v>
      </c>
      <c r="S558" s="7">
        <v>-0.58999999999999775</v>
      </c>
      <c r="T558" s="7">
        <v>-1</v>
      </c>
      <c r="U558" s="1">
        <v>3750</v>
      </c>
      <c r="W558" s="1">
        <v>3217591</v>
      </c>
    </row>
    <row r="559" spans="1:23" x14ac:dyDescent="0.25">
      <c r="A559" s="76">
        <v>3</v>
      </c>
      <c r="B559" s="76" t="s">
        <v>54</v>
      </c>
      <c r="C559" s="76">
        <v>2006</v>
      </c>
      <c r="D559" s="76" t="str">
        <f t="shared" si="45"/>
        <v>A06X</v>
      </c>
      <c r="E559" s="76" t="s">
        <v>33</v>
      </c>
      <c r="F559" s="77" t="s">
        <v>694</v>
      </c>
      <c r="G559" s="78">
        <v>0.92483323532685846</v>
      </c>
      <c r="H559" s="79">
        <v>42137</v>
      </c>
      <c r="I559" s="79">
        <v>42137</v>
      </c>
      <c r="J559" s="3" t="str">
        <f t="shared" si="40"/>
        <v/>
      </c>
      <c r="K559" s="7">
        <v>4.9811523963378956E-3</v>
      </c>
      <c r="L559" s="7">
        <v>5.0081212777477457E-3</v>
      </c>
      <c r="M559" s="7">
        <v>6.775067750676822E-3</v>
      </c>
      <c r="N559" s="7">
        <v>6.7750677506783763E-3</v>
      </c>
      <c r="O559" s="7">
        <v>1.4999999999997682E-2</v>
      </c>
      <c r="P559" s="7">
        <v>1.0000000000002229E-2</v>
      </c>
      <c r="Q559" s="7">
        <v>-3.7499999999999978E-2</v>
      </c>
      <c r="R559" s="7">
        <v>-3.2500000000004525E-2</v>
      </c>
      <c r="S559" s="7">
        <v>-0.99499999999999655</v>
      </c>
      <c r="T559" s="7">
        <v>-1</v>
      </c>
      <c r="U559" s="1">
        <v>2602</v>
      </c>
      <c r="W559" s="1">
        <v>937843</v>
      </c>
    </row>
    <row r="560" spans="1:23" x14ac:dyDescent="0.25">
      <c r="A560" s="76">
        <v>3</v>
      </c>
      <c r="B560" s="76" t="s">
        <v>54</v>
      </c>
      <c r="C560" s="76">
        <v>2006</v>
      </c>
      <c r="D560" s="76" t="str">
        <f t="shared" si="45"/>
        <v>A06X</v>
      </c>
      <c r="E560" s="76" t="s">
        <v>33</v>
      </c>
      <c r="F560" s="77" t="s">
        <v>695</v>
      </c>
      <c r="G560" s="78">
        <v>0.91032458589901555</v>
      </c>
      <c r="H560" s="79">
        <v>42145</v>
      </c>
      <c r="I560" s="79">
        <v>42145</v>
      </c>
      <c r="J560" s="3" t="str">
        <f t="shared" si="40"/>
        <v/>
      </c>
      <c r="K560" s="7">
        <v>4.9811523963378956E-3</v>
      </c>
      <c r="L560" s="7">
        <v>-2.6800216567406054E-2</v>
      </c>
      <c r="M560" s="7">
        <v>3.1842818428184039E-2</v>
      </c>
      <c r="N560" s="7">
        <v>2.7100271002717946E-3</v>
      </c>
      <c r="O560" s="7">
        <v>1.4999999999997682E-2</v>
      </c>
      <c r="P560" s="7">
        <v>7.4999999999989519E-3</v>
      </c>
      <c r="Q560" s="7">
        <v>-8.2499999999998908E-2</v>
      </c>
      <c r="R560" s="7">
        <v>-0.14250000000000118</v>
      </c>
      <c r="S560" s="7">
        <v>-0.98750000000000004</v>
      </c>
      <c r="T560" s="7">
        <v>-1</v>
      </c>
      <c r="U560" s="1">
        <v>2830</v>
      </c>
      <c r="W560" s="1">
        <v>864421</v>
      </c>
    </row>
    <row r="561" spans="1:23" x14ac:dyDescent="0.25">
      <c r="A561" s="76">
        <v>3</v>
      </c>
      <c r="B561" s="76" t="s">
        <v>54</v>
      </c>
      <c r="C561" s="76">
        <v>2006</v>
      </c>
      <c r="D561" s="76" t="str">
        <f t="shared" si="45"/>
        <v>A06X</v>
      </c>
      <c r="E561" s="76" t="s">
        <v>33</v>
      </c>
      <c r="F561" s="77" t="s">
        <v>696</v>
      </c>
      <c r="G561" s="78">
        <v>0.945444142966128</v>
      </c>
      <c r="H561" s="79">
        <v>42150</v>
      </c>
      <c r="I561" s="79">
        <v>42150</v>
      </c>
      <c r="J561" s="3" t="str">
        <f t="shared" si="40"/>
        <v/>
      </c>
      <c r="K561" s="7">
        <v>1.8443726440495078E-2</v>
      </c>
      <c r="L561" s="7">
        <v>2.2604223064429885E-2</v>
      </c>
      <c r="M561" s="7">
        <v>2.3712737127370653E-2</v>
      </c>
      <c r="N561" s="7">
        <v>2.4390243902439268E-2</v>
      </c>
      <c r="O561" s="7">
        <v>2.2499999999996634E-2</v>
      </c>
      <c r="P561" s="7">
        <v>3.0000000000001137E-2</v>
      </c>
      <c r="Q561" s="7">
        <v>1.9999999999998908E-2</v>
      </c>
      <c r="R561" s="7">
        <v>-5.0000000000011147E-3</v>
      </c>
      <c r="S561" s="7">
        <v>-0.98249999999999882</v>
      </c>
      <c r="T561" s="7">
        <v>-1</v>
      </c>
      <c r="U561" s="1">
        <v>7522</v>
      </c>
      <c r="W561" s="1">
        <v>274186</v>
      </c>
    </row>
    <row r="562" spans="1:23" x14ac:dyDescent="0.25">
      <c r="A562" s="76">
        <v>3</v>
      </c>
      <c r="B562" s="76" t="s">
        <v>54</v>
      </c>
      <c r="C562" s="76">
        <v>2006</v>
      </c>
      <c r="D562" s="76" t="str">
        <f t="shared" ref="D562:D597" si="46">LEFT(F562,4)</f>
        <v>A06X</v>
      </c>
      <c r="E562" s="76" t="s">
        <v>33</v>
      </c>
      <c r="F562" s="77" t="s">
        <v>698</v>
      </c>
      <c r="G562" s="78">
        <v>0.96022710250191545</v>
      </c>
      <c r="H562" s="79">
        <v>39645</v>
      </c>
      <c r="I562" s="79">
        <v>39645</v>
      </c>
      <c r="J562" s="3" t="str">
        <f t="shared" si="40"/>
        <v/>
      </c>
      <c r="K562" s="7">
        <v>1.4144649052575398E-2</v>
      </c>
      <c r="L562" s="7">
        <v>1.041805796714268E-2</v>
      </c>
      <c r="M562" s="7">
        <v>1.2032085561497929E-2</v>
      </c>
      <c r="N562" s="7">
        <v>1.2709030100334529E-2</v>
      </c>
      <c r="O562" s="7">
        <v>1.4999999999999902E-2</v>
      </c>
      <c r="P562" s="7">
        <v>1.7499999999999627E-2</v>
      </c>
      <c r="Q562" s="7">
        <v>7.5000000000002842E-3</v>
      </c>
      <c r="R562" s="7">
        <v>-5.4999999999999716E-2</v>
      </c>
      <c r="S562" s="7">
        <v>-0.51500000000000057</v>
      </c>
      <c r="T562" s="7">
        <v>-1</v>
      </c>
      <c r="U562" s="1" t="s">
        <v>1116</v>
      </c>
      <c r="W562" s="1">
        <v>1050575</v>
      </c>
    </row>
    <row r="563" spans="1:23" x14ac:dyDescent="0.25">
      <c r="A563" s="76">
        <v>3</v>
      </c>
      <c r="B563" s="76" t="s">
        <v>54</v>
      </c>
      <c r="C563" s="76">
        <v>2006</v>
      </c>
      <c r="D563" s="76" t="str">
        <f t="shared" si="46"/>
        <v>A06X</v>
      </c>
      <c r="E563" s="76" t="s">
        <v>33</v>
      </c>
      <c r="F563" s="77" t="s">
        <v>699</v>
      </c>
      <c r="G563" s="78">
        <v>0.97227828212963818</v>
      </c>
      <c r="H563" s="79">
        <v>42137</v>
      </c>
      <c r="I563" s="79">
        <v>42137</v>
      </c>
      <c r="J563" s="3" t="str">
        <f t="shared" si="40"/>
        <v/>
      </c>
      <c r="K563" s="7">
        <v>3.4694422204433195E-3</v>
      </c>
      <c r="L563" s="7">
        <v>-2.671296914656951E-4</v>
      </c>
      <c r="M563" s="7">
        <v>-6.6844919786090973E-4</v>
      </c>
      <c r="N563" s="7">
        <v>-6.6889632107036689E-4</v>
      </c>
      <c r="O563" s="7">
        <v>5.0000000000012257E-3</v>
      </c>
      <c r="P563" s="7">
        <v>2.4999999999977263E-3</v>
      </c>
      <c r="Q563" s="7">
        <v>2.2500000000002185E-2</v>
      </c>
      <c r="R563" s="7">
        <v>1.7500000000001181E-2</v>
      </c>
      <c r="S563" s="7">
        <v>-0.27750000000000341</v>
      </c>
      <c r="T563" s="7">
        <v>-1</v>
      </c>
      <c r="U563" s="1">
        <v>2976</v>
      </c>
      <c r="W563" s="1">
        <v>935395</v>
      </c>
    </row>
    <row r="564" spans="1:23" x14ac:dyDescent="0.25">
      <c r="A564" s="76">
        <v>1.5</v>
      </c>
      <c r="B564" s="76" t="s">
        <v>187</v>
      </c>
      <c r="C564" s="76">
        <v>1996</v>
      </c>
      <c r="D564" s="76" t="str">
        <f t="shared" si="46"/>
        <v>Y96S</v>
      </c>
      <c r="E564" s="76" t="s">
        <v>96</v>
      </c>
      <c r="F564" s="77" t="s">
        <v>195</v>
      </c>
      <c r="G564" s="78">
        <v>0.72791701666666664</v>
      </c>
      <c r="H564" s="79"/>
      <c r="I564" s="79">
        <v>41240</v>
      </c>
      <c r="J564" s="3">
        <f t="shared" si="40"/>
        <v>112</v>
      </c>
    </row>
    <row r="565" spans="1:23" x14ac:dyDescent="0.25">
      <c r="A565" s="76">
        <v>1.5</v>
      </c>
      <c r="B565" s="76" t="s">
        <v>187</v>
      </c>
      <c r="C565" s="76">
        <v>1996</v>
      </c>
      <c r="D565" s="76" t="str">
        <f t="shared" si="46"/>
        <v>Y96S</v>
      </c>
      <c r="E565" s="76" t="s">
        <v>96</v>
      </c>
      <c r="F565" s="77" t="s">
        <v>196</v>
      </c>
      <c r="G565" s="78">
        <v>0.69412693333333308</v>
      </c>
      <c r="H565" s="79">
        <v>36923</v>
      </c>
      <c r="I565" s="79">
        <v>37725</v>
      </c>
      <c r="J565" s="3">
        <f t="shared" si="40"/>
        <v>2</v>
      </c>
    </row>
    <row r="566" spans="1:23" x14ac:dyDescent="0.25">
      <c r="A566" s="76">
        <v>1.5</v>
      </c>
      <c r="B566" s="76" t="s">
        <v>187</v>
      </c>
      <c r="C566" s="76">
        <v>1996</v>
      </c>
      <c r="D566" s="76" t="str">
        <f t="shared" si="46"/>
        <v>Y96S</v>
      </c>
      <c r="E566" s="76" t="s">
        <v>96</v>
      </c>
      <c r="F566" s="77" t="s">
        <v>197</v>
      </c>
      <c r="G566" s="78">
        <v>0.84328009999999987</v>
      </c>
      <c r="H566" s="79">
        <v>35570</v>
      </c>
      <c r="I566" s="79">
        <v>41237</v>
      </c>
      <c r="J566" s="3">
        <f t="shared" si="40"/>
        <v>15</v>
      </c>
    </row>
    <row r="567" spans="1:23" x14ac:dyDescent="0.25">
      <c r="A567" s="76">
        <v>1.5</v>
      </c>
      <c r="B567" s="76" t="s">
        <v>187</v>
      </c>
      <c r="C567" s="76">
        <v>1996</v>
      </c>
      <c r="D567" s="76" t="str">
        <f t="shared" si="46"/>
        <v>Y96S</v>
      </c>
      <c r="E567" s="76" t="s">
        <v>96</v>
      </c>
      <c r="F567" s="77" t="s">
        <v>198</v>
      </c>
      <c r="G567" s="78">
        <v>0.68373728333333339</v>
      </c>
      <c r="H567" s="79">
        <v>35509</v>
      </c>
      <c r="I567" s="79">
        <v>37672</v>
      </c>
      <c r="J567" s="3">
        <f t="shared" si="40"/>
        <v>6</v>
      </c>
    </row>
    <row r="568" spans="1:23" x14ac:dyDescent="0.25">
      <c r="A568" s="76">
        <v>1.5</v>
      </c>
      <c r="B568" s="76" t="s">
        <v>187</v>
      </c>
      <c r="C568" s="76">
        <v>1996</v>
      </c>
      <c r="D568" s="76" t="str">
        <f t="shared" si="46"/>
        <v>Y96S</v>
      </c>
      <c r="E568" s="76" t="s">
        <v>96</v>
      </c>
      <c r="F568" s="77" t="s">
        <v>199</v>
      </c>
      <c r="G568" s="78">
        <v>0.74467571666666632</v>
      </c>
      <c r="H568" s="79">
        <v>35654</v>
      </c>
      <c r="I568" s="79">
        <v>39164</v>
      </c>
      <c r="J568" s="3">
        <f t="shared" si="40"/>
        <v>10</v>
      </c>
    </row>
    <row r="569" spans="1:23" x14ac:dyDescent="0.25">
      <c r="A569" s="76">
        <v>3</v>
      </c>
      <c r="B569" s="76" t="s">
        <v>187</v>
      </c>
      <c r="C569" s="76">
        <v>1996</v>
      </c>
      <c r="D569" s="76" t="str">
        <f t="shared" si="46"/>
        <v>A96L</v>
      </c>
      <c r="E569" s="76" t="s">
        <v>147</v>
      </c>
      <c r="F569" s="77" t="s">
        <v>200</v>
      </c>
      <c r="G569" s="78">
        <v>0.62313264999999984</v>
      </c>
      <c r="H569" s="79">
        <v>38180</v>
      </c>
      <c r="I569" s="79">
        <v>41342</v>
      </c>
      <c r="J569" s="3">
        <f t="shared" si="40"/>
        <v>9</v>
      </c>
    </row>
    <row r="570" spans="1:23" x14ac:dyDescent="0.25">
      <c r="A570" s="76">
        <v>3</v>
      </c>
      <c r="B570" s="76" t="s">
        <v>187</v>
      </c>
      <c r="C570" s="76">
        <v>1996</v>
      </c>
      <c r="D570" s="76" t="str">
        <f t="shared" si="46"/>
        <v>A96L</v>
      </c>
      <c r="E570" s="76" t="s">
        <v>147</v>
      </c>
      <c r="F570" s="77" t="s">
        <v>201</v>
      </c>
      <c r="G570" s="78">
        <v>0.58278677499999976</v>
      </c>
      <c r="H570" s="79">
        <v>35332</v>
      </c>
      <c r="I570" s="79">
        <v>41342</v>
      </c>
      <c r="J570" s="3">
        <f t="shared" si="40"/>
        <v>17</v>
      </c>
    </row>
    <row r="571" spans="1:23" x14ac:dyDescent="0.25">
      <c r="A571" s="76">
        <v>3</v>
      </c>
      <c r="B571" s="76" t="s">
        <v>187</v>
      </c>
      <c r="C571" s="76">
        <v>1996</v>
      </c>
      <c r="D571" s="76" t="str">
        <f t="shared" si="46"/>
        <v>A96L</v>
      </c>
      <c r="E571" s="76" t="s">
        <v>147</v>
      </c>
      <c r="F571" s="77" t="s">
        <v>202</v>
      </c>
      <c r="G571" s="78">
        <v>0.81821760000000099</v>
      </c>
      <c r="H571" s="79"/>
      <c r="I571" s="79">
        <v>41342</v>
      </c>
      <c r="J571" s="3">
        <f t="shared" si="40"/>
        <v>113</v>
      </c>
    </row>
    <row r="572" spans="1:23" x14ac:dyDescent="0.25">
      <c r="A572" s="76">
        <v>3</v>
      </c>
      <c r="B572" s="76" t="s">
        <v>187</v>
      </c>
      <c r="C572" s="76">
        <v>1996</v>
      </c>
      <c r="D572" s="76" t="str">
        <f t="shared" si="46"/>
        <v>A96L</v>
      </c>
      <c r="E572" s="76" t="s">
        <v>147</v>
      </c>
      <c r="F572" s="77" t="s">
        <v>203</v>
      </c>
      <c r="G572" s="78">
        <v>0.75039652499999976</v>
      </c>
      <c r="H572" s="79"/>
      <c r="I572" s="79">
        <v>41345</v>
      </c>
      <c r="J572" s="3">
        <f t="shared" si="40"/>
        <v>113</v>
      </c>
    </row>
    <row r="573" spans="1:23" x14ac:dyDescent="0.25">
      <c r="A573" s="76">
        <v>3</v>
      </c>
      <c r="B573" s="76" t="s">
        <v>187</v>
      </c>
      <c r="C573" s="76">
        <v>1996</v>
      </c>
      <c r="D573" s="76" t="str">
        <f t="shared" si="46"/>
        <v>A96L</v>
      </c>
      <c r="E573" s="76" t="s">
        <v>147</v>
      </c>
      <c r="F573" s="77" t="s">
        <v>204</v>
      </c>
      <c r="G573" s="78">
        <v>0.83635347500000057</v>
      </c>
      <c r="H573" s="79"/>
      <c r="I573" s="79">
        <v>41344</v>
      </c>
      <c r="J573" s="3">
        <f t="shared" si="40"/>
        <v>113</v>
      </c>
    </row>
    <row r="574" spans="1:23" x14ac:dyDescent="0.25">
      <c r="A574" s="76">
        <v>3</v>
      </c>
      <c r="B574" s="76" t="s">
        <v>187</v>
      </c>
      <c r="C574" s="76">
        <v>1996</v>
      </c>
      <c r="D574" s="76" t="str">
        <f t="shared" si="46"/>
        <v>A96L</v>
      </c>
      <c r="E574" s="76" t="s">
        <v>147</v>
      </c>
      <c r="F574" s="77" t="s">
        <v>205</v>
      </c>
      <c r="G574" s="78">
        <v>0.81625392499999982</v>
      </c>
      <c r="H574" s="79"/>
      <c r="I574" s="79">
        <v>41342</v>
      </c>
      <c r="J574" s="3">
        <f t="shared" si="40"/>
        <v>113</v>
      </c>
    </row>
    <row r="575" spans="1:23" x14ac:dyDescent="0.25">
      <c r="A575" s="76">
        <v>3</v>
      </c>
      <c r="B575" s="76" t="s">
        <v>187</v>
      </c>
      <c r="C575" s="76">
        <v>1996</v>
      </c>
      <c r="D575" s="76" t="str">
        <f t="shared" si="46"/>
        <v>A96L</v>
      </c>
      <c r="E575" s="76" t="s">
        <v>147</v>
      </c>
      <c r="F575" s="77" t="s">
        <v>206</v>
      </c>
      <c r="G575" s="78">
        <v>0.82215332500000082</v>
      </c>
      <c r="H575" s="79"/>
      <c r="I575" s="79">
        <v>41341</v>
      </c>
      <c r="J575" s="3">
        <f t="shared" si="40"/>
        <v>113</v>
      </c>
    </row>
    <row r="576" spans="1:23" x14ac:dyDescent="0.25">
      <c r="A576" s="76">
        <v>3</v>
      </c>
      <c r="B576" s="76" t="s">
        <v>187</v>
      </c>
      <c r="C576" s="76">
        <v>1996</v>
      </c>
      <c r="D576" s="76" t="str">
        <f t="shared" si="46"/>
        <v>A96L</v>
      </c>
      <c r="E576" s="76" t="s">
        <v>147</v>
      </c>
      <c r="F576" s="77" t="s">
        <v>207</v>
      </c>
      <c r="G576" s="78">
        <v>0.50256297500000047</v>
      </c>
      <c r="H576" s="79"/>
      <c r="I576" s="79">
        <v>41342</v>
      </c>
      <c r="J576" s="3">
        <f t="shared" si="40"/>
        <v>113</v>
      </c>
    </row>
    <row r="577" spans="1:10" x14ac:dyDescent="0.25">
      <c r="A577" s="76">
        <v>3</v>
      </c>
      <c r="B577" s="76" t="s">
        <v>187</v>
      </c>
      <c r="C577" s="76">
        <v>1996</v>
      </c>
      <c r="D577" s="76" t="str">
        <f t="shared" si="46"/>
        <v>A96L</v>
      </c>
      <c r="E577" s="76" t="s">
        <v>147</v>
      </c>
      <c r="F577" s="77" t="s">
        <v>208</v>
      </c>
      <c r="G577" s="78">
        <v>0.6136054749999994</v>
      </c>
      <c r="H577" s="79"/>
      <c r="I577" s="79">
        <v>41339</v>
      </c>
      <c r="J577" s="3">
        <f t="shared" si="40"/>
        <v>113</v>
      </c>
    </row>
    <row r="578" spans="1:10" x14ac:dyDescent="0.25">
      <c r="A578" s="76">
        <v>3</v>
      </c>
      <c r="B578" s="76" t="s">
        <v>187</v>
      </c>
      <c r="C578" s="76">
        <v>1996</v>
      </c>
      <c r="D578" s="76" t="str">
        <f t="shared" si="46"/>
        <v>A96L</v>
      </c>
      <c r="E578" s="76" t="s">
        <v>147</v>
      </c>
      <c r="F578" s="77" t="s">
        <v>209</v>
      </c>
      <c r="G578" s="78">
        <v>0.56877937500000031</v>
      </c>
      <c r="H578" s="79"/>
      <c r="I578" s="79">
        <v>41342</v>
      </c>
      <c r="J578" s="3">
        <f t="shared" si="40"/>
        <v>113</v>
      </c>
    </row>
    <row r="579" spans="1:10" x14ac:dyDescent="0.25">
      <c r="A579" s="76">
        <v>3</v>
      </c>
      <c r="B579" s="76" t="s">
        <v>187</v>
      </c>
      <c r="C579" s="76">
        <v>1996</v>
      </c>
      <c r="D579" s="76" t="str">
        <f t="shared" si="46"/>
        <v>A96L</v>
      </c>
      <c r="E579" s="76" t="s">
        <v>147</v>
      </c>
      <c r="F579" s="77" t="s">
        <v>343</v>
      </c>
      <c r="G579" s="78">
        <v>0.53497482499999949</v>
      </c>
      <c r="H579" s="79"/>
      <c r="I579" s="79">
        <v>41342</v>
      </c>
      <c r="J579" s="3">
        <f t="shared" si="40"/>
        <v>113</v>
      </c>
    </row>
    <row r="580" spans="1:10" x14ac:dyDescent="0.25">
      <c r="A580" s="76">
        <v>1.5</v>
      </c>
      <c r="B580" s="76" t="s">
        <v>1283</v>
      </c>
      <c r="C580" s="76">
        <v>2001</v>
      </c>
      <c r="D580" s="76" t="str">
        <f t="shared" si="46"/>
        <v>Y01N</v>
      </c>
      <c r="E580" s="76" t="s">
        <v>65</v>
      </c>
      <c r="F580" s="77" t="s">
        <v>220</v>
      </c>
      <c r="G580" s="78">
        <v>0.86320234762937798</v>
      </c>
      <c r="H580" s="79">
        <v>37062</v>
      </c>
      <c r="I580" s="79">
        <v>41239</v>
      </c>
      <c r="J580" s="3">
        <f t="shared" si="40"/>
        <v>11</v>
      </c>
    </row>
    <row r="581" spans="1:10" x14ac:dyDescent="0.25">
      <c r="A581" s="76">
        <v>1.5</v>
      </c>
      <c r="B581" s="76" t="s">
        <v>1283</v>
      </c>
      <c r="C581" s="76">
        <v>2001</v>
      </c>
      <c r="D581" s="76" t="str">
        <f t="shared" si="46"/>
        <v>Y01N</v>
      </c>
      <c r="E581" s="76" t="s">
        <v>65</v>
      </c>
      <c r="F581" s="77" t="s">
        <v>221</v>
      </c>
      <c r="G581" s="78">
        <v>0.79310180181590173</v>
      </c>
      <c r="H581" s="79">
        <v>37062</v>
      </c>
      <c r="I581" s="79">
        <v>41237</v>
      </c>
      <c r="J581" s="3">
        <f t="shared" ref="J581:J644" si="47">IF(YEAR(I581)-YEAR(H581)=0,"",YEAR(I581)-YEAR(H581))</f>
        <v>11</v>
      </c>
    </row>
    <row r="582" spans="1:10" x14ac:dyDescent="0.25">
      <c r="A582" s="76">
        <v>1.5</v>
      </c>
      <c r="B582" s="76" t="s">
        <v>1283</v>
      </c>
      <c r="C582" s="76">
        <v>2001</v>
      </c>
      <c r="D582" s="76" t="str">
        <f t="shared" si="46"/>
        <v>Y01N</v>
      </c>
      <c r="E582" s="76" t="s">
        <v>65</v>
      </c>
      <c r="F582" s="77" t="s">
        <v>222</v>
      </c>
      <c r="G582" s="78">
        <v>0.63987592637089152</v>
      </c>
      <c r="H582" s="79">
        <v>37062</v>
      </c>
      <c r="I582" s="79">
        <v>41237</v>
      </c>
      <c r="J582" s="3">
        <f t="shared" si="47"/>
        <v>11</v>
      </c>
    </row>
    <row r="583" spans="1:10" x14ac:dyDescent="0.25">
      <c r="A583" s="76">
        <v>1.5</v>
      </c>
      <c r="B583" s="76" t="s">
        <v>1283</v>
      </c>
      <c r="C583" s="76">
        <v>2001</v>
      </c>
      <c r="D583" s="76" t="str">
        <f t="shared" si="46"/>
        <v>Y01N</v>
      </c>
      <c r="E583" s="76" t="s">
        <v>65</v>
      </c>
      <c r="F583" s="77" t="s">
        <v>223</v>
      </c>
      <c r="G583" s="78">
        <v>0.81427882821746345</v>
      </c>
      <c r="H583" s="79">
        <v>37062</v>
      </c>
      <c r="I583" s="79">
        <v>41237</v>
      </c>
      <c r="J583" s="3">
        <f t="shared" si="47"/>
        <v>11</v>
      </c>
    </row>
    <row r="584" spans="1:10" x14ac:dyDescent="0.25">
      <c r="A584" s="76">
        <v>1.5</v>
      </c>
      <c r="B584" s="76" t="s">
        <v>1283</v>
      </c>
      <c r="C584" s="76">
        <v>2001</v>
      </c>
      <c r="D584" s="76" t="str">
        <f t="shared" si="46"/>
        <v>Y01N</v>
      </c>
      <c r="E584" s="76" t="s">
        <v>65</v>
      </c>
      <c r="F584" s="77" t="s">
        <v>224</v>
      </c>
      <c r="G584" s="78">
        <v>0.81427882821746345</v>
      </c>
      <c r="H584" s="79">
        <v>37154</v>
      </c>
      <c r="I584" s="79">
        <v>41237</v>
      </c>
      <c r="J584" s="3">
        <f t="shared" si="47"/>
        <v>11</v>
      </c>
    </row>
    <row r="585" spans="1:10" x14ac:dyDescent="0.25">
      <c r="A585" s="76">
        <v>1.5</v>
      </c>
      <c r="B585" s="76" t="s">
        <v>1283</v>
      </c>
      <c r="C585" s="76">
        <v>2001</v>
      </c>
      <c r="D585" s="76" t="str">
        <f t="shared" si="46"/>
        <v>Y01N</v>
      </c>
      <c r="E585" s="76" t="s">
        <v>65</v>
      </c>
      <c r="F585" s="77" t="s">
        <v>225</v>
      </c>
      <c r="G585" s="78">
        <v>0.8411954661115022</v>
      </c>
      <c r="H585" s="79">
        <v>37307</v>
      </c>
      <c r="I585" s="79">
        <v>41237</v>
      </c>
      <c r="J585" s="3">
        <f t="shared" si="47"/>
        <v>10</v>
      </c>
    </row>
    <row r="586" spans="1:10" x14ac:dyDescent="0.25">
      <c r="A586" s="76">
        <v>1.5</v>
      </c>
      <c r="B586" s="76" t="s">
        <v>1283</v>
      </c>
      <c r="C586" s="76">
        <v>2001</v>
      </c>
      <c r="D586" s="76" t="str">
        <f t="shared" si="46"/>
        <v>Y01N</v>
      </c>
      <c r="E586" s="76" t="s">
        <v>65</v>
      </c>
      <c r="F586" s="77" t="s">
        <v>226</v>
      </c>
      <c r="G586" s="78">
        <v>0.64567995296493219</v>
      </c>
      <c r="H586" s="79">
        <v>37062</v>
      </c>
      <c r="I586" s="79">
        <v>41239</v>
      </c>
      <c r="J586" s="3">
        <f t="shared" si="47"/>
        <v>11</v>
      </c>
    </row>
    <row r="587" spans="1:10" x14ac:dyDescent="0.25">
      <c r="A587" s="76">
        <v>1.5</v>
      </c>
      <c r="B587" s="76" t="s">
        <v>1283</v>
      </c>
      <c r="C587" s="76">
        <v>2001</v>
      </c>
      <c r="D587" s="76" t="str">
        <f t="shared" si="46"/>
        <v>Y01N</v>
      </c>
      <c r="E587" s="76" t="s">
        <v>65</v>
      </c>
      <c r="F587" s="77" t="s">
        <v>227</v>
      </c>
      <c r="G587" s="78">
        <v>0.78057079487458103</v>
      </c>
      <c r="H587" s="79">
        <v>37062</v>
      </c>
      <c r="I587" s="79">
        <v>41239</v>
      </c>
      <c r="J587" s="3">
        <f t="shared" si="47"/>
        <v>11</v>
      </c>
    </row>
    <row r="588" spans="1:10" x14ac:dyDescent="0.25">
      <c r="A588" s="76">
        <v>1.5</v>
      </c>
      <c r="B588" s="76" t="s">
        <v>1283</v>
      </c>
      <c r="C588" s="76">
        <v>2001</v>
      </c>
      <c r="D588" s="76" t="str">
        <f t="shared" si="46"/>
        <v>Y01N</v>
      </c>
      <c r="E588" s="76" t="s">
        <v>65</v>
      </c>
      <c r="F588" s="77" t="s">
        <v>228</v>
      </c>
      <c r="G588" s="78">
        <v>0.66659650407162896</v>
      </c>
      <c r="H588" s="79">
        <v>37062</v>
      </c>
      <c r="I588" s="79">
        <v>41239</v>
      </c>
      <c r="J588" s="3">
        <f t="shared" si="47"/>
        <v>11</v>
      </c>
    </row>
    <row r="589" spans="1:10" x14ac:dyDescent="0.25">
      <c r="A589" s="76">
        <v>1.5</v>
      </c>
      <c r="B589" s="76" t="s">
        <v>1283</v>
      </c>
      <c r="C589" s="76">
        <v>2001</v>
      </c>
      <c r="D589" s="76" t="str">
        <f t="shared" si="46"/>
        <v>Y01N</v>
      </c>
      <c r="E589" s="76" t="s">
        <v>65</v>
      </c>
      <c r="F589" s="77" t="s">
        <v>229</v>
      </c>
      <c r="G589" s="78">
        <v>0.64233964575552438</v>
      </c>
      <c r="H589" s="79">
        <v>37062</v>
      </c>
      <c r="I589" s="79">
        <v>41239</v>
      </c>
      <c r="J589" s="3">
        <f t="shared" si="47"/>
        <v>11</v>
      </c>
    </row>
    <row r="590" spans="1:10" x14ac:dyDescent="0.25">
      <c r="A590" s="76">
        <v>1.5</v>
      </c>
      <c r="B590" s="76" t="s">
        <v>1283</v>
      </c>
      <c r="C590" s="76">
        <v>2001</v>
      </c>
      <c r="D590" s="76" t="str">
        <f t="shared" si="46"/>
        <v>Y01N</v>
      </c>
      <c r="E590" s="76" t="s">
        <v>65</v>
      </c>
      <c r="F590" s="77" t="s">
        <v>230</v>
      </c>
      <c r="G590" s="78">
        <v>0.79126700157578767</v>
      </c>
      <c r="H590" s="79">
        <v>37062</v>
      </c>
      <c r="I590" s="79">
        <v>41237</v>
      </c>
      <c r="J590" s="3">
        <f t="shared" si="47"/>
        <v>11</v>
      </c>
    </row>
    <row r="591" spans="1:10" x14ac:dyDescent="0.25">
      <c r="A591" s="76">
        <v>1.5</v>
      </c>
      <c r="B591" s="76" t="s">
        <v>1283</v>
      </c>
      <c r="C591" s="76">
        <v>2001</v>
      </c>
      <c r="D591" s="76" t="str">
        <f t="shared" si="46"/>
        <v>Y01N</v>
      </c>
      <c r="E591" s="76" t="s">
        <v>65</v>
      </c>
      <c r="F591" s="77" t="s">
        <v>232</v>
      </c>
      <c r="G591" s="78">
        <v>0.61241169564782305</v>
      </c>
      <c r="H591" s="79">
        <v>37062</v>
      </c>
      <c r="I591" s="79">
        <v>41237</v>
      </c>
      <c r="J591" s="3">
        <f t="shared" si="47"/>
        <v>11</v>
      </c>
    </row>
    <row r="592" spans="1:10" x14ac:dyDescent="0.25">
      <c r="A592" s="76">
        <v>1.5</v>
      </c>
      <c r="B592" s="76" t="s">
        <v>1283</v>
      </c>
      <c r="C592" s="76">
        <v>2001</v>
      </c>
      <c r="D592" s="76" t="str">
        <f t="shared" si="46"/>
        <v>Y01N</v>
      </c>
      <c r="E592" s="76" t="s">
        <v>65</v>
      </c>
      <c r="F592" s="77" t="s">
        <v>233</v>
      </c>
      <c r="G592" s="78">
        <v>0.61241169564782305</v>
      </c>
      <c r="H592" s="79">
        <v>37062</v>
      </c>
      <c r="I592" s="79">
        <v>41237</v>
      </c>
      <c r="J592" s="3">
        <f t="shared" si="47"/>
        <v>11</v>
      </c>
    </row>
    <row r="593" spans="1:23" x14ac:dyDescent="0.25">
      <c r="A593" s="76">
        <v>1.5</v>
      </c>
      <c r="B593" s="76" t="s">
        <v>1283</v>
      </c>
      <c r="C593" s="76">
        <v>2001</v>
      </c>
      <c r="D593" s="76" t="str">
        <f t="shared" si="46"/>
        <v>Y01N</v>
      </c>
      <c r="E593" s="76" t="s">
        <v>65</v>
      </c>
      <c r="F593" s="77" t="s">
        <v>234</v>
      </c>
      <c r="G593" s="78">
        <v>0.81037769981240659</v>
      </c>
      <c r="H593" s="79">
        <v>37062</v>
      </c>
      <c r="I593" s="79">
        <v>41237</v>
      </c>
      <c r="J593" s="3">
        <f t="shared" si="47"/>
        <v>11</v>
      </c>
    </row>
    <row r="594" spans="1:23" x14ac:dyDescent="0.25">
      <c r="A594" s="76">
        <v>1.5</v>
      </c>
      <c r="B594" s="76" t="s">
        <v>1283</v>
      </c>
      <c r="C594" s="76">
        <v>2001</v>
      </c>
      <c r="D594" s="76" t="str">
        <f t="shared" si="46"/>
        <v>Y01N</v>
      </c>
      <c r="E594" s="76" t="s">
        <v>65</v>
      </c>
      <c r="F594" s="77" t="s">
        <v>235</v>
      </c>
      <c r="G594" s="78">
        <v>0.83483553184092019</v>
      </c>
      <c r="H594" s="79">
        <v>37062</v>
      </c>
      <c r="I594" s="79">
        <v>41237</v>
      </c>
      <c r="J594" s="3">
        <f t="shared" si="47"/>
        <v>11</v>
      </c>
    </row>
    <row r="595" spans="1:23" x14ac:dyDescent="0.25">
      <c r="A595" s="76">
        <v>1.5</v>
      </c>
      <c r="B595" s="76" t="s">
        <v>1283</v>
      </c>
      <c r="C595" s="76">
        <v>2001</v>
      </c>
      <c r="D595" s="76" t="str">
        <f t="shared" si="46"/>
        <v>Y01N</v>
      </c>
      <c r="E595" s="76" t="s">
        <v>65</v>
      </c>
      <c r="F595" s="77" t="s">
        <v>236</v>
      </c>
      <c r="G595" s="78">
        <v>0.84045844711105711</v>
      </c>
      <c r="H595" s="79">
        <v>37062</v>
      </c>
      <c r="I595" s="79">
        <v>41237</v>
      </c>
      <c r="J595" s="3">
        <f t="shared" si="47"/>
        <v>11</v>
      </c>
    </row>
    <row r="596" spans="1:23" x14ac:dyDescent="0.25">
      <c r="A596" s="76">
        <v>1.5</v>
      </c>
      <c r="B596" s="76" t="s">
        <v>1283</v>
      </c>
      <c r="C596" s="76">
        <v>2001</v>
      </c>
      <c r="D596" s="76" t="str">
        <f t="shared" si="46"/>
        <v>Y01N</v>
      </c>
      <c r="E596" s="76" t="s">
        <v>65</v>
      </c>
      <c r="F596" s="77" t="s">
        <v>237</v>
      </c>
      <c r="G596" s="78">
        <v>0.87071927886443279</v>
      </c>
      <c r="H596" s="79">
        <v>37062</v>
      </c>
      <c r="I596" s="79">
        <v>41237</v>
      </c>
      <c r="J596" s="3">
        <f t="shared" si="47"/>
        <v>11</v>
      </c>
    </row>
    <row r="597" spans="1:23" x14ac:dyDescent="0.25">
      <c r="A597" s="76">
        <v>1.5</v>
      </c>
      <c r="B597" s="76" t="s">
        <v>1283</v>
      </c>
      <c r="C597" s="76">
        <v>2001</v>
      </c>
      <c r="D597" s="76" t="str">
        <f t="shared" si="46"/>
        <v>Y01N</v>
      </c>
      <c r="E597" s="76" t="s">
        <v>65</v>
      </c>
      <c r="F597" s="77" t="s">
        <v>238</v>
      </c>
      <c r="G597" s="78">
        <v>0.7751457179214617</v>
      </c>
      <c r="H597" s="79">
        <v>37062</v>
      </c>
      <c r="I597" s="79">
        <v>41237</v>
      </c>
      <c r="J597" s="3">
        <f t="shared" si="47"/>
        <v>11</v>
      </c>
    </row>
    <row r="598" spans="1:23" x14ac:dyDescent="0.25">
      <c r="A598" s="76">
        <v>1.5</v>
      </c>
      <c r="B598" s="76" t="s">
        <v>1283</v>
      </c>
      <c r="C598" s="76">
        <v>2001</v>
      </c>
      <c r="D598" s="76" t="str">
        <f t="shared" ref="D598:D604" si="48">LEFT(F598,4)</f>
        <v>Y01N</v>
      </c>
      <c r="E598" s="76" t="s">
        <v>65</v>
      </c>
      <c r="F598" s="77" t="s">
        <v>596</v>
      </c>
      <c r="G598" s="78">
        <v>0.66257027957645132</v>
      </c>
      <c r="H598" s="79">
        <v>37106</v>
      </c>
      <c r="I598" s="79">
        <v>42243</v>
      </c>
      <c r="J598" s="3">
        <f t="shared" si="47"/>
        <v>14</v>
      </c>
      <c r="K598" s="10">
        <v>-4.3336673346693222E-2</v>
      </c>
      <c r="L598" s="10">
        <v>-4.0975364504776013E-2</v>
      </c>
      <c r="M598" s="10">
        <v>-3.8732394366197131E-2</v>
      </c>
      <c r="N598" s="10">
        <v>-3.7764350453172169E-2</v>
      </c>
      <c r="O598" s="10">
        <v>-3.3550325488231669E-2</v>
      </c>
      <c r="P598" s="10">
        <v>-0.27322677322677269</v>
      </c>
      <c r="Q598" s="10">
        <v>-0.97999999999999832</v>
      </c>
      <c r="R598" s="10">
        <v>-1</v>
      </c>
      <c r="S598" s="10">
        <v>-0.99496981891347969</v>
      </c>
      <c r="T598" s="10">
        <v>-1</v>
      </c>
      <c r="U598" s="1">
        <v>3469</v>
      </c>
      <c r="W598" s="1">
        <v>455831</v>
      </c>
    </row>
    <row r="599" spans="1:23" x14ac:dyDescent="0.25">
      <c r="A599" s="76">
        <v>1.5</v>
      </c>
      <c r="B599" s="76" t="s">
        <v>1283</v>
      </c>
      <c r="C599" s="76">
        <v>2001</v>
      </c>
      <c r="D599" s="76" t="str">
        <f t="shared" si="48"/>
        <v>Y01N</v>
      </c>
      <c r="E599" s="76" t="s">
        <v>65</v>
      </c>
      <c r="F599" s="77" t="s">
        <v>597</v>
      </c>
      <c r="G599" s="78">
        <v>0.71564151435181211</v>
      </c>
      <c r="H599" s="79">
        <v>37103</v>
      </c>
      <c r="I599" s="79">
        <v>42242</v>
      </c>
      <c r="J599" s="3">
        <f t="shared" si="47"/>
        <v>14</v>
      </c>
      <c r="K599" s="10">
        <v>2.7555110220440771E-2</v>
      </c>
      <c r="L599" s="10">
        <v>2.513826043237799E-2</v>
      </c>
      <c r="M599" s="10">
        <v>2.464788732394374E-2</v>
      </c>
      <c r="N599" s="10">
        <v>1.7875125881168019E-2</v>
      </c>
      <c r="O599" s="10">
        <v>2.9043565348022771E-2</v>
      </c>
      <c r="P599" s="10">
        <v>-0.17332667332667273</v>
      </c>
      <c r="Q599" s="10">
        <v>-0.99749999999999939</v>
      </c>
      <c r="R599" s="10">
        <v>-1</v>
      </c>
      <c r="S599" s="10">
        <v>-1</v>
      </c>
      <c r="T599" s="10">
        <v>-1</v>
      </c>
      <c r="U599" s="1">
        <v>3647</v>
      </c>
      <c r="W599" s="1">
        <v>453897</v>
      </c>
    </row>
    <row r="600" spans="1:23" x14ac:dyDescent="0.25">
      <c r="A600" s="76">
        <v>1.5</v>
      </c>
      <c r="B600" s="76" t="s">
        <v>1283</v>
      </c>
      <c r="C600" s="76">
        <v>2001</v>
      </c>
      <c r="D600" s="76" t="str">
        <f t="shared" si="48"/>
        <v>Y01N</v>
      </c>
      <c r="E600" s="76" t="s">
        <v>65</v>
      </c>
      <c r="F600" s="77" t="s">
        <v>598</v>
      </c>
      <c r="G600" s="78">
        <v>0.75101930717449272</v>
      </c>
      <c r="H600" s="79">
        <v>37103</v>
      </c>
      <c r="I600" s="79">
        <v>42242</v>
      </c>
      <c r="J600" s="3">
        <f t="shared" si="47"/>
        <v>14</v>
      </c>
      <c r="K600" s="10">
        <v>-5.7615230460921651E-2</v>
      </c>
      <c r="L600" s="10">
        <v>-5.731523378582204E-2</v>
      </c>
      <c r="M600" s="10">
        <v>-6.2122736418511182E-2</v>
      </c>
      <c r="N600" s="10">
        <v>-5.9667673716012004E-2</v>
      </c>
      <c r="O600" s="10">
        <v>-4.6069103655485444E-2</v>
      </c>
      <c r="P600" s="10">
        <v>-7.0929070929069749E-2</v>
      </c>
      <c r="Q600" s="10">
        <v>-0.29749999999999654</v>
      </c>
      <c r="R600" s="10">
        <v>-0.99496981891348546</v>
      </c>
      <c r="S600" s="10">
        <v>-1</v>
      </c>
      <c r="T600" s="10">
        <v>-1</v>
      </c>
      <c r="U600" s="1">
        <v>4477</v>
      </c>
      <c r="W600" s="1">
        <v>454052</v>
      </c>
    </row>
    <row r="601" spans="1:23" x14ac:dyDescent="0.25">
      <c r="A601" s="76">
        <v>1.5</v>
      </c>
      <c r="B601" s="76" t="s">
        <v>1283</v>
      </c>
      <c r="C601" s="76">
        <v>2001</v>
      </c>
      <c r="D601" s="76" t="str">
        <f t="shared" si="48"/>
        <v>Y01N</v>
      </c>
      <c r="E601" s="76" t="s">
        <v>65</v>
      </c>
      <c r="F601" s="77" t="s">
        <v>599</v>
      </c>
      <c r="G601" s="78">
        <v>0.76882186118225448</v>
      </c>
      <c r="H601" s="79">
        <v>37106</v>
      </c>
      <c r="I601" s="79">
        <v>42243</v>
      </c>
      <c r="J601" s="3">
        <f t="shared" si="47"/>
        <v>14</v>
      </c>
      <c r="K601" s="10">
        <v>-3.256513026052088E-2</v>
      </c>
      <c r="L601" s="10">
        <v>-2.8908999497234911E-2</v>
      </c>
      <c r="M601" s="10">
        <v>-2.842052313883292E-2</v>
      </c>
      <c r="N601" s="10">
        <v>-3.5750251762336371E-2</v>
      </c>
      <c r="O601" s="10">
        <v>-5.6084126189282713E-2</v>
      </c>
      <c r="P601" s="10">
        <v>-3.346653346653794E-2</v>
      </c>
      <c r="Q601" s="10">
        <v>-0.24749999999999661</v>
      </c>
      <c r="R601" s="10">
        <v>-0.98993963782695948</v>
      </c>
      <c r="S601" s="10">
        <v>-1</v>
      </c>
      <c r="T601" s="10">
        <v>-1</v>
      </c>
      <c r="U601" s="1">
        <v>3071</v>
      </c>
      <c r="W601" s="1">
        <v>455806</v>
      </c>
    </row>
    <row r="602" spans="1:23" x14ac:dyDescent="0.25">
      <c r="A602" s="76">
        <v>1.5</v>
      </c>
      <c r="B602" s="76" t="s">
        <v>1283</v>
      </c>
      <c r="C602" s="76">
        <v>2001</v>
      </c>
      <c r="D602" s="76" t="str">
        <f t="shared" si="48"/>
        <v>Y01N</v>
      </c>
      <c r="E602" s="76" t="s">
        <v>65</v>
      </c>
      <c r="F602" s="77" t="s">
        <v>600</v>
      </c>
      <c r="G602" s="78">
        <v>0.85011719489302884</v>
      </c>
      <c r="H602" s="79">
        <v>37322</v>
      </c>
      <c r="I602" s="79">
        <v>42242</v>
      </c>
      <c r="J602" s="3">
        <f t="shared" si="47"/>
        <v>13</v>
      </c>
      <c r="K602" s="10">
        <v>-1.0521042084167709E-2</v>
      </c>
      <c r="L602" s="10">
        <v>-1.0055304172951418E-2</v>
      </c>
      <c r="M602" s="10">
        <v>-1.0814889336015931E-2</v>
      </c>
      <c r="N602" s="10">
        <v>-1.409869083585058E-2</v>
      </c>
      <c r="O602" s="10">
        <v>-1.1016524787180737E-2</v>
      </c>
      <c r="P602" s="10">
        <v>-3.4965034965033226E-3</v>
      </c>
      <c r="Q602" s="10">
        <v>-8.7500000000000022E-2</v>
      </c>
      <c r="R602" s="10">
        <v>-0.31589537223339925</v>
      </c>
      <c r="S602" s="10">
        <v>-0.99496981891348257</v>
      </c>
      <c r="T602" s="10">
        <v>-1</v>
      </c>
      <c r="U602" s="1">
        <v>2903</v>
      </c>
      <c r="W602" s="1">
        <v>454257</v>
      </c>
    </row>
    <row r="603" spans="1:23" x14ac:dyDescent="0.25">
      <c r="A603" s="76">
        <v>1.5</v>
      </c>
      <c r="B603" s="76" t="s">
        <v>1283</v>
      </c>
      <c r="C603" s="76">
        <v>2001</v>
      </c>
      <c r="D603" s="76" t="str">
        <f t="shared" si="48"/>
        <v>Y01N</v>
      </c>
      <c r="E603" s="76" t="s">
        <v>65</v>
      </c>
      <c r="F603" s="77" t="s">
        <v>601</v>
      </c>
      <c r="G603" s="78">
        <v>0.6709929623361125</v>
      </c>
      <c r="H603" s="79">
        <v>37104</v>
      </c>
      <c r="I603" s="79">
        <v>42243</v>
      </c>
      <c r="J603" s="3">
        <f t="shared" si="47"/>
        <v>14</v>
      </c>
      <c r="K603" s="10">
        <v>-3.5571142284569257E-2</v>
      </c>
      <c r="L603" s="10">
        <v>-3.0668677727500926E-2</v>
      </c>
      <c r="M603" s="10">
        <v>-2.9426559356136694E-2</v>
      </c>
      <c r="N603" s="10">
        <v>-2.6938569989929495E-2</v>
      </c>
      <c r="O603" s="10">
        <v>-3.8557836755130359E-2</v>
      </c>
      <c r="P603" s="10">
        <v>-0.23576423576423522</v>
      </c>
      <c r="Q603" s="10">
        <v>-1</v>
      </c>
      <c r="R603" s="10">
        <v>-1</v>
      </c>
      <c r="S603" s="10">
        <v>-1</v>
      </c>
      <c r="T603" s="10">
        <v>-1</v>
      </c>
      <c r="U603" s="1">
        <v>2247</v>
      </c>
      <c r="W603" s="1">
        <v>461016</v>
      </c>
    </row>
    <row r="604" spans="1:23" x14ac:dyDescent="0.25">
      <c r="A604" s="76">
        <v>1.5</v>
      </c>
      <c r="B604" s="76" t="s">
        <v>1283</v>
      </c>
      <c r="C604" s="76">
        <v>2001</v>
      </c>
      <c r="D604" s="76" t="str">
        <f t="shared" si="48"/>
        <v>Y01N</v>
      </c>
      <c r="E604" s="76" t="s">
        <v>65</v>
      </c>
      <c r="F604" s="77" t="s">
        <v>602</v>
      </c>
      <c r="G604" s="78">
        <v>0.82508666633442806</v>
      </c>
      <c r="H604" s="79">
        <v>37103</v>
      </c>
      <c r="I604" s="79">
        <v>42242</v>
      </c>
      <c r="J604" s="3">
        <f t="shared" si="47"/>
        <v>14</v>
      </c>
      <c r="K604" s="10">
        <v>-1.8036072144288595E-2</v>
      </c>
      <c r="L604" s="10">
        <v>-2.6897938662644783E-2</v>
      </c>
      <c r="M604" s="10">
        <v>-2.9929577464789414E-2</v>
      </c>
      <c r="N604" s="10">
        <v>-2.2406847935548813E-2</v>
      </c>
      <c r="O604" s="10">
        <v>-3.1046569854780937E-2</v>
      </c>
      <c r="P604" s="10">
        <v>-1.8481518481519577E-2</v>
      </c>
      <c r="Q604" s="10">
        <v>-0.16000000000000225</v>
      </c>
      <c r="R604" s="10">
        <v>-0.42655935613682772</v>
      </c>
      <c r="S604" s="10">
        <v>-1</v>
      </c>
      <c r="T604" s="10">
        <v>-1</v>
      </c>
      <c r="U604" s="1">
        <v>2186</v>
      </c>
      <c r="W604" s="1">
        <v>453935</v>
      </c>
    </row>
    <row r="605" spans="1:23" x14ac:dyDescent="0.25">
      <c r="A605" s="76">
        <v>3</v>
      </c>
      <c r="B605" s="76" t="s">
        <v>1283</v>
      </c>
      <c r="C605" s="76">
        <v>2001</v>
      </c>
      <c r="D605" s="76" t="str">
        <f t="shared" ref="D605:D638" si="49">LEFT(F605,4)</f>
        <v>A01N</v>
      </c>
      <c r="E605" s="76" t="s">
        <v>65</v>
      </c>
      <c r="F605" s="77" t="s">
        <v>239</v>
      </c>
      <c r="G605" s="78">
        <v>0.75879077227271563</v>
      </c>
      <c r="H605" s="79">
        <v>37062</v>
      </c>
      <c r="I605" s="79">
        <v>41237</v>
      </c>
      <c r="J605" s="3">
        <f t="shared" si="47"/>
        <v>11</v>
      </c>
    </row>
    <row r="606" spans="1:23" x14ac:dyDescent="0.25">
      <c r="A606" s="76">
        <v>3</v>
      </c>
      <c r="B606" s="76" t="s">
        <v>1283</v>
      </c>
      <c r="C606" s="76">
        <v>2001</v>
      </c>
      <c r="D606" s="76" t="str">
        <f t="shared" si="49"/>
        <v>A01N</v>
      </c>
      <c r="E606" s="76" t="s">
        <v>65</v>
      </c>
      <c r="F606" s="77" t="s">
        <v>240</v>
      </c>
      <c r="G606" s="78">
        <v>0.85391997716091761</v>
      </c>
      <c r="H606" s="79">
        <v>37062</v>
      </c>
      <c r="I606" s="79">
        <v>41239</v>
      </c>
      <c r="J606" s="3">
        <f t="shared" si="47"/>
        <v>11</v>
      </c>
    </row>
    <row r="607" spans="1:23" x14ac:dyDescent="0.25">
      <c r="A607" s="76">
        <v>3</v>
      </c>
      <c r="B607" s="76" t="s">
        <v>1283</v>
      </c>
      <c r="C607" s="76">
        <v>2001</v>
      </c>
      <c r="D607" s="76" t="str">
        <f t="shared" si="49"/>
        <v>A01N</v>
      </c>
      <c r="E607" s="76" t="s">
        <v>65</v>
      </c>
      <c r="F607" s="77" t="s">
        <v>241</v>
      </c>
      <c r="G607" s="78">
        <v>0.83987564654666436</v>
      </c>
      <c r="H607" s="79">
        <v>37062</v>
      </c>
      <c r="I607" s="79">
        <v>41237</v>
      </c>
      <c r="J607" s="3">
        <f t="shared" si="47"/>
        <v>11</v>
      </c>
    </row>
    <row r="608" spans="1:23" x14ac:dyDescent="0.25">
      <c r="A608" s="76">
        <v>3</v>
      </c>
      <c r="B608" s="76" t="s">
        <v>1283</v>
      </c>
      <c r="C608" s="76">
        <v>2001</v>
      </c>
      <c r="D608" s="76" t="str">
        <f t="shared" si="49"/>
        <v>A01N</v>
      </c>
      <c r="E608" s="76" t="s">
        <v>65</v>
      </c>
      <c r="F608" s="77" t="s">
        <v>242</v>
      </c>
      <c r="G608" s="78">
        <v>0.85061583765055915</v>
      </c>
      <c r="H608" s="79">
        <v>37062</v>
      </c>
      <c r="I608" s="79">
        <v>41237</v>
      </c>
      <c r="J608" s="3">
        <f t="shared" si="47"/>
        <v>11</v>
      </c>
    </row>
    <row r="609" spans="1:10" x14ac:dyDescent="0.25">
      <c r="A609" s="76">
        <v>3</v>
      </c>
      <c r="B609" s="76" t="s">
        <v>1283</v>
      </c>
      <c r="C609" s="76">
        <v>2001</v>
      </c>
      <c r="D609" s="76" t="str">
        <f t="shared" si="49"/>
        <v>A01N</v>
      </c>
      <c r="E609" s="76" t="s">
        <v>65</v>
      </c>
      <c r="F609" s="77" t="s">
        <v>243</v>
      </c>
      <c r="G609" s="78">
        <v>0.85061583765055915</v>
      </c>
      <c r="H609" s="79">
        <v>37154</v>
      </c>
      <c r="I609" s="79">
        <v>41237</v>
      </c>
      <c r="J609" s="3">
        <f t="shared" si="47"/>
        <v>11</v>
      </c>
    </row>
    <row r="610" spans="1:10" x14ac:dyDescent="0.25">
      <c r="A610" s="76">
        <v>3</v>
      </c>
      <c r="B610" s="76" t="s">
        <v>1283</v>
      </c>
      <c r="C610" s="76">
        <v>2001</v>
      </c>
      <c r="D610" s="76" t="str">
        <f t="shared" si="49"/>
        <v>A01N</v>
      </c>
      <c r="E610" s="76" t="s">
        <v>65</v>
      </c>
      <c r="F610" s="77" t="s">
        <v>244</v>
      </c>
      <c r="G610" s="78">
        <v>0.8773131956889928</v>
      </c>
      <c r="H610" s="79">
        <v>37062</v>
      </c>
      <c r="I610" s="79">
        <v>41239</v>
      </c>
      <c r="J610" s="3">
        <f t="shared" si="47"/>
        <v>11</v>
      </c>
    </row>
    <row r="611" spans="1:10" x14ac:dyDescent="0.25">
      <c r="A611" s="76">
        <v>3</v>
      </c>
      <c r="B611" s="76" t="s">
        <v>1283</v>
      </c>
      <c r="C611" s="76">
        <v>2001</v>
      </c>
      <c r="D611" s="76" t="str">
        <f t="shared" si="49"/>
        <v>A01N</v>
      </c>
      <c r="E611" s="76" t="s">
        <v>65</v>
      </c>
      <c r="F611" s="77" t="s">
        <v>245</v>
      </c>
      <c r="G611" s="78">
        <v>0.87788286964718509</v>
      </c>
      <c r="H611" s="79">
        <v>37062</v>
      </c>
      <c r="I611" s="79">
        <v>41237</v>
      </c>
      <c r="J611" s="3">
        <f t="shared" si="47"/>
        <v>11</v>
      </c>
    </row>
    <row r="612" spans="1:10" x14ac:dyDescent="0.25">
      <c r="A612" s="76">
        <v>3</v>
      </c>
      <c r="B612" s="76" t="s">
        <v>1283</v>
      </c>
      <c r="C612" s="76">
        <v>2001</v>
      </c>
      <c r="D612" s="76" t="str">
        <f t="shared" si="49"/>
        <v>A01N</v>
      </c>
      <c r="E612" s="76" t="s">
        <v>65</v>
      </c>
      <c r="F612" s="77" t="s">
        <v>246</v>
      </c>
      <c r="G612" s="78">
        <v>0.85907999837678772</v>
      </c>
      <c r="H612" s="79">
        <v>37062</v>
      </c>
      <c r="I612" s="79">
        <v>41237</v>
      </c>
      <c r="J612" s="3">
        <f t="shared" si="47"/>
        <v>11</v>
      </c>
    </row>
    <row r="613" spans="1:10" x14ac:dyDescent="0.25">
      <c r="A613" s="76">
        <v>3</v>
      </c>
      <c r="B613" s="76" t="s">
        <v>1283</v>
      </c>
      <c r="C613" s="76">
        <v>2001</v>
      </c>
      <c r="D613" s="76" t="str">
        <f t="shared" si="49"/>
        <v>A01N</v>
      </c>
      <c r="E613" s="76" t="s">
        <v>65</v>
      </c>
      <c r="F613" s="77" t="s">
        <v>247</v>
      </c>
      <c r="G613" s="78">
        <v>0.88906945884721877</v>
      </c>
      <c r="H613" s="79">
        <v>37062</v>
      </c>
      <c r="I613" s="79">
        <v>41237</v>
      </c>
      <c r="J613" s="3">
        <f t="shared" si="47"/>
        <v>11</v>
      </c>
    </row>
    <row r="614" spans="1:10" x14ac:dyDescent="0.25">
      <c r="A614" s="76">
        <v>3</v>
      </c>
      <c r="B614" s="76" t="s">
        <v>1283</v>
      </c>
      <c r="C614" s="76">
        <v>2001</v>
      </c>
      <c r="D614" s="76" t="str">
        <f t="shared" si="49"/>
        <v>A01N</v>
      </c>
      <c r="E614" s="76" t="s">
        <v>65</v>
      </c>
      <c r="F614" s="77" t="s">
        <v>248</v>
      </c>
      <c r="G614" s="78">
        <v>0.89548577113232297</v>
      </c>
      <c r="H614" s="79">
        <v>37154</v>
      </c>
      <c r="I614" s="79">
        <v>41239</v>
      </c>
      <c r="J614" s="3">
        <f t="shared" si="47"/>
        <v>11</v>
      </c>
    </row>
    <row r="615" spans="1:10" x14ac:dyDescent="0.25">
      <c r="A615" s="76">
        <v>3</v>
      </c>
      <c r="B615" s="76" t="s">
        <v>1283</v>
      </c>
      <c r="C615" s="76">
        <v>2001</v>
      </c>
      <c r="D615" s="76" t="str">
        <f t="shared" si="49"/>
        <v>A01N</v>
      </c>
      <c r="E615" s="76" t="s">
        <v>65</v>
      </c>
      <c r="F615" s="77" t="s">
        <v>188</v>
      </c>
      <c r="G615" s="78">
        <v>0.66508933333333342</v>
      </c>
      <c r="H615" s="79">
        <v>37062</v>
      </c>
      <c r="I615" s="79">
        <v>41237</v>
      </c>
      <c r="J615" s="3">
        <f t="shared" si="47"/>
        <v>11</v>
      </c>
    </row>
    <row r="616" spans="1:10" x14ac:dyDescent="0.25">
      <c r="A616" s="76">
        <v>3</v>
      </c>
      <c r="B616" s="76" t="s">
        <v>1283</v>
      </c>
      <c r="C616" s="76">
        <v>2001</v>
      </c>
      <c r="D616" s="76" t="str">
        <f t="shared" si="49"/>
        <v>A01N</v>
      </c>
      <c r="E616" s="76" t="s">
        <v>65</v>
      </c>
      <c r="F616" s="77" t="s">
        <v>189</v>
      </c>
      <c r="G616" s="78">
        <v>0.78866693333333338</v>
      </c>
      <c r="H616" s="79">
        <v>37062</v>
      </c>
      <c r="I616" s="79">
        <v>41237</v>
      </c>
      <c r="J616" s="3">
        <f t="shared" si="47"/>
        <v>11</v>
      </c>
    </row>
    <row r="617" spans="1:10" x14ac:dyDescent="0.25">
      <c r="A617" s="76">
        <v>3</v>
      </c>
      <c r="B617" s="76" t="s">
        <v>1283</v>
      </c>
      <c r="C617" s="76">
        <v>2001</v>
      </c>
      <c r="D617" s="76" t="str">
        <f t="shared" si="49"/>
        <v>A01N</v>
      </c>
      <c r="E617" s="76" t="s">
        <v>65</v>
      </c>
      <c r="F617" s="77" t="s">
        <v>190</v>
      </c>
      <c r="G617" s="78">
        <v>0.83179769999999986</v>
      </c>
      <c r="H617" s="79">
        <v>37062</v>
      </c>
      <c r="I617" s="79">
        <v>41239</v>
      </c>
      <c r="J617" s="3">
        <f t="shared" si="47"/>
        <v>11</v>
      </c>
    </row>
    <row r="618" spans="1:10" x14ac:dyDescent="0.25">
      <c r="A618" s="76">
        <v>3</v>
      </c>
      <c r="B618" s="76" t="s">
        <v>1283</v>
      </c>
      <c r="C618" s="76">
        <v>2001</v>
      </c>
      <c r="D618" s="76" t="str">
        <f t="shared" si="49"/>
        <v>A01N</v>
      </c>
      <c r="E618" s="76" t="s">
        <v>65</v>
      </c>
      <c r="F618" s="77" t="s">
        <v>191</v>
      </c>
      <c r="G618" s="78">
        <v>0.86580676666666645</v>
      </c>
      <c r="H618" s="79">
        <v>37062</v>
      </c>
      <c r="I618" s="79">
        <v>41237</v>
      </c>
      <c r="J618" s="3">
        <f t="shared" si="47"/>
        <v>11</v>
      </c>
    </row>
    <row r="619" spans="1:10" x14ac:dyDescent="0.25">
      <c r="A619" s="76">
        <v>3</v>
      </c>
      <c r="B619" s="76" t="s">
        <v>1283</v>
      </c>
      <c r="C619" s="76">
        <v>2001</v>
      </c>
      <c r="D619" s="76" t="str">
        <f t="shared" si="49"/>
        <v>A01N</v>
      </c>
      <c r="E619" s="76" t="s">
        <v>65</v>
      </c>
      <c r="F619" s="77" t="s">
        <v>192</v>
      </c>
      <c r="G619" s="78">
        <v>0.79125875000000001</v>
      </c>
      <c r="H619" s="79">
        <v>37062</v>
      </c>
      <c r="I619" s="79">
        <v>41239</v>
      </c>
      <c r="J619" s="3">
        <f t="shared" si="47"/>
        <v>11</v>
      </c>
    </row>
    <row r="620" spans="1:10" x14ac:dyDescent="0.25">
      <c r="A620" s="76">
        <v>3</v>
      </c>
      <c r="B620" s="76" t="s">
        <v>1283</v>
      </c>
      <c r="C620" s="76">
        <v>2001</v>
      </c>
      <c r="D620" s="76" t="str">
        <f t="shared" si="49"/>
        <v>A01N</v>
      </c>
      <c r="E620" s="76" t="s">
        <v>65</v>
      </c>
      <c r="F620" s="77" t="s">
        <v>193</v>
      </c>
      <c r="G620" s="78">
        <v>0.74627591666666659</v>
      </c>
      <c r="H620" s="79">
        <v>37154</v>
      </c>
      <c r="I620" s="79">
        <v>41239</v>
      </c>
      <c r="J620" s="3">
        <f t="shared" si="47"/>
        <v>11</v>
      </c>
    </row>
    <row r="621" spans="1:10" x14ac:dyDescent="0.25">
      <c r="A621" s="76">
        <v>3</v>
      </c>
      <c r="B621" s="76" t="s">
        <v>1283</v>
      </c>
      <c r="C621" s="76">
        <v>2001</v>
      </c>
      <c r="D621" s="76" t="str">
        <f t="shared" si="49"/>
        <v>A01N</v>
      </c>
      <c r="E621" s="76" t="s">
        <v>65</v>
      </c>
      <c r="F621" s="77" t="s">
        <v>194</v>
      </c>
      <c r="G621" s="78">
        <v>0.75109113333333311</v>
      </c>
      <c r="H621" s="79">
        <v>37154</v>
      </c>
      <c r="I621" s="79">
        <v>41239</v>
      </c>
      <c r="J621" s="3">
        <f t="shared" si="47"/>
        <v>11</v>
      </c>
    </row>
    <row r="622" spans="1:10" x14ac:dyDescent="0.25">
      <c r="A622" s="76">
        <v>3</v>
      </c>
      <c r="B622" s="76" t="s">
        <v>1283</v>
      </c>
      <c r="C622" s="76">
        <v>2001</v>
      </c>
      <c r="D622" s="76" t="str">
        <f t="shared" si="49"/>
        <v>A01N</v>
      </c>
      <c r="E622" s="76" t="s">
        <v>65</v>
      </c>
      <c r="F622" s="77" t="s">
        <v>210</v>
      </c>
      <c r="G622" s="78">
        <v>0.77296155000000022</v>
      </c>
      <c r="H622" s="79">
        <v>37488</v>
      </c>
      <c r="I622" s="79">
        <v>41237</v>
      </c>
      <c r="J622" s="3">
        <f t="shared" si="47"/>
        <v>10</v>
      </c>
    </row>
    <row r="623" spans="1:10" x14ac:dyDescent="0.25">
      <c r="A623" s="76">
        <v>3</v>
      </c>
      <c r="B623" s="76" t="s">
        <v>1283</v>
      </c>
      <c r="C623" s="76">
        <v>2001</v>
      </c>
      <c r="D623" s="76" t="str">
        <f t="shared" si="49"/>
        <v>A01N</v>
      </c>
      <c r="E623" s="76" t="s">
        <v>65</v>
      </c>
      <c r="F623" s="77" t="s">
        <v>211</v>
      </c>
      <c r="G623" s="78">
        <v>0.8628218666666666</v>
      </c>
      <c r="H623" s="79">
        <v>37154</v>
      </c>
      <c r="I623" s="79">
        <v>41237</v>
      </c>
      <c r="J623" s="3">
        <f t="shared" si="47"/>
        <v>11</v>
      </c>
    </row>
    <row r="624" spans="1:10" x14ac:dyDescent="0.25">
      <c r="A624" s="76">
        <v>3</v>
      </c>
      <c r="B624" s="76" t="s">
        <v>1283</v>
      </c>
      <c r="C624" s="76">
        <v>2001</v>
      </c>
      <c r="D624" s="76" t="str">
        <f t="shared" si="49"/>
        <v>A01N</v>
      </c>
      <c r="E624" s="76" t="s">
        <v>65</v>
      </c>
      <c r="F624" s="77" t="s">
        <v>212</v>
      </c>
      <c r="G624" s="78">
        <v>0.78407655000000032</v>
      </c>
      <c r="H624" s="79">
        <v>37154</v>
      </c>
      <c r="I624" s="79">
        <v>41237</v>
      </c>
      <c r="J624" s="3">
        <f t="shared" si="47"/>
        <v>11</v>
      </c>
    </row>
    <row r="625" spans="1:23" x14ac:dyDescent="0.25">
      <c r="A625" s="76">
        <v>3</v>
      </c>
      <c r="B625" s="76" t="s">
        <v>1283</v>
      </c>
      <c r="C625" s="76">
        <v>2001</v>
      </c>
      <c r="D625" s="76" t="str">
        <f t="shared" si="49"/>
        <v>A01N</v>
      </c>
      <c r="E625" s="76" t="s">
        <v>65</v>
      </c>
      <c r="F625" s="77" t="s">
        <v>277</v>
      </c>
      <c r="G625" s="78">
        <v>0.81931675000000048</v>
      </c>
      <c r="H625" s="79">
        <v>37154</v>
      </c>
      <c r="I625" s="79">
        <v>41242</v>
      </c>
      <c r="J625" s="3">
        <f t="shared" si="47"/>
        <v>11</v>
      </c>
    </row>
    <row r="626" spans="1:23" x14ac:dyDescent="0.25">
      <c r="A626" s="76">
        <v>3</v>
      </c>
      <c r="B626" s="76" t="s">
        <v>1283</v>
      </c>
      <c r="C626" s="76">
        <v>2001</v>
      </c>
      <c r="D626" s="76" t="str">
        <f t="shared" si="49"/>
        <v>A01N</v>
      </c>
      <c r="E626" s="76" t="s">
        <v>65</v>
      </c>
      <c r="F626" s="77" t="s">
        <v>278</v>
      </c>
      <c r="G626" s="78">
        <v>0.7736031249999995</v>
      </c>
      <c r="H626" s="79">
        <v>37154</v>
      </c>
      <c r="I626" s="79">
        <v>41240</v>
      </c>
      <c r="J626" s="3">
        <f t="shared" si="47"/>
        <v>11</v>
      </c>
    </row>
    <row r="627" spans="1:23" x14ac:dyDescent="0.25">
      <c r="A627" s="76">
        <v>3</v>
      </c>
      <c r="B627" s="76" t="s">
        <v>1283</v>
      </c>
      <c r="C627" s="76">
        <v>2001</v>
      </c>
      <c r="D627" s="76" t="str">
        <f t="shared" si="49"/>
        <v>A01N</v>
      </c>
      <c r="E627" s="76" t="s">
        <v>65</v>
      </c>
      <c r="F627" s="77" t="s">
        <v>279</v>
      </c>
      <c r="G627" s="78">
        <v>0.80815103437290392</v>
      </c>
      <c r="H627" s="79">
        <v>37062</v>
      </c>
      <c r="I627" s="79">
        <v>41237</v>
      </c>
      <c r="J627" s="3">
        <f t="shared" si="47"/>
        <v>11</v>
      </c>
    </row>
    <row r="628" spans="1:23" x14ac:dyDescent="0.25">
      <c r="A628" s="76">
        <v>3</v>
      </c>
      <c r="B628" s="76" t="s">
        <v>1283</v>
      </c>
      <c r="C628" s="76">
        <v>2001</v>
      </c>
      <c r="D628" s="76" t="str">
        <f t="shared" si="49"/>
        <v>Y01N</v>
      </c>
      <c r="E628" s="76" t="s">
        <v>65</v>
      </c>
      <c r="F628" s="77" t="s">
        <v>344</v>
      </c>
      <c r="G628" s="78">
        <v>0.72034439724631283</v>
      </c>
      <c r="H628" s="79">
        <v>37261</v>
      </c>
      <c r="I628" s="79">
        <v>37655</v>
      </c>
      <c r="J628" s="3">
        <f t="shared" si="47"/>
        <v>1</v>
      </c>
    </row>
    <row r="629" spans="1:23" x14ac:dyDescent="0.25">
      <c r="A629" s="76">
        <v>3</v>
      </c>
      <c r="B629" s="76" t="s">
        <v>1283</v>
      </c>
      <c r="C629" s="76">
        <v>2001</v>
      </c>
      <c r="D629" s="76" t="str">
        <f t="shared" si="49"/>
        <v>Y01N</v>
      </c>
      <c r="E629" s="76" t="s">
        <v>65</v>
      </c>
      <c r="F629" s="77" t="s">
        <v>345</v>
      </c>
      <c r="G629" s="78">
        <v>0.72223814999999913</v>
      </c>
      <c r="H629" s="79">
        <v>37076</v>
      </c>
      <c r="I629" s="79">
        <v>41345</v>
      </c>
      <c r="J629" s="3">
        <f t="shared" si="47"/>
        <v>12</v>
      </c>
    </row>
    <row r="630" spans="1:23" x14ac:dyDescent="0.25">
      <c r="A630" s="76">
        <v>3</v>
      </c>
      <c r="B630" s="76" t="s">
        <v>1283</v>
      </c>
      <c r="C630" s="76">
        <v>2001</v>
      </c>
      <c r="D630" s="76" t="str">
        <f t="shared" si="49"/>
        <v>Y01N</v>
      </c>
      <c r="E630" s="76" t="s">
        <v>65</v>
      </c>
      <c r="F630" s="77" t="s">
        <v>346</v>
      </c>
      <c r="G630" s="78">
        <v>0.69030637499999914</v>
      </c>
      <c r="H630" s="79">
        <v>37062</v>
      </c>
      <c r="I630" s="79">
        <v>41251</v>
      </c>
      <c r="J630" s="3">
        <f t="shared" si="47"/>
        <v>11</v>
      </c>
    </row>
    <row r="631" spans="1:23" x14ac:dyDescent="0.25">
      <c r="A631" s="76">
        <v>3</v>
      </c>
      <c r="B631" s="76" t="s">
        <v>1283</v>
      </c>
      <c r="C631" s="76">
        <v>2001</v>
      </c>
      <c r="D631" s="76" t="str">
        <f t="shared" si="49"/>
        <v>Y01N</v>
      </c>
      <c r="E631" s="76" t="s">
        <v>65</v>
      </c>
      <c r="F631" s="77" t="s">
        <v>347</v>
      </c>
      <c r="G631" s="78">
        <v>0.6638334499999996</v>
      </c>
      <c r="H631" s="79">
        <v>37062</v>
      </c>
      <c r="I631" s="79">
        <v>41250</v>
      </c>
      <c r="J631" s="3">
        <f t="shared" si="47"/>
        <v>11</v>
      </c>
    </row>
    <row r="632" spans="1:23" x14ac:dyDescent="0.25">
      <c r="A632" s="76">
        <v>3</v>
      </c>
      <c r="B632" s="76" t="s">
        <v>1283</v>
      </c>
      <c r="C632" s="76">
        <v>2001</v>
      </c>
      <c r="D632" s="76" t="str">
        <f t="shared" si="49"/>
        <v>A01N</v>
      </c>
      <c r="E632" s="76" t="s">
        <v>65</v>
      </c>
      <c r="F632" s="77" t="s">
        <v>280</v>
      </c>
      <c r="G632" s="78">
        <v>0.83277205902079143</v>
      </c>
      <c r="H632" s="79">
        <v>37062</v>
      </c>
      <c r="I632" s="79">
        <v>41237</v>
      </c>
      <c r="J632" s="3">
        <f t="shared" si="47"/>
        <v>11</v>
      </c>
    </row>
    <row r="633" spans="1:23" x14ac:dyDescent="0.25">
      <c r="A633" s="76">
        <v>3</v>
      </c>
      <c r="B633" s="76" t="s">
        <v>1283</v>
      </c>
      <c r="C633" s="76">
        <v>2001</v>
      </c>
      <c r="D633" s="76" t="str">
        <f t="shared" si="49"/>
        <v>A01N</v>
      </c>
      <c r="E633" s="76" t="s">
        <v>65</v>
      </c>
      <c r="F633" s="77" t="s">
        <v>281</v>
      </c>
      <c r="G633" s="78">
        <v>0.79728523910127458</v>
      </c>
      <c r="H633" s="79">
        <v>37540</v>
      </c>
      <c r="I633" s="79">
        <v>41237</v>
      </c>
      <c r="J633" s="3">
        <f t="shared" si="47"/>
        <v>10</v>
      </c>
    </row>
    <row r="634" spans="1:23" x14ac:dyDescent="0.25">
      <c r="A634" s="76">
        <v>3</v>
      </c>
      <c r="B634" s="76" t="s">
        <v>1283</v>
      </c>
      <c r="C634" s="76">
        <v>2001</v>
      </c>
      <c r="D634" s="76" t="str">
        <f t="shared" si="49"/>
        <v>A01N</v>
      </c>
      <c r="E634" s="76" t="s">
        <v>65</v>
      </c>
      <c r="F634" s="77" t="s">
        <v>495</v>
      </c>
      <c r="G634" s="78">
        <v>0.83998046341070143</v>
      </c>
      <c r="H634" s="79">
        <v>39115</v>
      </c>
      <c r="I634" s="79">
        <v>42186</v>
      </c>
      <c r="J634" s="3">
        <f t="shared" si="47"/>
        <v>8</v>
      </c>
      <c r="K634" s="10">
        <v>2.538139597677791E-2</v>
      </c>
      <c r="L634" s="10">
        <v>2.9451499594703945E-2</v>
      </c>
      <c r="M634" s="10">
        <v>3.6139685977260694E-2</v>
      </c>
      <c r="N634" s="10">
        <v>2.4357239512855067E-2</v>
      </c>
      <c r="O634" s="10">
        <v>2.2500000000000853E-2</v>
      </c>
      <c r="P634" s="10">
        <v>-1.5000000000000568E-2</v>
      </c>
      <c r="Q634" s="10">
        <v>-0.17249999999999943</v>
      </c>
      <c r="R634" s="10">
        <v>-0.99250000000000116</v>
      </c>
      <c r="S634" s="10">
        <v>-0.99499999999999889</v>
      </c>
      <c r="T634" s="10">
        <v>-1</v>
      </c>
      <c r="U634" s="1">
        <v>3250</v>
      </c>
      <c r="W634" s="1">
        <v>761151</v>
      </c>
    </row>
    <row r="635" spans="1:23" x14ac:dyDescent="0.25">
      <c r="A635" s="76">
        <v>3</v>
      </c>
      <c r="B635" s="76" t="s">
        <v>1283</v>
      </c>
      <c r="C635" s="76">
        <v>2001</v>
      </c>
      <c r="D635" s="76" t="str">
        <f t="shared" si="49"/>
        <v>A01N</v>
      </c>
      <c r="E635" s="76" t="s">
        <v>65</v>
      </c>
      <c r="F635" s="77" t="s">
        <v>496</v>
      </c>
      <c r="G635" s="78">
        <v>0.79313352845991925</v>
      </c>
      <c r="H635" s="79">
        <v>37019</v>
      </c>
      <c r="I635" s="79">
        <v>42199</v>
      </c>
      <c r="J635" s="3">
        <f t="shared" si="47"/>
        <v>14</v>
      </c>
      <c r="K635" s="10">
        <v>-7.0203861212364549E-3</v>
      </c>
      <c r="L635" s="10">
        <v>-2.9721696838692635E-3</v>
      </c>
      <c r="M635" s="10">
        <v>-7.173795343801137E-3</v>
      </c>
      <c r="N635" s="10">
        <v>-6.7658998646815682E-3</v>
      </c>
      <c r="O635" s="10">
        <v>2.4999999999977263E-3</v>
      </c>
      <c r="P635" s="10">
        <v>-3.0000000000001137E-2</v>
      </c>
      <c r="Q635" s="10">
        <v>-0.41249999999999998</v>
      </c>
      <c r="R635" s="10">
        <v>-0.99499999999999889</v>
      </c>
      <c r="S635" s="10">
        <v>-0.99499999999999889</v>
      </c>
      <c r="T635" s="10">
        <v>-1</v>
      </c>
      <c r="U635" s="1">
        <v>2552</v>
      </c>
      <c r="W635" s="1">
        <v>1752618</v>
      </c>
    </row>
    <row r="636" spans="1:23" x14ac:dyDescent="0.25">
      <c r="A636" s="76">
        <v>3</v>
      </c>
      <c r="B636" s="76" t="s">
        <v>1283</v>
      </c>
      <c r="C636" s="76">
        <v>2001</v>
      </c>
      <c r="D636" s="76" t="str">
        <f t="shared" si="49"/>
        <v>A01N</v>
      </c>
      <c r="E636" s="76" t="s">
        <v>65</v>
      </c>
      <c r="F636" s="77" t="s">
        <v>498</v>
      </c>
      <c r="G636" s="78">
        <v>0.79398055203684315</v>
      </c>
      <c r="H636" s="79">
        <v>37106</v>
      </c>
      <c r="I636" s="79">
        <v>42200</v>
      </c>
      <c r="J636" s="3">
        <f t="shared" si="47"/>
        <v>14</v>
      </c>
      <c r="K636" s="10">
        <v>1.0800594032669419E-3</v>
      </c>
      <c r="L636" s="10">
        <v>4.4582545258040618E-3</v>
      </c>
      <c r="M636" s="10">
        <v>7.7152138603131526E-3</v>
      </c>
      <c r="N636" s="10">
        <v>4.0595399188096959E-3</v>
      </c>
      <c r="O636" s="10">
        <v>0</v>
      </c>
      <c r="P636" s="10">
        <v>-2.4999999999977263E-3</v>
      </c>
      <c r="Q636" s="10">
        <v>-0.47499999999999998</v>
      </c>
      <c r="R636" s="10">
        <v>-0.99750000000000227</v>
      </c>
      <c r="S636" s="10">
        <v>-0.99499999999999889</v>
      </c>
      <c r="T636" s="10">
        <v>-1</v>
      </c>
      <c r="U636" s="1">
        <v>2044</v>
      </c>
      <c r="W636" s="1">
        <v>1758322</v>
      </c>
    </row>
    <row r="637" spans="1:23" x14ac:dyDescent="0.25">
      <c r="A637" s="76">
        <v>3</v>
      </c>
      <c r="B637" s="76" t="s">
        <v>1283</v>
      </c>
      <c r="C637" s="76">
        <v>2001</v>
      </c>
      <c r="D637" s="76" t="str">
        <f t="shared" si="49"/>
        <v>A01N</v>
      </c>
      <c r="E637" s="76" t="s">
        <v>65</v>
      </c>
      <c r="F637" s="77" t="s">
        <v>499</v>
      </c>
      <c r="G637" s="78">
        <v>0.85003765035179346</v>
      </c>
      <c r="H637" s="79">
        <v>40861</v>
      </c>
      <c r="I637" s="79">
        <v>42200</v>
      </c>
      <c r="J637" s="3">
        <f t="shared" si="47"/>
        <v>4</v>
      </c>
      <c r="K637" s="10">
        <v>2.1331173214526489E-2</v>
      </c>
      <c r="L637" s="10">
        <v>2.877600648473333E-2</v>
      </c>
      <c r="M637" s="10">
        <v>3.4109366540335362E-2</v>
      </c>
      <c r="N637" s="10">
        <v>2.232746955345144E-2</v>
      </c>
      <c r="O637" s="10">
        <v>2.7499999999999858E-2</v>
      </c>
      <c r="P637" s="10">
        <v>0</v>
      </c>
      <c r="Q637" s="10">
        <v>-0.12499999999999967</v>
      </c>
      <c r="R637" s="10">
        <v>-0.99250000000000038</v>
      </c>
      <c r="S637" s="10">
        <v>-0.99499999999999955</v>
      </c>
      <c r="T637" s="10">
        <v>-1</v>
      </c>
      <c r="U637" s="1">
        <v>2258</v>
      </c>
      <c r="W637" s="1">
        <v>1758391</v>
      </c>
    </row>
    <row r="638" spans="1:23" x14ac:dyDescent="0.25">
      <c r="A638" s="76">
        <v>3</v>
      </c>
      <c r="B638" s="76" t="s">
        <v>1283</v>
      </c>
      <c r="C638" s="76">
        <v>2001</v>
      </c>
      <c r="D638" s="76" t="str">
        <f t="shared" si="49"/>
        <v>A01N</v>
      </c>
      <c r="E638" s="76" t="s">
        <v>65</v>
      </c>
      <c r="F638" s="77" t="s">
        <v>507</v>
      </c>
      <c r="G638" s="78">
        <v>0.89643227955224847</v>
      </c>
      <c r="H638" s="79">
        <v>37169</v>
      </c>
      <c r="I638" s="79">
        <v>42201</v>
      </c>
      <c r="J638" s="3">
        <f t="shared" si="47"/>
        <v>14</v>
      </c>
      <c r="K638" s="10">
        <v>-5.326231691079375E-3</v>
      </c>
      <c r="L638" s="10">
        <v>-5.3297801465677086E-3</v>
      </c>
      <c r="M638" s="10">
        <v>1.1738028544750145E-2</v>
      </c>
      <c r="N638" s="10">
        <v>8.8817841970012523E-16</v>
      </c>
      <c r="O638" s="10">
        <v>7.4999999999989519E-3</v>
      </c>
      <c r="P638" s="10">
        <v>-2.4999999999977263E-3</v>
      </c>
      <c r="Q638" s="10">
        <v>-5.7499999999999885E-2</v>
      </c>
      <c r="R638" s="10">
        <v>-0.30499999999999994</v>
      </c>
      <c r="S638" s="10">
        <v>-0.99500000000000033</v>
      </c>
      <c r="T638" s="10">
        <v>-1</v>
      </c>
      <c r="U638" s="1">
        <v>2412</v>
      </c>
      <c r="W638" s="1">
        <v>2197251</v>
      </c>
    </row>
    <row r="639" spans="1:23" x14ac:dyDescent="0.25">
      <c r="A639" s="76">
        <v>3</v>
      </c>
      <c r="B639" s="76" t="s">
        <v>1283</v>
      </c>
      <c r="C639" s="76">
        <v>2001</v>
      </c>
      <c r="D639" s="76" t="str">
        <f t="shared" ref="D639:D644" si="50">LEFT(F639,4)</f>
        <v>A01N</v>
      </c>
      <c r="E639" s="76" t="s">
        <v>65</v>
      </c>
      <c r="F639" s="77" t="s">
        <v>535</v>
      </c>
      <c r="G639" s="78">
        <v>0.76785111500640191</v>
      </c>
      <c r="H639" s="79">
        <v>42157</v>
      </c>
      <c r="I639" s="79">
        <v>42157</v>
      </c>
      <c r="J639" s="3" t="str">
        <f t="shared" si="47"/>
        <v/>
      </c>
      <c r="K639" s="10">
        <v>1.7379679144385429E-2</v>
      </c>
      <c r="L639" s="10">
        <v>1.8308165174394375E-2</v>
      </c>
      <c r="M639" s="10">
        <v>2.409638554216853E-2</v>
      </c>
      <c r="N639" s="10">
        <v>1.6053511705686141E-2</v>
      </c>
      <c r="O639" s="10">
        <v>7.4999999999989519E-3</v>
      </c>
      <c r="P639" s="10">
        <v>-4.4999999999998819E-2</v>
      </c>
      <c r="Q639" s="10">
        <v>-0.65249999999999775</v>
      </c>
      <c r="R639" s="10">
        <v>-0.99250000000000116</v>
      </c>
      <c r="S639" s="10">
        <v>-0.99499999999999889</v>
      </c>
      <c r="T639" s="10">
        <v>-1</v>
      </c>
      <c r="U639" s="1">
        <v>4825</v>
      </c>
      <c r="W639" s="1">
        <v>391344</v>
      </c>
    </row>
    <row r="640" spans="1:23" x14ac:dyDescent="0.25">
      <c r="A640" s="76">
        <v>3</v>
      </c>
      <c r="B640" s="76" t="s">
        <v>1283</v>
      </c>
      <c r="C640" s="76">
        <v>2001</v>
      </c>
      <c r="D640" s="76" t="str">
        <f t="shared" si="50"/>
        <v>A01N</v>
      </c>
      <c r="E640" s="76" t="s">
        <v>65</v>
      </c>
      <c r="F640" s="77" t="s">
        <v>536</v>
      </c>
      <c r="G640" s="78">
        <v>0.86579474446702032</v>
      </c>
      <c r="H640" s="79">
        <v>37495</v>
      </c>
      <c r="I640" s="79">
        <v>42200</v>
      </c>
      <c r="J640" s="3">
        <f t="shared" si="47"/>
        <v>13</v>
      </c>
      <c r="K640" s="10">
        <v>3.7433155080213831E-2</v>
      </c>
      <c r="L640" s="10">
        <v>3.7017239075237462E-2</v>
      </c>
      <c r="M640" s="10">
        <v>4.0829986613119207E-2</v>
      </c>
      <c r="N640" s="10">
        <v>3.3444816053511683E-2</v>
      </c>
      <c r="O640" s="10">
        <v>2.2499999999996634E-2</v>
      </c>
      <c r="P640" s="10">
        <v>1.0000000000002229E-2</v>
      </c>
      <c r="Q640" s="10">
        <v>-6.7500000000001115E-2</v>
      </c>
      <c r="R640" s="10">
        <v>-0.92749999999999777</v>
      </c>
      <c r="S640" s="10">
        <v>-0.99250000000000116</v>
      </c>
      <c r="T640" s="10">
        <v>-1</v>
      </c>
      <c r="U640" s="1">
        <v>2708</v>
      </c>
      <c r="W640" s="1">
        <v>2195534</v>
      </c>
    </row>
    <row r="641" spans="1:23" x14ac:dyDescent="0.25">
      <c r="A641" s="76">
        <v>3</v>
      </c>
      <c r="B641" s="76" t="s">
        <v>1283</v>
      </c>
      <c r="C641" s="76">
        <v>2001</v>
      </c>
      <c r="D641" s="76" t="str">
        <f t="shared" si="50"/>
        <v>A01N</v>
      </c>
      <c r="E641" s="76" t="s">
        <v>65</v>
      </c>
      <c r="F641" s="77" t="s">
        <v>537</v>
      </c>
      <c r="G641" s="78">
        <v>0.92002115365599901</v>
      </c>
      <c r="H641" s="79">
        <v>37321</v>
      </c>
      <c r="I641" s="79">
        <v>42200</v>
      </c>
      <c r="J641" s="3">
        <f t="shared" si="47"/>
        <v>13</v>
      </c>
      <c r="K641" s="10">
        <v>1.6042780748663166E-2</v>
      </c>
      <c r="L641" s="10">
        <v>6.9490845917417055E-3</v>
      </c>
      <c r="M641" s="10">
        <v>2.0749665327978617E-2</v>
      </c>
      <c r="N641" s="10">
        <v>2.006688963210701E-2</v>
      </c>
      <c r="O641" s="10">
        <v>1.9999999999998908E-2</v>
      </c>
      <c r="P641" s="10">
        <v>2.4999999999999911E-2</v>
      </c>
      <c r="Q641" s="10">
        <v>-1.2499999999999956E-2</v>
      </c>
      <c r="R641" s="10">
        <v>-0.24499999999999889</v>
      </c>
      <c r="S641" s="10">
        <v>-0.99000000000000343</v>
      </c>
      <c r="T641" s="10">
        <v>-1</v>
      </c>
      <c r="U641" s="1">
        <v>2666</v>
      </c>
      <c r="W641" s="1">
        <v>2199921</v>
      </c>
    </row>
    <row r="642" spans="1:23" x14ac:dyDescent="0.25">
      <c r="A642" s="76">
        <v>3</v>
      </c>
      <c r="B642" s="76" t="s">
        <v>1283</v>
      </c>
      <c r="C642" s="76">
        <v>2001</v>
      </c>
      <c r="D642" s="76" t="str">
        <f t="shared" si="50"/>
        <v>A01N</v>
      </c>
      <c r="E642" s="76" t="s">
        <v>65</v>
      </c>
      <c r="F642" s="77" t="s">
        <v>538</v>
      </c>
      <c r="G642" s="78">
        <v>0.80070079206406763</v>
      </c>
      <c r="H642" s="79">
        <v>42174</v>
      </c>
      <c r="I642" s="79">
        <v>42174</v>
      </c>
      <c r="J642" s="3" t="str">
        <f t="shared" si="47"/>
        <v/>
      </c>
      <c r="K642" s="10">
        <v>-4.9465240641710873E-2</v>
      </c>
      <c r="L642" s="10">
        <v>-1.2428170519845239E-2</v>
      </c>
      <c r="M642" s="10">
        <v>-6.0240963855414664E-3</v>
      </c>
      <c r="N642" s="10">
        <v>4.0133779264208691E-3</v>
      </c>
      <c r="O642" s="10">
        <v>5.0000000000012257E-3</v>
      </c>
      <c r="P642" s="10">
        <v>0</v>
      </c>
      <c r="Q642" s="10">
        <v>-0.41750000000000109</v>
      </c>
      <c r="R642" s="10">
        <v>-0.96750000000000114</v>
      </c>
      <c r="S642" s="10">
        <v>-0.99250000000000116</v>
      </c>
      <c r="T642" s="10">
        <v>-1</v>
      </c>
      <c r="U642" s="1">
        <v>1444</v>
      </c>
      <c r="W642" s="1">
        <v>656925</v>
      </c>
    </row>
    <row r="643" spans="1:23" x14ac:dyDescent="0.25">
      <c r="A643" s="76">
        <v>3</v>
      </c>
      <c r="B643" s="76" t="s">
        <v>1283</v>
      </c>
      <c r="C643" s="76">
        <v>2001</v>
      </c>
      <c r="D643" s="76" t="str">
        <f t="shared" si="50"/>
        <v>A01N</v>
      </c>
      <c r="E643" s="76" t="s">
        <v>65</v>
      </c>
      <c r="F643" s="77" t="s">
        <v>539</v>
      </c>
      <c r="G643" s="78">
        <v>0.83492166591059502</v>
      </c>
      <c r="H643" s="79">
        <v>37246</v>
      </c>
      <c r="I643" s="79">
        <v>42200</v>
      </c>
      <c r="J643" s="3">
        <f t="shared" si="47"/>
        <v>14</v>
      </c>
      <c r="K643" s="10">
        <v>3.3422459893051037E-3</v>
      </c>
      <c r="L643" s="10">
        <v>7.6172658024853401E-3</v>
      </c>
      <c r="M643" s="10">
        <v>1.2717536813922736E-2</v>
      </c>
      <c r="N643" s="10">
        <v>1.0033444816053505E-2</v>
      </c>
      <c r="O643" s="10">
        <v>2.4999999999977263E-3</v>
      </c>
      <c r="P643" s="10">
        <v>-9.9999999999994538E-3</v>
      </c>
      <c r="Q643" s="10">
        <v>-0.15499999999999825</v>
      </c>
      <c r="R643" s="10">
        <v>-0.97499999999999998</v>
      </c>
      <c r="S643" s="10">
        <v>-0.99250000000000116</v>
      </c>
      <c r="T643" s="10">
        <v>-1</v>
      </c>
      <c r="U643" s="1">
        <v>4151</v>
      </c>
      <c r="W643" s="1">
        <v>2199076</v>
      </c>
    </row>
    <row r="644" spans="1:23" x14ac:dyDescent="0.25">
      <c r="A644" s="76">
        <v>3</v>
      </c>
      <c r="B644" s="76" t="s">
        <v>1283</v>
      </c>
      <c r="C644" s="76">
        <v>2001</v>
      </c>
      <c r="D644" s="76" t="str">
        <f t="shared" si="50"/>
        <v>A01N</v>
      </c>
      <c r="E644" s="76" t="s">
        <v>65</v>
      </c>
      <c r="F644" s="77" t="s">
        <v>540</v>
      </c>
      <c r="G644" s="78">
        <v>0.80849886253816106</v>
      </c>
      <c r="H644" s="79">
        <v>37203</v>
      </c>
      <c r="I644" s="79">
        <v>42200</v>
      </c>
      <c r="J644" s="3">
        <f t="shared" si="47"/>
        <v>14</v>
      </c>
      <c r="K644" s="10">
        <v>1.7379679144385207E-2</v>
      </c>
      <c r="L644" s="10">
        <v>1.6303621542162139E-2</v>
      </c>
      <c r="M644" s="10">
        <v>1.6733601070950233E-2</v>
      </c>
      <c r="N644" s="10">
        <v>-4.682274247491236E-3</v>
      </c>
      <c r="O644" s="10">
        <v>4.7499999999999432E-2</v>
      </c>
      <c r="P644" s="10">
        <v>-5.9999999999999387E-2</v>
      </c>
      <c r="Q644" s="10">
        <v>-0.35</v>
      </c>
      <c r="R644" s="10">
        <v>-0.99250000000000116</v>
      </c>
      <c r="S644" s="10">
        <v>-0.99499999999999889</v>
      </c>
      <c r="T644" s="10">
        <v>-1</v>
      </c>
      <c r="U644" s="1">
        <v>3419</v>
      </c>
      <c r="W644" s="1">
        <v>2199432</v>
      </c>
    </row>
    <row r="645" spans="1:23" x14ac:dyDescent="0.25">
      <c r="A645" s="76">
        <v>3</v>
      </c>
      <c r="B645" s="76" t="s">
        <v>1283</v>
      </c>
      <c r="C645" s="76">
        <v>2001</v>
      </c>
      <c r="D645" s="76" t="str">
        <f t="shared" ref="D645:D674" si="51">LEFT(F645,4)</f>
        <v>A01N</v>
      </c>
      <c r="E645" s="76" t="s">
        <v>65</v>
      </c>
      <c r="F645" s="77" t="s">
        <v>604</v>
      </c>
      <c r="G645" s="78">
        <v>0.80799887207401522</v>
      </c>
      <c r="H645" s="79">
        <v>37322</v>
      </c>
      <c r="I645" s="79">
        <v>42201</v>
      </c>
      <c r="J645" s="3">
        <f t="shared" ref="J645:J708" si="52">IF(YEAR(I645)-YEAR(H645)=0,"",YEAR(I645)-YEAR(H645))</f>
        <v>13</v>
      </c>
      <c r="K645" s="10">
        <v>4.7329276538197185E-3</v>
      </c>
      <c r="L645" s="10">
        <v>5.4274084124832367E-3</v>
      </c>
      <c r="M645" s="10">
        <v>-3.5201733008390912E-3</v>
      </c>
      <c r="N645" s="10">
        <v>1.7881705639614776E-2</v>
      </c>
      <c r="O645" s="10">
        <v>5.5165496489471E-3</v>
      </c>
      <c r="P645" s="10">
        <v>-1.1044176706827225E-2</v>
      </c>
      <c r="Q645" s="10">
        <v>-0.14321608040201017</v>
      </c>
      <c r="R645" s="10">
        <v>-0.99246231155778941</v>
      </c>
      <c r="S645" s="10">
        <v>-0.98994974874371844</v>
      </c>
      <c r="T645" s="10">
        <v>-1</v>
      </c>
      <c r="U645" s="1">
        <v>3616</v>
      </c>
      <c r="W645" s="1">
        <v>2195607</v>
      </c>
    </row>
    <row r="646" spans="1:23" x14ac:dyDescent="0.25">
      <c r="A646" s="76">
        <v>3</v>
      </c>
      <c r="B646" s="76" t="s">
        <v>1283</v>
      </c>
      <c r="C646" s="76">
        <v>2001</v>
      </c>
      <c r="D646" s="76" t="str">
        <f t="shared" si="51"/>
        <v>A01N</v>
      </c>
      <c r="E646" s="76" t="s">
        <v>65</v>
      </c>
      <c r="F646" s="77" t="s">
        <v>605</v>
      </c>
      <c r="G646" s="78">
        <v>0.83190378326352943</v>
      </c>
      <c r="H646" s="79">
        <v>37309</v>
      </c>
      <c r="I646" s="79">
        <v>42201</v>
      </c>
      <c r="J646" s="3">
        <f t="shared" si="52"/>
        <v>13</v>
      </c>
      <c r="K646" s="10">
        <v>1.4874915483435114E-2</v>
      </c>
      <c r="L646" s="10">
        <v>1.8317503392130341E-2</v>
      </c>
      <c r="M646" s="10">
        <v>1.8142431627403033E-2</v>
      </c>
      <c r="N646" s="10">
        <v>2.1320495185694677E-2</v>
      </c>
      <c r="O646" s="10">
        <v>5.5165496489444354E-3</v>
      </c>
      <c r="P646" s="10">
        <v>1.5060240963877813E-3</v>
      </c>
      <c r="Q646" s="10">
        <v>-6.7839195979901734E-2</v>
      </c>
      <c r="R646" s="10">
        <v>-0.80904522613065266</v>
      </c>
      <c r="S646" s="10">
        <v>-0.98994974874371922</v>
      </c>
      <c r="T646" s="10">
        <v>-1</v>
      </c>
      <c r="U646" s="1">
        <v>2566</v>
      </c>
      <c r="W646" s="1">
        <v>1756711</v>
      </c>
    </row>
    <row r="647" spans="1:23" x14ac:dyDescent="0.25">
      <c r="A647" s="76">
        <v>3</v>
      </c>
      <c r="B647" s="76" t="s">
        <v>1283</v>
      </c>
      <c r="C647" s="76">
        <v>2001</v>
      </c>
      <c r="D647" s="76" t="str">
        <f t="shared" si="51"/>
        <v>A01N</v>
      </c>
      <c r="E647" s="76" t="s">
        <v>65</v>
      </c>
      <c r="F647" s="77" t="s">
        <v>606</v>
      </c>
      <c r="G647" s="78">
        <v>0.81687862202813388</v>
      </c>
      <c r="H647" s="79">
        <v>37350</v>
      </c>
      <c r="I647" s="79">
        <v>42201</v>
      </c>
      <c r="J647" s="3">
        <f t="shared" si="52"/>
        <v>13</v>
      </c>
      <c r="K647" s="10">
        <v>1.1494252873564204E-2</v>
      </c>
      <c r="L647" s="10">
        <v>-8.1411126187258542E-3</v>
      </c>
      <c r="M647" s="10">
        <v>1.0018954779312583E-2</v>
      </c>
      <c r="N647" s="10">
        <v>4.2640990371390242E-2</v>
      </c>
      <c r="O647" s="10">
        <v>3.059177532598123E-2</v>
      </c>
      <c r="P647" s="10">
        <v>1.9076305220881107E-2</v>
      </c>
      <c r="Q647" s="10">
        <v>-0.7437185929648229</v>
      </c>
      <c r="R647" s="10">
        <v>-0.49999999999999767</v>
      </c>
      <c r="S647" s="10">
        <v>-0.94723618090452488</v>
      </c>
      <c r="T647" s="10">
        <v>-1</v>
      </c>
      <c r="U647" s="1">
        <v>3018</v>
      </c>
      <c r="W647" s="1">
        <v>2202476</v>
      </c>
    </row>
    <row r="648" spans="1:23" x14ac:dyDescent="0.25">
      <c r="A648" s="76">
        <v>3</v>
      </c>
      <c r="B648" s="76" t="s">
        <v>1283</v>
      </c>
      <c r="C648" s="76">
        <v>2001</v>
      </c>
      <c r="D648" s="76" t="str">
        <f t="shared" si="51"/>
        <v>A01N</v>
      </c>
      <c r="E648" s="76" t="s">
        <v>65</v>
      </c>
      <c r="F648" s="77" t="s">
        <v>607</v>
      </c>
      <c r="G648" s="78">
        <v>0.8538210126604493</v>
      </c>
      <c r="H648" s="79">
        <v>37309</v>
      </c>
      <c r="I648" s="79">
        <v>42200</v>
      </c>
      <c r="J648" s="3">
        <f t="shared" si="52"/>
        <v>13</v>
      </c>
      <c r="K648" s="10">
        <v>1.8255578093307356E-2</v>
      </c>
      <c r="L648" s="10">
        <v>2.1031207598371848E-2</v>
      </c>
      <c r="M648" s="10">
        <v>2.2881126455455592E-2</v>
      </c>
      <c r="N648" s="10">
        <v>2.8198074277854257E-2</v>
      </c>
      <c r="O648" s="10">
        <v>1.8054162487465719E-2</v>
      </c>
      <c r="P648" s="10">
        <v>1.4056224899594794E-2</v>
      </c>
      <c r="Q648" s="10">
        <v>-3.2663316582914548E-2</v>
      </c>
      <c r="R648" s="10">
        <v>-0.63567839195979903</v>
      </c>
      <c r="S648" s="10">
        <v>-0.98743718592964824</v>
      </c>
      <c r="T648" s="10">
        <v>-1</v>
      </c>
      <c r="U648" s="1">
        <v>3803</v>
      </c>
      <c r="W648" s="1">
        <v>1757733</v>
      </c>
    </row>
    <row r="649" spans="1:23" x14ac:dyDescent="0.25">
      <c r="A649" s="76">
        <v>3</v>
      </c>
      <c r="B649" s="76" t="s">
        <v>1283</v>
      </c>
      <c r="C649" s="76">
        <v>2001</v>
      </c>
      <c r="D649" s="76" t="str">
        <f t="shared" si="51"/>
        <v>A01N</v>
      </c>
      <c r="E649" s="76" t="s">
        <v>65</v>
      </c>
      <c r="F649" s="77" t="s">
        <v>608</v>
      </c>
      <c r="G649" s="78">
        <v>0.81177486799824639</v>
      </c>
      <c r="H649" s="79">
        <v>37350</v>
      </c>
      <c r="I649" s="79">
        <v>42201</v>
      </c>
      <c r="J649" s="3">
        <f t="shared" si="52"/>
        <v>13</v>
      </c>
      <c r="K649" s="10">
        <v>3.3806626098722425E-3</v>
      </c>
      <c r="L649" s="10">
        <v>1.3568521031201985E-3</v>
      </c>
      <c r="M649" s="10">
        <v>3.9263471432435804E-3</v>
      </c>
      <c r="N649" s="10">
        <v>2.1320495185694677E-2</v>
      </c>
      <c r="O649" s="10">
        <v>1.0531594784348508E-2</v>
      </c>
      <c r="P649" s="10">
        <v>-8.5341365461848451E-3</v>
      </c>
      <c r="Q649" s="10">
        <v>-0.12562814070351758</v>
      </c>
      <c r="R649" s="10">
        <v>-0.99246231155778897</v>
      </c>
      <c r="S649" s="10">
        <v>-0.98994974874371844</v>
      </c>
      <c r="T649" s="10">
        <v>-1</v>
      </c>
      <c r="U649" s="1">
        <v>2464</v>
      </c>
      <c r="W649" s="1">
        <v>2198142</v>
      </c>
    </row>
    <row r="650" spans="1:23" x14ac:dyDescent="0.25">
      <c r="A650" s="76">
        <v>3</v>
      </c>
      <c r="B650" s="76" t="s">
        <v>1283</v>
      </c>
      <c r="C650" s="76">
        <v>2001</v>
      </c>
      <c r="D650" s="76" t="str">
        <f t="shared" si="51"/>
        <v>A01N</v>
      </c>
      <c r="E650" s="76" t="s">
        <v>65</v>
      </c>
      <c r="F650" s="77" t="s">
        <v>609</v>
      </c>
      <c r="G650" s="78">
        <v>0.75885161378948141</v>
      </c>
      <c r="H650" s="79">
        <v>37309</v>
      </c>
      <c r="I650" s="79">
        <v>42200</v>
      </c>
      <c r="J650" s="3">
        <f t="shared" si="52"/>
        <v>13</v>
      </c>
      <c r="K650" s="10">
        <v>1.2846517917511679E-2</v>
      </c>
      <c r="L650" s="10">
        <v>1.4925373134327735E-2</v>
      </c>
      <c r="M650" s="10">
        <v>2.9650690495532928E-2</v>
      </c>
      <c r="N650" s="10">
        <v>3.5763411279229107E-2</v>
      </c>
      <c r="O650" s="10">
        <v>1.8054162487465719E-2</v>
      </c>
      <c r="P650" s="10">
        <v>-6.024096385544575E-3</v>
      </c>
      <c r="Q650" s="10">
        <v>-0.93718592964824121</v>
      </c>
      <c r="R650" s="10">
        <v>-0.99748743718593191</v>
      </c>
      <c r="S650" s="10">
        <v>-0.98994974874371633</v>
      </c>
      <c r="T650" s="10">
        <v>-1</v>
      </c>
      <c r="U650" s="1">
        <v>2570</v>
      </c>
      <c r="W650" s="1">
        <v>1756885</v>
      </c>
    </row>
    <row r="651" spans="1:23" x14ac:dyDescent="0.25">
      <c r="A651" s="76">
        <v>3</v>
      </c>
      <c r="B651" s="76" t="s">
        <v>1283</v>
      </c>
      <c r="C651" s="76">
        <v>2001</v>
      </c>
      <c r="D651" s="76" t="str">
        <f t="shared" si="51"/>
        <v>A01N</v>
      </c>
      <c r="E651" s="76" t="s">
        <v>65</v>
      </c>
      <c r="F651" s="77" t="s">
        <v>610</v>
      </c>
      <c r="G651" s="78">
        <v>0.8098027031401116</v>
      </c>
      <c r="H651" s="79">
        <v>37350</v>
      </c>
      <c r="I651" s="79">
        <v>42201</v>
      </c>
      <c r="J651" s="3">
        <f t="shared" si="52"/>
        <v>13</v>
      </c>
      <c r="K651" s="10">
        <v>-2.0283975659226572E-3</v>
      </c>
      <c r="L651" s="10">
        <v>-6.7842605156076541E-4</v>
      </c>
      <c r="M651" s="10">
        <v>-2.1662604928236462E-3</v>
      </c>
      <c r="N651" s="10">
        <v>1.2379642365887511E-2</v>
      </c>
      <c r="O651" s="10">
        <v>5.0150451353703218E-4</v>
      </c>
      <c r="P651" s="10">
        <v>-1.3554216867471158E-2</v>
      </c>
      <c r="Q651" s="10">
        <v>-0.10804020100502509</v>
      </c>
      <c r="R651" s="10">
        <v>-0.95979899497487098</v>
      </c>
      <c r="S651" s="10">
        <v>-0.99246231155779008</v>
      </c>
      <c r="T651" s="10">
        <v>-1</v>
      </c>
      <c r="U651" s="1">
        <v>1636</v>
      </c>
      <c r="W651" s="1">
        <v>2202743</v>
      </c>
    </row>
    <row r="652" spans="1:23" x14ac:dyDescent="0.25">
      <c r="A652" s="76">
        <v>3</v>
      </c>
      <c r="B652" s="76" t="s">
        <v>1283</v>
      </c>
      <c r="C652" s="76">
        <v>2001</v>
      </c>
      <c r="D652" s="76" t="str">
        <f t="shared" si="51"/>
        <v>A01N</v>
      </c>
      <c r="E652" s="76" t="s">
        <v>65</v>
      </c>
      <c r="F652" s="77" t="s">
        <v>611</v>
      </c>
      <c r="G652" s="78">
        <v>0.80716325892804952</v>
      </c>
      <c r="H652" s="79">
        <v>37167</v>
      </c>
      <c r="I652" s="79">
        <v>42203</v>
      </c>
      <c r="J652" s="3">
        <f t="shared" si="52"/>
        <v>14</v>
      </c>
      <c r="K652" s="10">
        <v>2.1636240703177378E-2</v>
      </c>
      <c r="L652" s="10">
        <v>1.9674355495250762E-2</v>
      </c>
      <c r="M652" s="10">
        <v>1.88193880314107E-2</v>
      </c>
      <c r="N652" s="10">
        <v>2.4071526822558198E-2</v>
      </c>
      <c r="O652" s="10">
        <v>8.0240722166495804E-3</v>
      </c>
      <c r="P652" s="10">
        <v>-1.8574297188755251E-2</v>
      </c>
      <c r="Q652" s="10">
        <v>-0.23366834170854267</v>
      </c>
      <c r="R652" s="10">
        <v>-0.94472361809045258</v>
      </c>
      <c r="S652" s="10">
        <v>-0.98743718592964824</v>
      </c>
      <c r="T652" s="10">
        <v>-1</v>
      </c>
      <c r="U652" s="1">
        <v>3882</v>
      </c>
      <c r="W652" s="1">
        <v>823597</v>
      </c>
    </row>
    <row r="653" spans="1:23" x14ac:dyDescent="0.25">
      <c r="A653" s="76">
        <v>3</v>
      </c>
      <c r="B653" s="76" t="s">
        <v>1283</v>
      </c>
      <c r="C653" s="76">
        <v>2001</v>
      </c>
      <c r="D653" s="76" t="str">
        <f t="shared" si="51"/>
        <v>A01N</v>
      </c>
      <c r="E653" s="76" t="s">
        <v>65</v>
      </c>
      <c r="F653" s="77" t="s">
        <v>612</v>
      </c>
      <c r="G653" s="78">
        <v>0.74365107435082478</v>
      </c>
      <c r="H653" s="79">
        <v>37309</v>
      </c>
      <c r="I653" s="79">
        <v>42201</v>
      </c>
      <c r="J653" s="3">
        <f t="shared" si="52"/>
        <v>13</v>
      </c>
      <c r="K653" s="10">
        <v>1.0141987829615395E-2</v>
      </c>
      <c r="L653" s="10">
        <v>-2.8493894165535716E-2</v>
      </c>
      <c r="M653" s="10">
        <v>-1.4893040888166453E-3</v>
      </c>
      <c r="N653" s="10">
        <v>1.375515818431805E-2</v>
      </c>
      <c r="O653" s="10">
        <v>5.5165496489444354E-3</v>
      </c>
      <c r="P653" s="10">
        <v>-8.5341365461848451E-3</v>
      </c>
      <c r="Q653" s="10">
        <v>-0.99246231155778442</v>
      </c>
      <c r="R653" s="10">
        <v>-0.99748743718593191</v>
      </c>
      <c r="S653" s="10">
        <v>-0.98994974874371633</v>
      </c>
      <c r="T653" s="10">
        <v>-1</v>
      </c>
      <c r="U653" s="1">
        <v>2404</v>
      </c>
      <c r="W653" s="1">
        <v>1756796</v>
      </c>
    </row>
    <row r="654" spans="1:23" x14ac:dyDescent="0.25">
      <c r="A654" s="76">
        <v>3</v>
      </c>
      <c r="B654" s="76" t="s">
        <v>1283</v>
      </c>
      <c r="C654" s="76">
        <v>2001</v>
      </c>
      <c r="D654" s="76" t="str">
        <f t="shared" si="51"/>
        <v>A01N</v>
      </c>
      <c r="E654" s="76" t="s">
        <v>65</v>
      </c>
      <c r="F654" s="77" t="s">
        <v>613</v>
      </c>
      <c r="G654" s="78">
        <v>0.86500616724997526</v>
      </c>
      <c r="H654" s="79">
        <v>37295</v>
      </c>
      <c r="I654" s="79">
        <v>42201</v>
      </c>
      <c r="J654" s="3">
        <f t="shared" si="52"/>
        <v>13</v>
      </c>
      <c r="K654" s="10">
        <v>1.8255578093305802E-2</v>
      </c>
      <c r="L654" s="10">
        <v>1.2890094979647326E-2</v>
      </c>
      <c r="M654" s="10">
        <v>2.3558082859463925E-2</v>
      </c>
      <c r="N654" s="10">
        <v>3.1636863823933936E-2</v>
      </c>
      <c r="O654" s="10">
        <v>1.3039117352055429E-2</v>
      </c>
      <c r="P654" s="10">
        <v>4.0160642570279403E-3</v>
      </c>
      <c r="Q654" s="10">
        <v>-7.2864321608037796E-2</v>
      </c>
      <c r="R654" s="10">
        <v>-0.37437185929648298</v>
      </c>
      <c r="S654" s="10">
        <v>-0.98994974874371922</v>
      </c>
      <c r="T654" s="10">
        <v>-1</v>
      </c>
      <c r="U654" s="1">
        <v>2281</v>
      </c>
      <c r="W654" s="1">
        <v>2195747</v>
      </c>
    </row>
    <row r="655" spans="1:23" x14ac:dyDescent="0.25">
      <c r="A655" s="76">
        <v>3</v>
      </c>
      <c r="B655" s="76" t="s">
        <v>54</v>
      </c>
      <c r="C655" s="76">
        <v>2001</v>
      </c>
      <c r="D655" s="76" t="str">
        <f t="shared" si="51"/>
        <v>A01N</v>
      </c>
      <c r="E655" s="76" t="s">
        <v>107</v>
      </c>
      <c r="F655" s="77" t="s">
        <v>728</v>
      </c>
      <c r="G655" s="78">
        <v>0.78879692186404549</v>
      </c>
      <c r="H655" s="79">
        <v>37602</v>
      </c>
      <c r="I655" s="79">
        <v>37603</v>
      </c>
      <c r="J655" s="3" t="str">
        <f t="shared" si="52"/>
        <v/>
      </c>
      <c r="K655" s="10">
        <v>-5.9701492537315159E-3</v>
      </c>
      <c r="L655" s="10">
        <v>1.2512512512514729E-3</v>
      </c>
      <c r="M655" s="10">
        <v>2.2545090180359217E-3</v>
      </c>
      <c r="N655" s="10">
        <v>-6.262525050100165E-3</v>
      </c>
      <c r="O655" s="10">
        <v>-4.9999999999996714E-3</v>
      </c>
      <c r="P655" s="10">
        <v>5.0796812749005271E-2</v>
      </c>
      <c r="Q655" s="10">
        <v>-0.63000000000000111</v>
      </c>
      <c r="R655" s="10">
        <v>-0.86999999999999889</v>
      </c>
      <c r="S655" s="10">
        <v>-1</v>
      </c>
      <c r="T655" s="10">
        <v>-1</v>
      </c>
      <c r="U655" s="1" t="s">
        <v>1116</v>
      </c>
      <c r="W655" s="1">
        <v>2458942</v>
      </c>
    </row>
    <row r="656" spans="1:23" x14ac:dyDescent="0.25">
      <c r="A656" s="76">
        <v>3</v>
      </c>
      <c r="B656" s="76" t="s">
        <v>54</v>
      </c>
      <c r="C656" s="76">
        <v>2001</v>
      </c>
      <c r="D656" s="76" t="str">
        <f t="shared" si="51"/>
        <v>A01N</v>
      </c>
      <c r="E656" s="76" t="s">
        <v>107</v>
      </c>
      <c r="F656" s="77" t="s">
        <v>729</v>
      </c>
      <c r="G656" s="78">
        <v>0.82871502640932571</v>
      </c>
      <c r="H656" s="79">
        <v>37209</v>
      </c>
      <c r="I656" s="79">
        <v>42200</v>
      </c>
      <c r="J656" s="3">
        <f t="shared" si="52"/>
        <v>14</v>
      </c>
      <c r="K656" s="10">
        <v>-1.7412935323380951E-3</v>
      </c>
      <c r="L656" s="10">
        <v>1.176176176176158E-2</v>
      </c>
      <c r="M656" s="10">
        <v>5.7615230460921207E-3</v>
      </c>
      <c r="N656" s="10">
        <v>1.2024048096192397E-2</v>
      </c>
      <c r="O656" s="10">
        <v>1.0000000000002229E-2</v>
      </c>
      <c r="P656" s="10">
        <v>-1.3944223107571929E-2</v>
      </c>
      <c r="Q656" s="10">
        <v>-0.22499999999999998</v>
      </c>
      <c r="R656" s="10">
        <v>-0.6</v>
      </c>
      <c r="S656" s="10">
        <v>-1</v>
      </c>
      <c r="T656" s="10">
        <v>-1</v>
      </c>
      <c r="U656" s="1">
        <v>1761</v>
      </c>
      <c r="W656" s="1">
        <v>1760688</v>
      </c>
    </row>
    <row r="657" spans="1:23" x14ac:dyDescent="0.25">
      <c r="A657" s="76">
        <v>3</v>
      </c>
      <c r="B657" s="76" t="s">
        <v>54</v>
      </c>
      <c r="C657" s="76">
        <v>2001</v>
      </c>
      <c r="D657" s="76" t="str">
        <f t="shared" si="51"/>
        <v>A01N</v>
      </c>
      <c r="E657" s="76" t="s">
        <v>107</v>
      </c>
      <c r="F657" s="77" t="s">
        <v>730</v>
      </c>
      <c r="G657" s="78">
        <v>0.80892774239263854</v>
      </c>
      <c r="H657" s="79">
        <v>37285</v>
      </c>
      <c r="I657" s="79">
        <v>42201</v>
      </c>
      <c r="J657" s="3">
        <f t="shared" si="52"/>
        <v>13</v>
      </c>
      <c r="K657" s="10">
        <v>-2.9850746268658135E-3</v>
      </c>
      <c r="L657" s="10">
        <v>7.7577577577578882E-3</v>
      </c>
      <c r="M657" s="10">
        <v>-5.2605210420837434E-3</v>
      </c>
      <c r="N657" s="10">
        <v>-2.0040080160320661E-3</v>
      </c>
      <c r="O657" s="10">
        <v>-2.4999999999977263E-3</v>
      </c>
      <c r="P657" s="10">
        <v>-3.8844621513946409E-2</v>
      </c>
      <c r="Q657" s="10">
        <v>-0.30000000000000004</v>
      </c>
      <c r="R657" s="10">
        <v>-0.63999999999999768</v>
      </c>
      <c r="S657" s="10">
        <v>-1</v>
      </c>
      <c r="T657" s="10">
        <v>-1</v>
      </c>
      <c r="U657" s="1">
        <v>2304</v>
      </c>
      <c r="W657" s="1">
        <v>1181424</v>
      </c>
    </row>
    <row r="658" spans="1:23" x14ac:dyDescent="0.25">
      <c r="A658" s="76">
        <v>3</v>
      </c>
      <c r="B658" s="76" t="s">
        <v>54</v>
      </c>
      <c r="C658" s="76">
        <v>2001</v>
      </c>
      <c r="D658" s="76" t="str">
        <f t="shared" si="51"/>
        <v>A01N</v>
      </c>
      <c r="E658" s="76" t="s">
        <v>107</v>
      </c>
      <c r="F658" s="77" t="s">
        <v>731</v>
      </c>
      <c r="G658" s="78">
        <v>0.82300899341578826</v>
      </c>
      <c r="H658" s="79">
        <v>37355</v>
      </c>
      <c r="I658" s="79">
        <v>42202</v>
      </c>
      <c r="J658" s="3">
        <f t="shared" si="52"/>
        <v>13</v>
      </c>
      <c r="K658" s="10">
        <v>3.4825870646768564E-3</v>
      </c>
      <c r="L658" s="10">
        <v>2.3273273273272777E-2</v>
      </c>
      <c r="M658" s="10">
        <v>1.2024048096192397E-2</v>
      </c>
      <c r="N658" s="10">
        <v>1.9288577154308539E-2</v>
      </c>
      <c r="O658" s="10">
        <v>-2.2500000000002296E-2</v>
      </c>
      <c r="P658" s="10">
        <v>-1.8924302788842273E-2</v>
      </c>
      <c r="Q658" s="10">
        <v>-0.27500000000000002</v>
      </c>
      <c r="R658" s="10">
        <v>-0.52999999999999547</v>
      </c>
      <c r="S658" s="10">
        <v>-1</v>
      </c>
      <c r="T658" s="10">
        <v>-1</v>
      </c>
      <c r="U658" s="1">
        <v>2769</v>
      </c>
      <c r="W658" s="1">
        <v>1752571</v>
      </c>
    </row>
    <row r="659" spans="1:23" x14ac:dyDescent="0.25">
      <c r="A659" s="76">
        <v>3</v>
      </c>
      <c r="B659" s="76" t="s">
        <v>54</v>
      </c>
      <c r="C659" s="76">
        <v>2001</v>
      </c>
      <c r="D659" s="76" t="str">
        <f t="shared" si="51"/>
        <v>A01N</v>
      </c>
      <c r="E659" s="76" t="s">
        <v>107</v>
      </c>
      <c r="F659" s="77" t="s">
        <v>732</v>
      </c>
      <c r="G659" s="78">
        <v>0.73988716606434357</v>
      </c>
      <c r="H659" s="79">
        <v>37236</v>
      </c>
      <c r="I659" s="79">
        <v>42200</v>
      </c>
      <c r="J659" s="3">
        <f t="shared" si="52"/>
        <v>14</v>
      </c>
      <c r="K659" s="10">
        <v>-5.472636815920251E-3</v>
      </c>
      <c r="L659" s="10">
        <v>-3.0030030030033794E-3</v>
      </c>
      <c r="M659" s="10">
        <v>1.1022044088176752E-2</v>
      </c>
      <c r="N659" s="10">
        <v>6.5130260521040206E-3</v>
      </c>
      <c r="O659" s="10">
        <v>0</v>
      </c>
      <c r="P659" s="10">
        <v>-3.8844621513943522E-2</v>
      </c>
      <c r="Q659" s="10">
        <v>-0.93499999999999939</v>
      </c>
      <c r="R659" s="10">
        <v>-1</v>
      </c>
      <c r="S659" s="10">
        <v>-1</v>
      </c>
      <c r="T659" s="10">
        <v>-1</v>
      </c>
      <c r="U659" s="1">
        <v>2598</v>
      </c>
      <c r="W659" s="1">
        <v>3658856</v>
      </c>
    </row>
    <row r="660" spans="1:23" x14ac:dyDescent="0.25">
      <c r="A660" s="76">
        <v>3</v>
      </c>
      <c r="B660" s="76" t="s">
        <v>54</v>
      </c>
      <c r="C660" s="76">
        <v>2001</v>
      </c>
      <c r="D660" s="76" t="str">
        <f t="shared" si="51"/>
        <v>A01N</v>
      </c>
      <c r="E660" s="76" t="s">
        <v>107</v>
      </c>
      <c r="F660" s="77" t="s">
        <v>733</v>
      </c>
      <c r="G660" s="78">
        <v>0.77366849515282665</v>
      </c>
      <c r="H660" s="79">
        <v>37251</v>
      </c>
      <c r="I660" s="79">
        <v>42201</v>
      </c>
      <c r="J660" s="3">
        <f t="shared" si="52"/>
        <v>14</v>
      </c>
      <c r="K660" s="10">
        <v>6.7164179104479693E-3</v>
      </c>
      <c r="L660" s="10">
        <v>2.0270270270269952E-2</v>
      </c>
      <c r="M660" s="10">
        <v>1.8286573146292673E-2</v>
      </c>
      <c r="N660" s="10">
        <v>1.0521042084167931E-2</v>
      </c>
      <c r="O660" s="10">
        <v>2.5000000000090505E-3</v>
      </c>
      <c r="P660" s="10">
        <v>5.0796812749003717E-2</v>
      </c>
      <c r="Q660" s="10">
        <v>-0.82499999999999996</v>
      </c>
      <c r="R660" s="10">
        <v>-0.97499999999999998</v>
      </c>
      <c r="S660" s="10">
        <v>-1</v>
      </c>
      <c r="T660" s="10">
        <v>-1</v>
      </c>
      <c r="U660" s="1">
        <v>2309</v>
      </c>
      <c r="W660" s="1">
        <v>3660753</v>
      </c>
    </row>
    <row r="661" spans="1:23" x14ac:dyDescent="0.25">
      <c r="A661" s="76">
        <v>3</v>
      </c>
      <c r="B661" s="76" t="s">
        <v>54</v>
      </c>
      <c r="C661" s="76">
        <v>2001</v>
      </c>
      <c r="D661" s="76" t="str">
        <f t="shared" si="51"/>
        <v>A01N</v>
      </c>
      <c r="E661" s="76" t="s">
        <v>107</v>
      </c>
      <c r="F661" s="77" t="s">
        <v>734</v>
      </c>
      <c r="G661" s="78">
        <v>0.87171014892393783</v>
      </c>
      <c r="H661" s="79">
        <v>37244</v>
      </c>
      <c r="I661" s="79">
        <v>42201</v>
      </c>
      <c r="J661" s="3">
        <f t="shared" si="52"/>
        <v>14</v>
      </c>
      <c r="K661" s="10">
        <v>-5.9701492537309608E-3</v>
      </c>
      <c r="L661" s="10">
        <v>-1.0510510510510884E-2</v>
      </c>
      <c r="M661" s="10">
        <v>-8.2665330661323422E-3</v>
      </c>
      <c r="N661" s="10">
        <v>-8.0160320641280425E-3</v>
      </c>
      <c r="O661" s="10">
        <v>0</v>
      </c>
      <c r="P661" s="10">
        <v>-1.3944223107571929E-2</v>
      </c>
      <c r="Q661" s="10">
        <v>-1.4999999999997682E-2</v>
      </c>
      <c r="R661" s="10">
        <v>-8.9999999999997748E-2</v>
      </c>
      <c r="S661" s="10">
        <v>-1</v>
      </c>
      <c r="T661" s="10">
        <v>-1</v>
      </c>
      <c r="U661" s="1">
        <v>1655</v>
      </c>
      <c r="W661" s="1">
        <v>3660761</v>
      </c>
    </row>
    <row r="662" spans="1:23" x14ac:dyDescent="0.25">
      <c r="A662" s="76">
        <v>3</v>
      </c>
      <c r="B662" s="76" t="s">
        <v>54</v>
      </c>
      <c r="C662" s="76">
        <v>2001</v>
      </c>
      <c r="D662" s="76" t="str">
        <f t="shared" si="51"/>
        <v>A01N</v>
      </c>
      <c r="E662" s="76" t="s">
        <v>107</v>
      </c>
      <c r="F662" s="77" t="s">
        <v>735</v>
      </c>
      <c r="G662" s="78">
        <v>0.79005153355179392</v>
      </c>
      <c r="H662" s="79">
        <v>36990</v>
      </c>
      <c r="I662" s="79">
        <v>42200</v>
      </c>
      <c r="J662" s="3">
        <f t="shared" si="52"/>
        <v>14</v>
      </c>
      <c r="K662" s="10">
        <v>1.4179104477612059E-2</v>
      </c>
      <c r="L662" s="10">
        <v>1.3513513513513375E-2</v>
      </c>
      <c r="M662" s="10">
        <v>2.4298597194388982E-2</v>
      </c>
      <c r="N662" s="10">
        <v>1.7535070140280773E-2</v>
      </c>
      <c r="O662" s="10">
        <v>2.4999999999999911E-2</v>
      </c>
      <c r="P662" s="10">
        <v>-8.9641434263015851E-3</v>
      </c>
      <c r="Q662" s="10">
        <v>-0.56999999999999318</v>
      </c>
      <c r="R662" s="10">
        <v>-0.9</v>
      </c>
      <c r="S662" s="10">
        <v>-1</v>
      </c>
      <c r="T662" s="10">
        <v>-1</v>
      </c>
      <c r="U662" s="1">
        <v>3354</v>
      </c>
      <c r="W662" s="1">
        <v>2199581</v>
      </c>
    </row>
    <row r="663" spans="1:23" x14ac:dyDescent="0.25">
      <c r="A663" s="76">
        <v>3</v>
      </c>
      <c r="B663" s="76" t="s">
        <v>54</v>
      </c>
      <c r="C663" s="76">
        <v>2001</v>
      </c>
      <c r="D663" s="76" t="str">
        <f t="shared" si="51"/>
        <v>A01N</v>
      </c>
      <c r="E663" s="76" t="s">
        <v>107</v>
      </c>
      <c r="F663" s="77" t="s">
        <v>736</v>
      </c>
      <c r="G663" s="78">
        <v>0.8610360522761058</v>
      </c>
      <c r="H663" s="79">
        <v>37292</v>
      </c>
      <c r="I663" s="79">
        <v>42200</v>
      </c>
      <c r="J663" s="3">
        <f t="shared" si="52"/>
        <v>13</v>
      </c>
      <c r="K663" s="10">
        <v>5.472636815920584E-3</v>
      </c>
      <c r="L663" s="10">
        <v>4.2542542542542972E-3</v>
      </c>
      <c r="M663" s="10">
        <v>7.5150300601201092E-3</v>
      </c>
      <c r="N663" s="10">
        <v>1.0521042084168597E-2</v>
      </c>
      <c r="O663" s="10">
        <v>1.2499999999999956E-2</v>
      </c>
      <c r="P663" s="10">
        <v>-3.9840637450198058E-3</v>
      </c>
      <c r="Q663" s="10">
        <v>-8.0000000000006843E-2</v>
      </c>
      <c r="R663" s="10">
        <v>-0.32999999999999541</v>
      </c>
      <c r="S663" s="10">
        <v>-0.98999999999999777</v>
      </c>
      <c r="T663" s="10">
        <v>-1</v>
      </c>
      <c r="U663" s="1">
        <v>3198</v>
      </c>
      <c r="W663" s="1">
        <v>2193418</v>
      </c>
    </row>
    <row r="664" spans="1:23" x14ac:dyDescent="0.25">
      <c r="A664" s="76">
        <v>3</v>
      </c>
      <c r="B664" s="76" t="s">
        <v>54</v>
      </c>
      <c r="C664" s="76">
        <v>2001</v>
      </c>
      <c r="D664" s="76" t="str">
        <f t="shared" si="51"/>
        <v>A01N</v>
      </c>
      <c r="E664" s="76" t="s">
        <v>107</v>
      </c>
      <c r="F664" s="77" t="s">
        <v>737</v>
      </c>
      <c r="G664" s="78">
        <v>0.79076063555999654</v>
      </c>
      <c r="H664" s="79">
        <v>36991</v>
      </c>
      <c r="I664" s="79">
        <v>42199</v>
      </c>
      <c r="J664" s="3">
        <f t="shared" si="52"/>
        <v>14</v>
      </c>
      <c r="K664" s="10">
        <v>4.2288557213931988E-3</v>
      </c>
      <c r="L664" s="10">
        <v>6.256256256256032E-3</v>
      </c>
      <c r="M664" s="10">
        <v>7.5150300601212194E-4</v>
      </c>
      <c r="N664" s="10">
        <v>6.262525050100054E-3</v>
      </c>
      <c r="O664" s="10">
        <v>2.5000000000034994E-3</v>
      </c>
      <c r="P664" s="10">
        <v>-3.8844621513946409E-2</v>
      </c>
      <c r="Q664" s="10">
        <v>-0.50499999999999545</v>
      </c>
      <c r="R664" s="10">
        <v>-0.72499999999999998</v>
      </c>
      <c r="S664" s="10">
        <v>-1</v>
      </c>
      <c r="T664" s="10">
        <v>-1</v>
      </c>
      <c r="U664" s="1">
        <v>3633</v>
      </c>
      <c r="W664" s="1">
        <v>1752677</v>
      </c>
    </row>
    <row r="665" spans="1:23" x14ac:dyDescent="0.25">
      <c r="A665" s="76">
        <v>3</v>
      </c>
      <c r="B665" s="76" t="s">
        <v>54</v>
      </c>
      <c r="C665" s="76">
        <v>2001</v>
      </c>
      <c r="D665" s="76" t="str">
        <f t="shared" si="51"/>
        <v>A01N</v>
      </c>
      <c r="E665" s="76" t="s">
        <v>107</v>
      </c>
      <c r="F665" s="77" t="s">
        <v>738</v>
      </c>
      <c r="G665" s="78">
        <v>0.79944815733905472</v>
      </c>
      <c r="H665" s="79">
        <v>37047</v>
      </c>
      <c r="I665" s="79">
        <v>42201</v>
      </c>
      <c r="J665" s="3">
        <f t="shared" si="52"/>
        <v>14</v>
      </c>
      <c r="K665" s="10">
        <v>1.9000000000000128E-2</v>
      </c>
      <c r="L665" s="10">
        <v>1.8518518518518157E-2</v>
      </c>
      <c r="M665" s="10">
        <v>2.2545090180360772E-2</v>
      </c>
      <c r="N665" s="10">
        <v>2.1543086172344683E-2</v>
      </c>
      <c r="O665" s="10">
        <v>7.4999999999999956E-2</v>
      </c>
      <c r="P665" s="10">
        <v>-8.8645418326692593E-2</v>
      </c>
      <c r="Q665" s="10">
        <v>-0.27000000000000024</v>
      </c>
      <c r="R665" s="10">
        <v>-1</v>
      </c>
      <c r="S665" s="10">
        <v>-1</v>
      </c>
      <c r="T665" s="10">
        <v>-1</v>
      </c>
      <c r="U665" s="1">
        <v>2083</v>
      </c>
      <c r="W665" s="1">
        <v>2197588</v>
      </c>
    </row>
    <row r="666" spans="1:23" x14ac:dyDescent="0.25">
      <c r="A666" s="76">
        <v>3</v>
      </c>
      <c r="B666" s="76" t="s">
        <v>54</v>
      </c>
      <c r="C666" s="76">
        <v>2001</v>
      </c>
      <c r="D666" s="76" t="str">
        <f t="shared" si="51"/>
        <v>A01N</v>
      </c>
      <c r="E666" s="76" t="s">
        <v>107</v>
      </c>
      <c r="F666" s="77" t="s">
        <v>739</v>
      </c>
      <c r="G666" s="78">
        <v>0.8243738217527794</v>
      </c>
      <c r="H666" s="79">
        <v>37209</v>
      </c>
      <c r="I666" s="79">
        <v>42200</v>
      </c>
      <c r="J666" s="3">
        <f t="shared" si="52"/>
        <v>14</v>
      </c>
      <c r="K666" s="10">
        <v>1.7000000000000348E-2</v>
      </c>
      <c r="L666" s="10">
        <v>1.2762762762762891E-2</v>
      </c>
      <c r="M666" s="10">
        <v>1.1272545090180275E-2</v>
      </c>
      <c r="N666" s="10">
        <v>4.5090180360720655E-3</v>
      </c>
      <c r="O666" s="10">
        <v>7.5000000000045031E-3</v>
      </c>
      <c r="P666" s="10">
        <v>-3.9840637450198058E-3</v>
      </c>
      <c r="Q666" s="10">
        <v>-0.18000000000000682</v>
      </c>
      <c r="R666" s="10">
        <v>-0.73500000000000232</v>
      </c>
      <c r="S666" s="10">
        <v>-1</v>
      </c>
      <c r="T666" s="10">
        <v>-1</v>
      </c>
      <c r="U666" s="1">
        <v>3121</v>
      </c>
      <c r="W666" s="1">
        <v>1755161</v>
      </c>
    </row>
    <row r="667" spans="1:23" x14ac:dyDescent="0.25">
      <c r="A667" s="76">
        <v>3</v>
      </c>
      <c r="B667" s="76" t="s">
        <v>54</v>
      </c>
      <c r="C667" s="76">
        <v>2001</v>
      </c>
      <c r="D667" s="76" t="str">
        <f t="shared" si="51"/>
        <v>A01N</v>
      </c>
      <c r="E667" s="76" t="s">
        <v>107</v>
      </c>
      <c r="F667" s="77" t="s">
        <v>740</v>
      </c>
      <c r="G667" s="78">
        <v>0.77831599295562037</v>
      </c>
      <c r="H667" s="79">
        <v>37260</v>
      </c>
      <c r="I667" s="79">
        <v>42201</v>
      </c>
      <c r="J667" s="3">
        <f t="shared" si="52"/>
        <v>13</v>
      </c>
      <c r="K667" s="10">
        <v>-0.33875</v>
      </c>
      <c r="L667" s="10">
        <v>-3.5285285285285073E-2</v>
      </c>
      <c r="M667" s="10">
        <v>2.3547094188376638E-2</v>
      </c>
      <c r="N667" s="10">
        <v>3.0811623246493003E-2</v>
      </c>
      <c r="O667" s="10">
        <v>2.2499999999996634E-2</v>
      </c>
      <c r="P667" s="10">
        <v>-2.8884462151394286E-2</v>
      </c>
      <c r="Q667" s="10">
        <v>-0.46499999999999775</v>
      </c>
      <c r="R667" s="10">
        <v>-1</v>
      </c>
      <c r="S667" s="10">
        <v>-1</v>
      </c>
      <c r="T667" s="10">
        <v>-1</v>
      </c>
      <c r="U667" s="1">
        <v>2780</v>
      </c>
      <c r="W667" s="1">
        <v>1181378</v>
      </c>
    </row>
    <row r="668" spans="1:23" x14ac:dyDescent="0.25">
      <c r="A668" s="76">
        <v>3</v>
      </c>
      <c r="B668" s="76" t="s">
        <v>54</v>
      </c>
      <c r="C668" s="76">
        <v>2001</v>
      </c>
      <c r="D668" s="76" t="str">
        <f t="shared" si="51"/>
        <v>A01N</v>
      </c>
      <c r="E668" s="76" t="s">
        <v>107</v>
      </c>
      <c r="F668" s="77" t="s">
        <v>741</v>
      </c>
      <c r="G668" s="78">
        <v>0.80748902873046391</v>
      </c>
      <c r="H668" s="79">
        <v>37741</v>
      </c>
      <c r="I668" s="79">
        <v>42286</v>
      </c>
      <c r="J668" s="3">
        <f t="shared" si="52"/>
        <v>12</v>
      </c>
      <c r="K668" s="10">
        <v>2.4499999999999966E-2</v>
      </c>
      <c r="L668" s="10">
        <v>2.9029029029029152E-2</v>
      </c>
      <c r="M668" s="10">
        <v>2.6553106212424682E-2</v>
      </c>
      <c r="N668" s="10">
        <v>3.2064128256513058E-2</v>
      </c>
      <c r="O668" s="10">
        <v>-7.5000000000045031E-3</v>
      </c>
      <c r="P668" s="10">
        <v>0.12549800796813448</v>
      </c>
      <c r="Q668" s="10">
        <v>-0.6</v>
      </c>
      <c r="R668" s="10">
        <v>-1</v>
      </c>
      <c r="S668" s="10">
        <v>-1</v>
      </c>
      <c r="T668" s="10">
        <v>-1</v>
      </c>
      <c r="U668" s="1">
        <v>4587</v>
      </c>
      <c r="W668" s="1">
        <v>406643</v>
      </c>
    </row>
    <row r="669" spans="1:23" x14ac:dyDescent="0.25">
      <c r="A669" s="76">
        <v>3</v>
      </c>
      <c r="B669" s="76" t="s">
        <v>54</v>
      </c>
      <c r="C669" s="76">
        <v>2001</v>
      </c>
      <c r="D669" s="76" t="str">
        <f t="shared" si="51"/>
        <v>A01N</v>
      </c>
      <c r="E669" s="76" t="s">
        <v>107</v>
      </c>
      <c r="F669" s="77" t="s">
        <v>742</v>
      </c>
      <c r="G669" s="78">
        <v>0.81332181072737442</v>
      </c>
      <c r="H669" s="79">
        <v>37119</v>
      </c>
      <c r="I669" s="79">
        <v>42201</v>
      </c>
      <c r="J669" s="3">
        <f t="shared" si="52"/>
        <v>14</v>
      </c>
      <c r="K669" s="10">
        <v>7.2500000000002007E-3</v>
      </c>
      <c r="L669" s="10">
        <v>1.0260260260259724E-2</v>
      </c>
      <c r="M669" s="10">
        <v>1.3777555110220385E-2</v>
      </c>
      <c r="N669" s="10">
        <v>1.4779559118236474E-2</v>
      </c>
      <c r="O669" s="10">
        <v>-2.7500000000003411E-2</v>
      </c>
      <c r="P669" s="10">
        <v>-3.9840637450198058E-3</v>
      </c>
      <c r="Q669" s="10">
        <v>-0.18999999999999773</v>
      </c>
      <c r="R669" s="10">
        <v>-0.77999999999999547</v>
      </c>
      <c r="S669" s="10">
        <v>-1</v>
      </c>
      <c r="T669" s="10">
        <v>-1</v>
      </c>
      <c r="U669" s="1">
        <v>1857</v>
      </c>
      <c r="W669" s="1">
        <v>1181637</v>
      </c>
    </row>
    <row r="670" spans="1:23" x14ac:dyDescent="0.25">
      <c r="A670" s="76">
        <v>3</v>
      </c>
      <c r="B670" s="76" t="s">
        <v>54</v>
      </c>
      <c r="C670" s="76">
        <v>2001</v>
      </c>
      <c r="D670" s="76" t="str">
        <f t="shared" si="51"/>
        <v>A01N</v>
      </c>
      <c r="E670" s="76" t="s">
        <v>107</v>
      </c>
      <c r="F670" s="77" t="s">
        <v>743</v>
      </c>
      <c r="G670" s="78">
        <v>0.86075188458924223</v>
      </c>
      <c r="H670" s="79">
        <v>37284</v>
      </c>
      <c r="I670" s="79">
        <v>42201</v>
      </c>
      <c r="J670" s="3">
        <f t="shared" si="52"/>
        <v>13</v>
      </c>
      <c r="K670" s="10">
        <v>1.350000000000029E-2</v>
      </c>
      <c r="L670" s="10">
        <v>1.026026026026039E-2</v>
      </c>
      <c r="M670" s="10">
        <v>2.2545090180360772E-2</v>
      </c>
      <c r="N670" s="10">
        <v>3.2565130260520547E-2</v>
      </c>
      <c r="O670" s="10">
        <v>8.4999999999996634E-2</v>
      </c>
      <c r="P670" s="10">
        <v>1.593625498008433E-2</v>
      </c>
      <c r="Q670" s="10">
        <v>-0.125</v>
      </c>
      <c r="R670" s="10">
        <v>-0.65999999999999992</v>
      </c>
      <c r="S670" s="10">
        <v>-1</v>
      </c>
      <c r="T670" s="10">
        <v>-1</v>
      </c>
      <c r="U670" s="1">
        <v>1597</v>
      </c>
      <c r="W670" s="1">
        <v>1181203</v>
      </c>
    </row>
    <row r="671" spans="1:23" x14ac:dyDescent="0.25">
      <c r="A671" s="76">
        <v>3</v>
      </c>
      <c r="B671" s="76" t="s">
        <v>54</v>
      </c>
      <c r="C671" s="76">
        <v>2001</v>
      </c>
      <c r="D671" s="76" t="str">
        <f t="shared" si="51"/>
        <v>A01N</v>
      </c>
      <c r="E671" s="76" t="s">
        <v>107</v>
      </c>
      <c r="F671" s="77" t="s">
        <v>744</v>
      </c>
      <c r="G671" s="78">
        <v>0.80341965496695011</v>
      </c>
      <c r="H671" s="79">
        <v>37284</v>
      </c>
      <c r="I671" s="79">
        <v>42201</v>
      </c>
      <c r="J671" s="3">
        <f t="shared" si="52"/>
        <v>13</v>
      </c>
      <c r="K671" s="10">
        <v>1.3499999999999845E-2</v>
      </c>
      <c r="L671" s="10">
        <v>1.7767767767767451E-2</v>
      </c>
      <c r="M671" s="10">
        <v>1.1523046092184908E-2</v>
      </c>
      <c r="N671" s="10">
        <v>1.9288577154308983E-2</v>
      </c>
      <c r="O671" s="10">
        <v>-2.2500000000000187E-2</v>
      </c>
      <c r="P671" s="10">
        <v>9.9601593625608942E-4</v>
      </c>
      <c r="Q671" s="10">
        <v>-0.16500000000000059</v>
      </c>
      <c r="R671" s="10">
        <v>-1</v>
      </c>
      <c r="S671" s="10">
        <v>-1</v>
      </c>
      <c r="T671" s="10">
        <v>-1</v>
      </c>
      <c r="U671" s="1">
        <v>2821</v>
      </c>
      <c r="W671" s="1">
        <v>1181076</v>
      </c>
    </row>
    <row r="672" spans="1:23" x14ac:dyDescent="0.25">
      <c r="A672" s="76">
        <v>3</v>
      </c>
      <c r="B672" s="76" t="s">
        <v>54</v>
      </c>
      <c r="C672" s="76">
        <v>2001</v>
      </c>
      <c r="D672" s="76" t="str">
        <f t="shared" si="51"/>
        <v>A01N</v>
      </c>
      <c r="E672" s="76" t="s">
        <v>107</v>
      </c>
      <c r="F672" s="77" t="s">
        <v>745</v>
      </c>
      <c r="G672" s="78">
        <v>0.77686675424190743</v>
      </c>
      <c r="H672" s="79">
        <v>37015</v>
      </c>
      <c r="I672" s="79">
        <v>42201</v>
      </c>
      <c r="J672" s="3">
        <f t="shared" si="52"/>
        <v>14</v>
      </c>
      <c r="K672" s="10">
        <v>1.2000000000000011E-2</v>
      </c>
      <c r="L672" s="10">
        <v>1.2262262262262125E-2</v>
      </c>
      <c r="M672" s="10">
        <v>7.5150300601203313E-3</v>
      </c>
      <c r="N672" s="10">
        <v>1.2525050100200552E-2</v>
      </c>
      <c r="O672" s="10">
        <v>7.5000000000002842E-3</v>
      </c>
      <c r="P672" s="10">
        <v>-2.8884462151394286E-2</v>
      </c>
      <c r="Q672" s="10">
        <v>-0.50999999999999945</v>
      </c>
      <c r="R672" s="10">
        <v>-1</v>
      </c>
      <c r="S672" s="10">
        <v>-1</v>
      </c>
      <c r="T672" s="10">
        <v>-1</v>
      </c>
      <c r="U672" s="1">
        <v>2348</v>
      </c>
      <c r="W672" s="1">
        <v>1182986</v>
      </c>
    </row>
    <row r="673" spans="1:23" x14ac:dyDescent="0.25">
      <c r="A673" s="76">
        <v>3</v>
      </c>
      <c r="B673" s="76" t="s">
        <v>54</v>
      </c>
      <c r="C673" s="76">
        <v>2001</v>
      </c>
      <c r="D673" s="76" t="str">
        <f t="shared" si="51"/>
        <v>A01N</v>
      </c>
      <c r="E673" s="76" t="s">
        <v>107</v>
      </c>
      <c r="F673" s="77" t="s">
        <v>746</v>
      </c>
      <c r="G673" s="78">
        <v>0.84179446602901387</v>
      </c>
      <c r="H673" s="79">
        <v>37020</v>
      </c>
      <c r="I673" s="79">
        <v>42201</v>
      </c>
      <c r="J673" s="3">
        <f t="shared" si="52"/>
        <v>14</v>
      </c>
      <c r="K673" s="10">
        <v>6.0000000000000053E-3</v>
      </c>
      <c r="L673" s="10">
        <v>1.0260260260259946E-2</v>
      </c>
      <c r="M673" s="10">
        <v>1.4028056112224352E-2</v>
      </c>
      <c r="N673" s="10">
        <v>7.5150300601209974E-3</v>
      </c>
      <c r="O673" s="10">
        <v>1.7499999999999627E-2</v>
      </c>
      <c r="P673" s="10">
        <v>9.9601593625475715E-4</v>
      </c>
      <c r="Q673" s="10">
        <v>-5.0000000000000044E-2</v>
      </c>
      <c r="R673" s="10">
        <v>-0.67500000000000004</v>
      </c>
      <c r="S673" s="10">
        <v>-1</v>
      </c>
      <c r="T673" s="10">
        <v>-1</v>
      </c>
      <c r="U673" s="1">
        <v>3031</v>
      </c>
      <c r="W673" s="1">
        <v>1181122</v>
      </c>
    </row>
    <row r="674" spans="1:23" x14ac:dyDescent="0.25">
      <c r="A674" s="76">
        <v>3</v>
      </c>
      <c r="B674" s="76" t="s">
        <v>54</v>
      </c>
      <c r="C674" s="76">
        <v>2001</v>
      </c>
      <c r="D674" s="76" t="str">
        <f t="shared" si="51"/>
        <v>A01N</v>
      </c>
      <c r="E674" s="76" t="s">
        <v>107</v>
      </c>
      <c r="F674" s="77" t="s">
        <v>747</v>
      </c>
      <c r="G674" s="78">
        <v>0.37144890243104445</v>
      </c>
      <c r="H674" s="79">
        <v>37263</v>
      </c>
      <c r="I674" s="79">
        <v>42201</v>
      </c>
      <c r="J674" s="3">
        <f t="shared" si="52"/>
        <v>13</v>
      </c>
      <c r="K674" s="10">
        <v>-0.91399999999999981</v>
      </c>
      <c r="L674" s="10">
        <v>-0.57282282282282293</v>
      </c>
      <c r="M674" s="10">
        <v>-0.52154308617234468</v>
      </c>
      <c r="N674" s="10">
        <v>-0.48572144288577168</v>
      </c>
      <c r="O674" s="10">
        <v>-0.47499999999999998</v>
      </c>
      <c r="P674" s="10">
        <v>-0.47709163346613537</v>
      </c>
      <c r="Q674" s="10">
        <v>-1</v>
      </c>
      <c r="R674" s="10">
        <v>-1</v>
      </c>
      <c r="S674" s="10">
        <v>-1</v>
      </c>
      <c r="T674" s="10">
        <v>-1</v>
      </c>
      <c r="U674" s="1">
        <v>2463</v>
      </c>
      <c r="W674" s="1">
        <v>1182455</v>
      </c>
    </row>
    <row r="675" spans="1:23" x14ac:dyDescent="0.25">
      <c r="A675" s="76">
        <v>3</v>
      </c>
      <c r="B675" s="76" t="s">
        <v>54</v>
      </c>
      <c r="C675" s="76">
        <v>2001</v>
      </c>
      <c r="D675" s="76" t="str">
        <f>LEFT(F675,4)</f>
        <v>A01N</v>
      </c>
      <c r="E675" s="76" t="s">
        <v>107</v>
      </c>
      <c r="F675" s="77" t="s">
        <v>572</v>
      </c>
      <c r="G675" s="78">
        <v>0.85570473343471387</v>
      </c>
      <c r="H675" s="79">
        <v>37890</v>
      </c>
      <c r="I675" s="79">
        <v>42200</v>
      </c>
      <c r="J675" s="3">
        <f t="shared" si="52"/>
        <v>12</v>
      </c>
      <c r="K675" s="7">
        <v>2.7981345769487298E-2</v>
      </c>
      <c r="L675" s="7">
        <v>2.4939983995731607E-2</v>
      </c>
      <c r="M675" s="7">
        <v>1.7775995723069205E-2</v>
      </c>
      <c r="N675" s="7">
        <v>1.0567148207597077E-2</v>
      </c>
      <c r="O675" s="7">
        <v>1.5000000000003455E-2</v>
      </c>
      <c r="P675" s="7">
        <v>1.2499999999999956E-2</v>
      </c>
      <c r="Q675" s="7">
        <v>-9.2500000000001137E-2</v>
      </c>
      <c r="R675" s="7">
        <v>-0.94000000000000339</v>
      </c>
      <c r="S675" s="7">
        <v>-1</v>
      </c>
      <c r="T675" s="7">
        <v>-1</v>
      </c>
      <c r="U675" s="1">
        <v>3637</v>
      </c>
      <c r="W675" s="1">
        <v>2200058</v>
      </c>
    </row>
    <row r="676" spans="1:23" x14ac:dyDescent="0.25">
      <c r="A676" s="76">
        <v>3</v>
      </c>
      <c r="B676" s="76" t="s">
        <v>54</v>
      </c>
      <c r="C676" s="76">
        <v>2001</v>
      </c>
      <c r="D676" s="76" t="str">
        <f t="shared" ref="D676:D685" si="53">LEFT(F676,4)</f>
        <v>A01N</v>
      </c>
      <c r="E676" s="76" t="s">
        <v>107</v>
      </c>
      <c r="F676" s="77" t="s">
        <v>794</v>
      </c>
      <c r="G676" s="78">
        <v>0.87127894813988371</v>
      </c>
      <c r="H676" s="79">
        <v>37291</v>
      </c>
      <c r="I676" s="79">
        <v>42203</v>
      </c>
      <c r="J676" s="3">
        <f t="shared" si="52"/>
        <v>13</v>
      </c>
      <c r="K676" s="7">
        <v>4.179104477611939E-2</v>
      </c>
      <c r="L676" s="7">
        <v>4.0378863409770815E-2</v>
      </c>
      <c r="M676" s="7">
        <v>4.9299299299299326E-2</v>
      </c>
      <c r="N676" s="7">
        <v>5.1102204408817409E-2</v>
      </c>
      <c r="O676" s="7">
        <v>3.7500000000000089E-2</v>
      </c>
      <c r="P676" s="7">
        <v>1.4999999999997682E-2</v>
      </c>
      <c r="Q676" s="7">
        <v>-0.3449999999999932</v>
      </c>
      <c r="R676" s="7">
        <v>-0.47499999999999998</v>
      </c>
      <c r="S676" s="7">
        <v>-1</v>
      </c>
      <c r="T676" s="7">
        <v>-1</v>
      </c>
      <c r="U676" s="1">
        <v>2484</v>
      </c>
      <c r="W676" s="1">
        <v>825239</v>
      </c>
    </row>
    <row r="677" spans="1:23" x14ac:dyDescent="0.25">
      <c r="A677" s="76">
        <v>3</v>
      </c>
      <c r="B677" s="76" t="s">
        <v>54</v>
      </c>
      <c r="C677" s="76">
        <v>2001</v>
      </c>
      <c r="D677" s="76" t="str">
        <f t="shared" si="53"/>
        <v>A01N</v>
      </c>
      <c r="E677" s="76" t="s">
        <v>107</v>
      </c>
      <c r="F677" s="77" t="s">
        <v>795</v>
      </c>
      <c r="G677" s="78">
        <v>0.84696886894210277</v>
      </c>
      <c r="H677" s="79">
        <v>37291</v>
      </c>
      <c r="I677" s="79">
        <v>42203</v>
      </c>
      <c r="J677" s="3">
        <f t="shared" si="52"/>
        <v>13</v>
      </c>
      <c r="K677" s="10">
        <v>2.8358208955224118E-2</v>
      </c>
      <c r="L677" s="10">
        <v>2.2681954137587113E-2</v>
      </c>
      <c r="M677" s="10">
        <v>1.2262262262262125E-2</v>
      </c>
      <c r="N677" s="10">
        <v>1.6032064128256529E-2</v>
      </c>
      <c r="O677" s="10">
        <v>2.4999999999999911E-2</v>
      </c>
      <c r="P677" s="10">
        <v>0.12000000000000455</v>
      </c>
      <c r="Q677" s="10">
        <v>-0.41500000000000337</v>
      </c>
      <c r="R677" s="10">
        <v>-0.9</v>
      </c>
      <c r="S677" s="10">
        <v>-1</v>
      </c>
      <c r="T677" s="10">
        <v>-1</v>
      </c>
      <c r="U677" s="1">
        <v>1366</v>
      </c>
      <c r="W677" s="1">
        <v>825182</v>
      </c>
    </row>
    <row r="678" spans="1:23" x14ac:dyDescent="0.25">
      <c r="A678" s="76">
        <v>3</v>
      </c>
      <c r="B678" s="76" t="s">
        <v>54</v>
      </c>
      <c r="C678" s="76">
        <v>2001</v>
      </c>
      <c r="D678" s="76" t="str">
        <f t="shared" si="53"/>
        <v>A01N</v>
      </c>
      <c r="E678" s="76" t="s">
        <v>107</v>
      </c>
      <c r="F678" s="77" t="s">
        <v>796</v>
      </c>
      <c r="G678" s="78">
        <v>0.92601611833375008</v>
      </c>
      <c r="H678" s="79">
        <v>37151</v>
      </c>
      <c r="I678" s="79">
        <v>42203</v>
      </c>
      <c r="J678" s="3">
        <f t="shared" si="52"/>
        <v>14</v>
      </c>
      <c r="K678" s="10">
        <v>-5.472636815920362E-3</v>
      </c>
      <c r="L678" s="10">
        <v>-3.7387836490526682E-3</v>
      </c>
      <c r="M678" s="10">
        <v>4.0040040040041358E-3</v>
      </c>
      <c r="N678" s="10">
        <v>-4.5090180360718435E-3</v>
      </c>
      <c r="O678" s="10">
        <v>5.4999999999995497E-2</v>
      </c>
      <c r="P678" s="10">
        <v>-4.9999999999996714E-3</v>
      </c>
      <c r="Q678" s="10">
        <v>-0.125</v>
      </c>
      <c r="R678" s="10">
        <v>-7.4999999999999956E-2</v>
      </c>
      <c r="S678" s="10">
        <v>-0.8</v>
      </c>
      <c r="T678" s="10">
        <v>-1</v>
      </c>
      <c r="U678" s="1">
        <v>2410</v>
      </c>
      <c r="W678" s="1">
        <v>3121101</v>
      </c>
    </row>
    <row r="679" spans="1:23" x14ac:dyDescent="0.25">
      <c r="A679" s="76">
        <v>3</v>
      </c>
      <c r="B679" s="76" t="s">
        <v>54</v>
      </c>
      <c r="C679" s="76">
        <v>2001</v>
      </c>
      <c r="D679" s="76" t="str">
        <f t="shared" si="53"/>
        <v>A01N</v>
      </c>
      <c r="E679" s="76" t="s">
        <v>107</v>
      </c>
      <c r="F679" s="77" t="s">
        <v>797</v>
      </c>
      <c r="G679" s="78">
        <v>0.88804723848609401</v>
      </c>
      <c r="H679" s="79">
        <v>36999</v>
      </c>
      <c r="I679" s="79">
        <v>42200</v>
      </c>
      <c r="J679" s="3">
        <f t="shared" si="52"/>
        <v>14</v>
      </c>
      <c r="K679" s="10">
        <v>8.2089552238799879E-3</v>
      </c>
      <c r="L679" s="10">
        <v>1.1964107676969205E-2</v>
      </c>
      <c r="M679" s="10">
        <v>2.0020020020019569E-3</v>
      </c>
      <c r="N679" s="10">
        <v>-2.5050100200398884E-3</v>
      </c>
      <c r="O679" s="10">
        <v>1.2499999999999956E-2</v>
      </c>
      <c r="P679" s="10">
        <v>-5.0000000000067768E-3</v>
      </c>
      <c r="Q679" s="10">
        <v>-3.9999999999997704E-2</v>
      </c>
      <c r="R679" s="10">
        <v>-0.5549999999999955</v>
      </c>
      <c r="S679" s="10">
        <v>-0.88999999999999768</v>
      </c>
      <c r="T679" s="10">
        <v>-1</v>
      </c>
      <c r="U679" s="1">
        <v>2449</v>
      </c>
      <c r="W679" s="1">
        <v>2195593</v>
      </c>
    </row>
    <row r="680" spans="1:23" x14ac:dyDescent="0.25">
      <c r="A680" s="76">
        <v>3</v>
      </c>
      <c r="B680" s="76" t="s">
        <v>54</v>
      </c>
      <c r="C680" s="76">
        <v>2001</v>
      </c>
      <c r="D680" s="76" t="str">
        <f t="shared" si="53"/>
        <v>A01N</v>
      </c>
      <c r="E680" s="76" t="s">
        <v>107</v>
      </c>
      <c r="F680" s="77" t="s">
        <v>798</v>
      </c>
      <c r="G680" s="78">
        <v>0.89807980960345157</v>
      </c>
      <c r="H680" s="79">
        <v>37295</v>
      </c>
      <c r="I680" s="79">
        <v>42200</v>
      </c>
      <c r="J680" s="3">
        <f t="shared" si="52"/>
        <v>13</v>
      </c>
      <c r="K680" s="10">
        <v>1.2437810945273853E-2</v>
      </c>
      <c r="L680" s="10">
        <v>3.4895314057825644E-3</v>
      </c>
      <c r="M680" s="10">
        <v>1.976976976976963E-2</v>
      </c>
      <c r="N680" s="10">
        <v>1.2274549098196585E-2</v>
      </c>
      <c r="O680" s="10">
        <v>1.9999999999998908E-2</v>
      </c>
      <c r="P680" s="10">
        <v>1.5000000000000568E-2</v>
      </c>
      <c r="Q680" s="10">
        <v>-9.9999999999994538E-3</v>
      </c>
      <c r="R680" s="10">
        <v>-0.49499999999999889</v>
      </c>
      <c r="S680" s="10">
        <v>-1</v>
      </c>
      <c r="T680" s="10">
        <v>-1</v>
      </c>
      <c r="U680" s="1">
        <v>3601</v>
      </c>
      <c r="W680" s="1">
        <v>2195798</v>
      </c>
    </row>
    <row r="681" spans="1:23" x14ac:dyDescent="0.25">
      <c r="A681" s="76">
        <v>3</v>
      </c>
      <c r="B681" s="76" t="s">
        <v>54</v>
      </c>
      <c r="C681" s="76">
        <v>2001</v>
      </c>
      <c r="D681" s="76" t="str">
        <f t="shared" si="53"/>
        <v>A01N</v>
      </c>
      <c r="E681" s="76" t="s">
        <v>107</v>
      </c>
      <c r="F681" s="77" t="s">
        <v>799</v>
      </c>
      <c r="G681" s="78">
        <v>0.85444418917313558</v>
      </c>
      <c r="H681" s="79">
        <v>42151</v>
      </c>
      <c r="I681" s="79">
        <v>42151</v>
      </c>
      <c r="J681" s="3" t="str">
        <f t="shared" si="52"/>
        <v/>
      </c>
      <c r="K681" s="10">
        <v>-6.4676616915426699E-3</v>
      </c>
      <c r="L681" s="10">
        <v>-7.4775672981056696E-3</v>
      </c>
      <c r="M681" s="10">
        <v>-9.2592592592594114E-3</v>
      </c>
      <c r="N681" s="10">
        <v>-1.4278557114228096E-2</v>
      </c>
      <c r="O681" s="10">
        <v>2.4999999999977263E-3</v>
      </c>
      <c r="P681" s="10">
        <v>-1.0000000000002229E-2</v>
      </c>
      <c r="Q681" s="10">
        <v>-0.18500000000000227</v>
      </c>
      <c r="R681" s="10">
        <v>-0.58499999999999086</v>
      </c>
      <c r="S681" s="10">
        <v>-1</v>
      </c>
      <c r="T681" s="10">
        <v>-1</v>
      </c>
      <c r="U681" s="1">
        <v>1369</v>
      </c>
      <c r="W681" s="1">
        <v>1109014</v>
      </c>
    </row>
    <row r="682" spans="1:23" x14ac:dyDescent="0.25">
      <c r="A682" s="76">
        <v>3</v>
      </c>
      <c r="B682" s="76" t="s">
        <v>54</v>
      </c>
      <c r="C682" s="76">
        <v>2001</v>
      </c>
      <c r="D682" s="76" t="str">
        <f t="shared" si="53"/>
        <v>A01N</v>
      </c>
      <c r="E682" s="76" t="s">
        <v>107</v>
      </c>
      <c r="F682" s="77" t="s">
        <v>800</v>
      </c>
      <c r="G682" s="78">
        <v>0.83476248574573475</v>
      </c>
      <c r="H682" s="79">
        <v>37152</v>
      </c>
      <c r="I682" s="79">
        <v>41604</v>
      </c>
      <c r="J682" s="3">
        <f t="shared" si="52"/>
        <v>12</v>
      </c>
      <c r="K682" s="10">
        <v>2.9850746268658135E-3</v>
      </c>
      <c r="L682" s="10">
        <v>-2.4925224327023709E-3</v>
      </c>
      <c r="M682" s="10">
        <v>-4.0040040040040248E-3</v>
      </c>
      <c r="N682" s="10">
        <v>-1.4529058116232507E-2</v>
      </c>
      <c r="O682" s="10">
        <v>-5.5000000000001159E-2</v>
      </c>
      <c r="P682" s="10">
        <v>-3.4999999999996589E-2</v>
      </c>
      <c r="Q682" s="10">
        <v>-0.19999999999999996</v>
      </c>
      <c r="R682" s="10">
        <v>-0.58000000000000118</v>
      </c>
      <c r="S682" s="10">
        <v>-1</v>
      </c>
      <c r="T682" s="10">
        <v>-1</v>
      </c>
      <c r="U682" s="1">
        <v>1955</v>
      </c>
      <c r="W682" s="1">
        <v>483771</v>
      </c>
    </row>
    <row r="683" spans="1:23" x14ac:dyDescent="0.25">
      <c r="A683" s="76">
        <v>3</v>
      </c>
      <c r="B683" s="76" t="s">
        <v>54</v>
      </c>
      <c r="C683" s="76">
        <v>2001</v>
      </c>
      <c r="D683" s="76" t="str">
        <f t="shared" si="53"/>
        <v>A01N</v>
      </c>
      <c r="E683" s="76" t="s">
        <v>107</v>
      </c>
      <c r="F683" s="77" t="s">
        <v>801</v>
      </c>
      <c r="G683" s="78">
        <v>0.92323253251095971</v>
      </c>
      <c r="H683" s="79">
        <v>42185</v>
      </c>
      <c r="I683" s="79">
        <v>42185</v>
      </c>
      <c r="J683" s="3" t="str">
        <f t="shared" si="52"/>
        <v/>
      </c>
      <c r="K683" s="10">
        <v>1.2437810945273631E-2</v>
      </c>
      <c r="L683" s="10">
        <v>1.5952143569292199E-2</v>
      </c>
      <c r="M683" s="10">
        <v>1.8018018018017834E-2</v>
      </c>
      <c r="N683" s="10">
        <v>1.4529058116232507E-2</v>
      </c>
      <c r="O683" s="10">
        <v>2.7500000000003411E-2</v>
      </c>
      <c r="P683" s="10">
        <v>0.11499999999999777</v>
      </c>
      <c r="Q683" s="10">
        <v>-0.18500000000000227</v>
      </c>
      <c r="R683" s="10">
        <v>-0.22000000000000453</v>
      </c>
      <c r="S683" s="10">
        <v>-1</v>
      </c>
      <c r="T683" s="10">
        <v>-1</v>
      </c>
      <c r="U683" s="1">
        <v>2232</v>
      </c>
      <c r="W683" s="1">
        <v>819204</v>
      </c>
    </row>
    <row r="684" spans="1:23" x14ac:dyDescent="0.25">
      <c r="A684" s="76">
        <v>3</v>
      </c>
      <c r="B684" s="76" t="s">
        <v>54</v>
      </c>
      <c r="C684" s="76">
        <v>2001</v>
      </c>
      <c r="D684" s="76" t="str">
        <f t="shared" si="53"/>
        <v>A01N</v>
      </c>
      <c r="E684" s="76" t="s">
        <v>107</v>
      </c>
      <c r="F684" s="77" t="s">
        <v>802</v>
      </c>
      <c r="G684" s="78">
        <v>0.81212185071291398</v>
      </c>
      <c r="H684" s="79">
        <v>37350</v>
      </c>
      <c r="I684" s="79">
        <v>42200</v>
      </c>
      <c r="J684" s="3">
        <f t="shared" si="52"/>
        <v>13</v>
      </c>
      <c r="K684" s="10">
        <v>8.208955223880432E-3</v>
      </c>
      <c r="L684" s="10">
        <v>1.2711864406779627E-2</v>
      </c>
      <c r="M684" s="10">
        <v>2.5525525525525339E-2</v>
      </c>
      <c r="N684" s="10">
        <v>1.4779559118236474E-2</v>
      </c>
      <c r="O684" s="10">
        <v>1.2499999999999956E-2</v>
      </c>
      <c r="P684" s="10">
        <v>-4.0000000000003366E-2</v>
      </c>
      <c r="Q684" s="10">
        <v>-0.55000000000000004</v>
      </c>
      <c r="R684" s="10">
        <v>-0.57499999999999996</v>
      </c>
      <c r="S684" s="10">
        <v>-1</v>
      </c>
      <c r="T684" s="10">
        <v>-1</v>
      </c>
      <c r="U684" s="1">
        <v>2070</v>
      </c>
      <c r="W684" s="1">
        <v>2195781</v>
      </c>
    </row>
    <row r="685" spans="1:23" x14ac:dyDescent="0.25">
      <c r="A685" s="76">
        <v>3</v>
      </c>
      <c r="B685" s="76" t="s">
        <v>54</v>
      </c>
      <c r="C685" s="76">
        <v>2001</v>
      </c>
      <c r="D685" s="76" t="str">
        <f t="shared" si="53"/>
        <v>A01N</v>
      </c>
      <c r="E685" s="76" t="s">
        <v>107</v>
      </c>
      <c r="F685" s="77" t="s">
        <v>803</v>
      </c>
      <c r="G685" s="78">
        <v>0.91348282930807201</v>
      </c>
      <c r="H685" s="79">
        <v>37168</v>
      </c>
      <c r="I685" s="79">
        <v>37168</v>
      </c>
      <c r="J685" s="3" t="str">
        <f t="shared" si="52"/>
        <v/>
      </c>
      <c r="K685" s="10">
        <v>1.2437810945273853E-2</v>
      </c>
      <c r="L685" s="10">
        <v>5.9820538384842692E-3</v>
      </c>
      <c r="M685" s="10">
        <v>4.0040040040034697E-3</v>
      </c>
      <c r="N685" s="10">
        <v>1.4278557114228541E-2</v>
      </c>
      <c r="O685" s="10">
        <v>-3.4999999999999476E-2</v>
      </c>
      <c r="P685" s="10">
        <v>9.9999999999966782E-3</v>
      </c>
      <c r="Q685" s="10">
        <v>-1.9999999999998908E-2</v>
      </c>
      <c r="R685" s="10">
        <v>-6.4999999999997726E-2</v>
      </c>
      <c r="S685" s="10">
        <v>-1</v>
      </c>
      <c r="T685" s="10">
        <v>-1</v>
      </c>
      <c r="U685" s="1" t="s">
        <v>1116</v>
      </c>
      <c r="W685" s="1">
        <v>1272756</v>
      </c>
    </row>
    <row r="686" spans="1:23" x14ac:dyDescent="0.25">
      <c r="A686" s="76">
        <v>3</v>
      </c>
      <c r="B686" s="76" t="s">
        <v>54</v>
      </c>
      <c r="C686" s="76">
        <v>2001</v>
      </c>
      <c r="D686" s="76" t="str">
        <f t="shared" ref="D686:D695" si="54">LEFT(F686,4)</f>
        <v>A01N</v>
      </c>
      <c r="E686" s="76" t="s">
        <v>107</v>
      </c>
      <c r="F686" s="77" t="s">
        <v>812</v>
      </c>
      <c r="G686" s="78">
        <v>0.90307154854599125</v>
      </c>
      <c r="H686" s="79">
        <v>37005</v>
      </c>
      <c r="I686" s="79">
        <v>42202</v>
      </c>
      <c r="J686" s="3">
        <f t="shared" si="52"/>
        <v>14</v>
      </c>
      <c r="K686" s="10">
        <v>1.0750000000000481E-2</v>
      </c>
      <c r="L686" s="10">
        <v>4.254254254253409E-3</v>
      </c>
      <c r="M686" s="10">
        <v>9.5190380761525084E-3</v>
      </c>
      <c r="N686" s="10">
        <v>5.2605210420841875E-3</v>
      </c>
      <c r="O686" s="10">
        <v>2.4999999999999911E-2</v>
      </c>
      <c r="P686" s="10">
        <v>-8.5487077534786793E-2</v>
      </c>
      <c r="Q686" s="10">
        <v>5.2894211576841821E-2</v>
      </c>
      <c r="R686" s="10">
        <v>-0.20159680638722555</v>
      </c>
      <c r="S686" s="10">
        <v>-1</v>
      </c>
      <c r="T686" s="10">
        <v>-1</v>
      </c>
      <c r="U686" s="1">
        <v>1081</v>
      </c>
      <c r="W686" s="1">
        <v>2237822</v>
      </c>
    </row>
    <row r="687" spans="1:23" x14ac:dyDescent="0.25">
      <c r="A687" s="76">
        <v>3</v>
      </c>
      <c r="B687" s="76" t="s">
        <v>54</v>
      </c>
      <c r="C687" s="76">
        <v>2001</v>
      </c>
      <c r="D687" s="76" t="str">
        <f t="shared" si="54"/>
        <v>A01N</v>
      </c>
      <c r="E687" s="76" t="s">
        <v>107</v>
      </c>
      <c r="F687" s="77" t="s">
        <v>813</v>
      </c>
      <c r="G687" s="78">
        <v>0.86717544491811016</v>
      </c>
      <c r="H687" s="79">
        <v>37047</v>
      </c>
      <c r="I687" s="79">
        <v>42202</v>
      </c>
      <c r="J687" s="3">
        <f t="shared" si="52"/>
        <v>14</v>
      </c>
      <c r="K687" s="10">
        <v>1.5500000000000069E-2</v>
      </c>
      <c r="L687" s="10">
        <v>3.3783783783783994E-2</v>
      </c>
      <c r="M687" s="10">
        <v>2.5551102204408815E-2</v>
      </c>
      <c r="N687" s="10">
        <v>1.6282565130260718E-2</v>
      </c>
      <c r="O687" s="10">
        <v>-1.9999999999998908E-2</v>
      </c>
      <c r="P687" s="10">
        <v>3.9761431411495796E-3</v>
      </c>
      <c r="Q687" s="10">
        <v>-3.6926147704587353E-2</v>
      </c>
      <c r="R687" s="10">
        <v>-0.75049900199600794</v>
      </c>
      <c r="S687" s="10">
        <v>-1</v>
      </c>
      <c r="T687" s="10">
        <v>-1</v>
      </c>
      <c r="U687" s="1">
        <v>2434</v>
      </c>
      <c r="W687" s="1">
        <v>2237318</v>
      </c>
    </row>
    <row r="688" spans="1:23" x14ac:dyDescent="0.25">
      <c r="A688" s="76">
        <v>3</v>
      </c>
      <c r="B688" s="76" t="s">
        <v>54</v>
      </c>
      <c r="C688" s="76">
        <v>2001</v>
      </c>
      <c r="D688" s="76" t="str">
        <f t="shared" si="54"/>
        <v>A01N</v>
      </c>
      <c r="E688" s="76" t="s">
        <v>107</v>
      </c>
      <c r="F688" s="77" t="s">
        <v>814</v>
      </c>
      <c r="G688" s="78">
        <v>0.42407008062775109</v>
      </c>
      <c r="H688" s="79">
        <v>37671</v>
      </c>
      <c r="I688" s="79">
        <v>42201</v>
      </c>
      <c r="J688" s="3">
        <f t="shared" si="52"/>
        <v>12</v>
      </c>
      <c r="K688" s="10">
        <v>-5.9749999999999637E-2</v>
      </c>
      <c r="L688" s="10">
        <v>-8.8088088088088434E-2</v>
      </c>
      <c r="M688" s="10">
        <v>-0.22520040080160297</v>
      </c>
      <c r="N688" s="10">
        <v>-0.40130260521042094</v>
      </c>
      <c r="O688" s="10">
        <v>-0.48249999999999882</v>
      </c>
      <c r="P688" s="10">
        <v>-0.58250497017892755</v>
      </c>
      <c r="Q688" s="10">
        <v>-0.99500998003991903</v>
      </c>
      <c r="R688" s="10">
        <v>-1</v>
      </c>
      <c r="S688" s="10">
        <v>-1</v>
      </c>
      <c r="T688" s="10">
        <v>-1</v>
      </c>
      <c r="U688" s="1">
        <v>3986</v>
      </c>
      <c r="W688" s="1">
        <v>1746502</v>
      </c>
    </row>
    <row r="689" spans="1:23" x14ac:dyDescent="0.25">
      <c r="A689" s="76">
        <v>3</v>
      </c>
      <c r="B689" s="76" t="s">
        <v>54</v>
      </c>
      <c r="C689" s="76">
        <v>2001</v>
      </c>
      <c r="D689" s="76" t="str">
        <f t="shared" si="54"/>
        <v>A01N</v>
      </c>
      <c r="E689" s="76" t="s">
        <v>107</v>
      </c>
      <c r="F689" s="77" t="s">
        <v>815</v>
      </c>
      <c r="G689" s="78">
        <v>0.82974166468517918</v>
      </c>
      <c r="H689" s="79">
        <v>37112</v>
      </c>
      <c r="I689" s="79">
        <v>42202</v>
      </c>
      <c r="J689" s="3">
        <f t="shared" si="52"/>
        <v>14</v>
      </c>
      <c r="K689" s="10">
        <v>1.6499999999999737E-2</v>
      </c>
      <c r="L689" s="10">
        <v>1.2012012012012185E-2</v>
      </c>
      <c r="M689" s="10">
        <v>8.2665330661317871E-3</v>
      </c>
      <c r="N689" s="10">
        <v>1.002004008016022E-2</v>
      </c>
      <c r="O689" s="10">
        <v>7.5000000000016165E-3</v>
      </c>
      <c r="P689" s="10">
        <v>-1.5904572564614639E-2</v>
      </c>
      <c r="Q689" s="10">
        <v>-0.18163672654690732</v>
      </c>
      <c r="R689" s="10">
        <v>-1</v>
      </c>
      <c r="S689" s="10">
        <v>-1</v>
      </c>
      <c r="T689" s="10">
        <v>-1</v>
      </c>
      <c r="U689" s="1">
        <v>3174</v>
      </c>
      <c r="W689" s="1">
        <v>2238161</v>
      </c>
    </row>
    <row r="690" spans="1:23" x14ac:dyDescent="0.25">
      <c r="A690" s="76">
        <v>3</v>
      </c>
      <c r="B690" s="76" t="s">
        <v>54</v>
      </c>
      <c r="C690" s="76">
        <v>2001</v>
      </c>
      <c r="D690" s="76" t="str">
        <f t="shared" si="54"/>
        <v>A01N</v>
      </c>
      <c r="E690" s="76" t="s">
        <v>107</v>
      </c>
      <c r="F690" s="77" t="s">
        <v>816</v>
      </c>
      <c r="G690" s="78">
        <v>0.8851809005914536</v>
      </c>
      <c r="H690" s="79">
        <v>37075</v>
      </c>
      <c r="I690" s="79">
        <v>42201</v>
      </c>
      <c r="J690" s="3">
        <f t="shared" si="52"/>
        <v>14</v>
      </c>
      <c r="K690" s="10">
        <v>8.2499999999998685E-3</v>
      </c>
      <c r="L690" s="10">
        <v>1.5265265265265393E-2</v>
      </c>
      <c r="M690" s="10">
        <v>1.4529058116232507E-2</v>
      </c>
      <c r="N690" s="10">
        <v>-4.4408920985006262E-16</v>
      </c>
      <c r="O690" s="10">
        <v>1.2499999999999956E-2</v>
      </c>
      <c r="P690" s="10">
        <v>-1.0934393638170725E-2</v>
      </c>
      <c r="Q690" s="10">
        <v>-0.12175648702594832</v>
      </c>
      <c r="R690" s="10">
        <v>-0.36626746506985941</v>
      </c>
      <c r="S690" s="10">
        <v>-1</v>
      </c>
      <c r="T690" s="10">
        <v>-1</v>
      </c>
      <c r="U690" s="1">
        <v>2769</v>
      </c>
      <c r="W690" s="1">
        <v>1182587</v>
      </c>
    </row>
    <row r="691" spans="1:23" x14ac:dyDescent="0.25">
      <c r="A691" s="76">
        <v>3</v>
      </c>
      <c r="B691" s="76" t="s">
        <v>54</v>
      </c>
      <c r="C691" s="76">
        <v>2001</v>
      </c>
      <c r="D691" s="76" t="str">
        <f t="shared" si="54"/>
        <v>A01N</v>
      </c>
      <c r="E691" s="76" t="s">
        <v>107</v>
      </c>
      <c r="F691" s="77" t="s">
        <v>817</v>
      </c>
      <c r="G691" s="78">
        <v>0.81883358350988522</v>
      </c>
      <c r="H691" s="79">
        <v>37351</v>
      </c>
      <c r="I691" s="79">
        <v>42202</v>
      </c>
      <c r="J691" s="3">
        <f t="shared" si="52"/>
        <v>13</v>
      </c>
      <c r="K691" s="10">
        <v>-5.25000000000031E-3</v>
      </c>
      <c r="L691" s="10">
        <v>-1.2512512512513618E-3</v>
      </c>
      <c r="M691" s="10">
        <v>1.3026052104208707E-2</v>
      </c>
      <c r="N691" s="10">
        <v>-1.5030060120242439E-3</v>
      </c>
      <c r="O691" s="10">
        <v>5.0000000000012257E-3</v>
      </c>
      <c r="P691" s="10">
        <v>-2.5844930417499579E-2</v>
      </c>
      <c r="Q691" s="10">
        <v>-0.22654690618762474</v>
      </c>
      <c r="R691" s="10">
        <v>-1</v>
      </c>
      <c r="S691" s="10">
        <v>-1</v>
      </c>
      <c r="T691" s="10">
        <v>-1</v>
      </c>
      <c r="U691" s="1">
        <v>3312</v>
      </c>
      <c r="W691" s="1">
        <v>2237351</v>
      </c>
    </row>
    <row r="692" spans="1:23" x14ac:dyDescent="0.25">
      <c r="A692" s="76">
        <v>3</v>
      </c>
      <c r="B692" s="76" t="s">
        <v>54</v>
      </c>
      <c r="C692" s="76">
        <v>2001</v>
      </c>
      <c r="D692" s="76" t="str">
        <f t="shared" si="54"/>
        <v>A01N</v>
      </c>
      <c r="E692" s="76" t="s">
        <v>107</v>
      </c>
      <c r="F692" s="77" t="s">
        <v>818</v>
      </c>
      <c r="G692" s="78">
        <v>0.8567204075872028</v>
      </c>
      <c r="H692" s="79">
        <v>37019</v>
      </c>
      <c r="I692" s="79">
        <v>42200</v>
      </c>
      <c r="J692" s="3">
        <f t="shared" si="52"/>
        <v>14</v>
      </c>
      <c r="K692" s="10">
        <v>1.7249999999999766E-2</v>
      </c>
      <c r="L692" s="10">
        <v>8.0080080080078275E-3</v>
      </c>
      <c r="M692" s="10">
        <v>1.4779559118236474E-2</v>
      </c>
      <c r="N692" s="10">
        <v>8.2665330661324532E-3</v>
      </c>
      <c r="O692" s="10">
        <v>2.4999999999999911E-2</v>
      </c>
      <c r="P692" s="10">
        <v>-9.9403578529289049E-4</v>
      </c>
      <c r="Q692" s="10">
        <v>-0.18163672654690166</v>
      </c>
      <c r="R692" s="10">
        <v>-0.73552894211577069</v>
      </c>
      <c r="S692" s="10">
        <v>-1</v>
      </c>
      <c r="T692" s="10">
        <v>-1</v>
      </c>
      <c r="U692" s="1">
        <v>3261</v>
      </c>
      <c r="W692" s="1">
        <v>1755692</v>
      </c>
    </row>
    <row r="693" spans="1:23" x14ac:dyDescent="0.25">
      <c r="A693" s="76">
        <v>3</v>
      </c>
      <c r="B693" s="76" t="s">
        <v>54</v>
      </c>
      <c r="C693" s="76">
        <v>2001</v>
      </c>
      <c r="D693" s="76" t="str">
        <f t="shared" si="54"/>
        <v>A01N</v>
      </c>
      <c r="E693" s="76" t="s">
        <v>107</v>
      </c>
      <c r="F693" s="77" t="s">
        <v>819</v>
      </c>
      <c r="G693" s="78">
        <v>0.91998007551794503</v>
      </c>
      <c r="H693" s="79">
        <v>37292</v>
      </c>
      <c r="I693" s="79">
        <v>42203</v>
      </c>
      <c r="J693" s="3">
        <f t="shared" si="52"/>
        <v>13</v>
      </c>
      <c r="K693" s="10">
        <v>1.5000000000000568E-3</v>
      </c>
      <c r="L693" s="10">
        <v>-2.752752752752774E-3</v>
      </c>
      <c r="M693" s="10">
        <v>-1.1022044088176419E-2</v>
      </c>
      <c r="N693" s="10">
        <v>-1.5030060120242439E-3</v>
      </c>
      <c r="O693" s="10">
        <v>1.0000000000002229E-2</v>
      </c>
      <c r="P693" s="10">
        <v>3.9761431411553527E-3</v>
      </c>
      <c r="Q693" s="10">
        <v>-1.1976047904193821E-2</v>
      </c>
      <c r="R693" s="10">
        <v>-9.1816367265466714E-2</v>
      </c>
      <c r="S693" s="10">
        <v>-0.97000000000000453</v>
      </c>
      <c r="T693" s="10">
        <v>-1</v>
      </c>
      <c r="U693" s="1">
        <v>1285</v>
      </c>
      <c r="W693" s="1">
        <v>3133427</v>
      </c>
    </row>
    <row r="694" spans="1:23" x14ac:dyDescent="0.25">
      <c r="A694" s="76">
        <v>3</v>
      </c>
      <c r="B694" s="76" t="s">
        <v>54</v>
      </c>
      <c r="C694" s="76">
        <v>2001</v>
      </c>
      <c r="D694" s="76" t="str">
        <f t="shared" si="54"/>
        <v>A01N</v>
      </c>
      <c r="E694" s="76" t="s">
        <v>107</v>
      </c>
      <c r="F694" s="77" t="s">
        <v>820</v>
      </c>
      <c r="G694" s="78">
        <v>0.78471753383195253</v>
      </c>
      <c r="H694" s="79">
        <v>37291</v>
      </c>
      <c r="I694" s="79">
        <v>42203</v>
      </c>
      <c r="J694" s="3">
        <f t="shared" si="52"/>
        <v>13</v>
      </c>
      <c r="K694" s="10">
        <v>1.9500000000000517E-2</v>
      </c>
      <c r="L694" s="10">
        <v>1.9769769769769185E-2</v>
      </c>
      <c r="M694" s="10">
        <v>2.029058116232485E-2</v>
      </c>
      <c r="N694" s="10">
        <v>1.4278557114228096E-2</v>
      </c>
      <c r="O694" s="10">
        <v>2.5000000000034994E-3</v>
      </c>
      <c r="P694" s="10">
        <v>-0.1351888667992116</v>
      </c>
      <c r="Q694" s="10">
        <v>-0.32135728542913489</v>
      </c>
      <c r="R694" s="10">
        <v>-1</v>
      </c>
      <c r="S694" s="10">
        <v>-1</v>
      </c>
      <c r="T694" s="10">
        <v>-1</v>
      </c>
      <c r="U694" s="1">
        <v>3033</v>
      </c>
      <c r="W694" s="1">
        <v>815888</v>
      </c>
    </row>
    <row r="695" spans="1:23" x14ac:dyDescent="0.25">
      <c r="A695" s="76">
        <v>3</v>
      </c>
      <c r="B695" s="76" t="s">
        <v>54</v>
      </c>
      <c r="C695" s="76">
        <v>2001</v>
      </c>
      <c r="D695" s="76" t="str">
        <f t="shared" si="54"/>
        <v>A01N</v>
      </c>
      <c r="E695" s="76" t="s">
        <v>107</v>
      </c>
      <c r="F695" s="77" t="s">
        <v>821</v>
      </c>
      <c r="G695" s="78">
        <v>0.77163792989151847</v>
      </c>
      <c r="H695" s="79">
        <v>36985</v>
      </c>
      <c r="I695" s="79">
        <v>42203</v>
      </c>
      <c r="J695" s="3">
        <f t="shared" si="52"/>
        <v>14</v>
      </c>
      <c r="K695" s="10">
        <v>2.7500000000000302E-3</v>
      </c>
      <c r="L695" s="10">
        <v>-9.7597597597599561E-3</v>
      </c>
      <c r="M695" s="10">
        <v>-2.0040080160318441E-3</v>
      </c>
      <c r="N695" s="10">
        <v>-7.7655310621244089E-3</v>
      </c>
      <c r="O695" s="10">
        <v>1.0000000000002229E-2</v>
      </c>
      <c r="P695" s="10">
        <v>-1.0934393638177831E-2</v>
      </c>
      <c r="Q695" s="10">
        <v>-0.63572854291416259</v>
      </c>
      <c r="R695" s="10">
        <v>-1</v>
      </c>
      <c r="S695" s="10">
        <v>-1</v>
      </c>
      <c r="T695" s="10">
        <v>-1</v>
      </c>
      <c r="U695" s="1">
        <v>2943</v>
      </c>
      <c r="W695" s="1">
        <v>818331</v>
      </c>
    </row>
    <row r="696" spans="1:23" x14ac:dyDescent="0.25">
      <c r="A696" s="76">
        <v>3</v>
      </c>
      <c r="B696" s="76" t="s">
        <v>54</v>
      </c>
      <c r="C696" s="76">
        <v>2001</v>
      </c>
      <c r="D696" s="76" t="str">
        <f t="shared" ref="D696:D715" si="55">LEFT(F696,4)</f>
        <v>A01N</v>
      </c>
      <c r="E696" s="76" t="s">
        <v>107</v>
      </c>
      <c r="F696" s="77" t="s">
        <v>822</v>
      </c>
      <c r="G696" s="78">
        <v>0.77689728520117518</v>
      </c>
      <c r="H696" s="79">
        <v>37075</v>
      </c>
      <c r="I696" s="79">
        <v>42203</v>
      </c>
      <c r="J696" s="3">
        <f t="shared" si="52"/>
        <v>14</v>
      </c>
      <c r="K696" s="10">
        <v>2.7114427860696733E-2</v>
      </c>
      <c r="L696" s="10">
        <v>3.7138584247258244E-2</v>
      </c>
      <c r="M696" s="10">
        <v>3.2314629258517025E-2</v>
      </c>
      <c r="N696" s="10">
        <v>2.5050100200400882E-2</v>
      </c>
      <c r="O696" s="10">
        <v>-3.2500000000004525E-2</v>
      </c>
      <c r="P696" s="10">
        <v>-8.9641434262902608E-3</v>
      </c>
      <c r="Q696" s="10">
        <v>-0.59081836327345083</v>
      </c>
      <c r="R696" s="10">
        <v>-1</v>
      </c>
      <c r="S696" s="10">
        <v>-1</v>
      </c>
      <c r="T696" s="10">
        <v>-1</v>
      </c>
      <c r="U696" s="1">
        <v>5567</v>
      </c>
      <c r="W696" s="1">
        <v>815845</v>
      </c>
    </row>
    <row r="697" spans="1:23" x14ac:dyDescent="0.25">
      <c r="A697" s="76">
        <v>3</v>
      </c>
      <c r="B697" s="76" t="s">
        <v>54</v>
      </c>
      <c r="C697" s="76">
        <v>2001</v>
      </c>
      <c r="D697" s="76" t="str">
        <f t="shared" si="55"/>
        <v>A01N</v>
      </c>
      <c r="E697" s="76" t="s">
        <v>107</v>
      </c>
      <c r="F697" s="77" t="s">
        <v>823</v>
      </c>
      <c r="G697" s="78">
        <v>0.86900249432961385</v>
      </c>
      <c r="H697" s="79">
        <v>37004</v>
      </c>
      <c r="I697" s="79">
        <v>42202</v>
      </c>
      <c r="J697" s="3">
        <f t="shared" si="52"/>
        <v>14</v>
      </c>
      <c r="K697" s="10">
        <v>2.9850746268655914E-3</v>
      </c>
      <c r="L697" s="10">
        <v>7.7268195413757734E-3</v>
      </c>
      <c r="M697" s="10">
        <v>6.262525050100276E-3</v>
      </c>
      <c r="N697" s="10">
        <v>-3.7575150300599436E-3</v>
      </c>
      <c r="O697" s="10">
        <v>7.4999999999989519E-3</v>
      </c>
      <c r="P697" s="10">
        <v>1.0956175298802551E-2</v>
      </c>
      <c r="Q697" s="10">
        <v>0.10279441117765153</v>
      </c>
      <c r="R697" s="10">
        <v>-1</v>
      </c>
      <c r="S697" s="10">
        <v>-1</v>
      </c>
      <c r="T697" s="10">
        <v>-1</v>
      </c>
      <c r="U697" s="1">
        <v>3246</v>
      </c>
      <c r="W697" s="1">
        <v>2238421</v>
      </c>
    </row>
    <row r="698" spans="1:23" x14ac:dyDescent="0.25">
      <c r="A698" s="76">
        <v>3</v>
      </c>
      <c r="B698" s="76" t="s">
        <v>54</v>
      </c>
      <c r="C698" s="76">
        <v>2001</v>
      </c>
      <c r="D698" s="76" t="str">
        <f t="shared" si="55"/>
        <v>A01N</v>
      </c>
      <c r="E698" s="76" t="s">
        <v>107</v>
      </c>
      <c r="F698" s="77" t="s">
        <v>824</v>
      </c>
      <c r="G698" s="78">
        <v>0.76189527316166272</v>
      </c>
      <c r="H698" s="79">
        <v>37167</v>
      </c>
      <c r="I698" s="79">
        <v>42203</v>
      </c>
      <c r="J698" s="3">
        <f t="shared" si="52"/>
        <v>14</v>
      </c>
      <c r="K698" s="10">
        <v>2.4875621890529942E-4</v>
      </c>
      <c r="L698" s="10">
        <v>5.4835493519445055E-3</v>
      </c>
      <c r="M698" s="10">
        <v>-4.7595190380762542E-3</v>
      </c>
      <c r="N698" s="10">
        <v>-2.7555110220441881E-3</v>
      </c>
      <c r="O698" s="10">
        <v>-5.2500000000000546E-2</v>
      </c>
      <c r="P698" s="10">
        <v>-2.3904382470118279E-2</v>
      </c>
      <c r="Q698" s="10">
        <v>-0.58083832335329455</v>
      </c>
      <c r="R698" s="10">
        <v>-1</v>
      </c>
      <c r="S698" s="10">
        <v>-1</v>
      </c>
      <c r="T698" s="10">
        <v>-1</v>
      </c>
      <c r="U698" s="1">
        <v>1342</v>
      </c>
      <c r="W698" s="1">
        <v>3303144</v>
      </c>
    </row>
    <row r="699" spans="1:23" x14ac:dyDescent="0.25">
      <c r="A699" s="76">
        <v>3</v>
      </c>
      <c r="B699" s="76" t="s">
        <v>54</v>
      </c>
      <c r="C699" s="76">
        <v>2001</v>
      </c>
      <c r="D699" s="76" t="str">
        <f t="shared" si="55"/>
        <v>A01N</v>
      </c>
      <c r="E699" s="76" t="s">
        <v>107</v>
      </c>
      <c r="F699" s="77" t="s">
        <v>825</v>
      </c>
      <c r="G699" s="78">
        <v>0.83016737259232376</v>
      </c>
      <c r="H699" s="79">
        <v>37062</v>
      </c>
      <c r="I699" s="79">
        <v>42203</v>
      </c>
      <c r="J699" s="3">
        <f t="shared" si="52"/>
        <v>14</v>
      </c>
      <c r="K699" s="10">
        <v>1.1691542288557066E-2</v>
      </c>
      <c r="L699" s="10">
        <v>4.9850448654065183E-4</v>
      </c>
      <c r="M699" s="10">
        <v>9.0180360721441311E-3</v>
      </c>
      <c r="N699" s="10">
        <v>-6.2625250500996099E-3</v>
      </c>
      <c r="O699" s="10">
        <v>-2.5000000000006128E-3</v>
      </c>
      <c r="P699" s="10">
        <v>5.9760956175323177E-3</v>
      </c>
      <c r="Q699" s="10">
        <v>-0.18662674650698829</v>
      </c>
      <c r="R699" s="10">
        <v>-1</v>
      </c>
      <c r="S699" s="10">
        <v>-0.99499999999999889</v>
      </c>
      <c r="T699" s="10">
        <v>-1</v>
      </c>
      <c r="U699" s="1">
        <v>1317</v>
      </c>
      <c r="W699" s="1">
        <v>820661</v>
      </c>
    </row>
    <row r="700" spans="1:23" x14ac:dyDescent="0.25">
      <c r="A700" s="76">
        <v>3</v>
      </c>
      <c r="B700" s="76" t="s">
        <v>54</v>
      </c>
      <c r="C700" s="76">
        <v>2001</v>
      </c>
      <c r="D700" s="76" t="str">
        <f t="shared" si="55"/>
        <v>A01N</v>
      </c>
      <c r="E700" s="76" t="s">
        <v>107</v>
      </c>
      <c r="F700" s="77" t="s">
        <v>826</v>
      </c>
      <c r="G700" s="78">
        <v>0.82548493787701538</v>
      </c>
      <c r="H700" s="79">
        <v>37351</v>
      </c>
      <c r="I700" s="79">
        <v>42202</v>
      </c>
      <c r="J700" s="3">
        <f t="shared" si="52"/>
        <v>13</v>
      </c>
      <c r="K700" s="10">
        <v>8.7064676616914749E-3</v>
      </c>
      <c r="L700" s="10">
        <v>1.2961116650050064E-2</v>
      </c>
      <c r="M700" s="10">
        <v>1.3026052104208263E-2</v>
      </c>
      <c r="N700" s="10">
        <v>1.2525050100200552E-3</v>
      </c>
      <c r="O700" s="10">
        <v>5.0000000000000044E-2</v>
      </c>
      <c r="P700" s="10">
        <v>-2.8884462151394286E-2</v>
      </c>
      <c r="Q700" s="10">
        <v>-0.26646706586826119</v>
      </c>
      <c r="R700" s="10">
        <v>-1</v>
      </c>
      <c r="S700" s="10">
        <v>-1</v>
      </c>
      <c r="T700" s="10">
        <v>-1</v>
      </c>
      <c r="U700" s="1">
        <v>3535</v>
      </c>
      <c r="W700" s="1">
        <v>2237831</v>
      </c>
    </row>
    <row r="701" spans="1:23" x14ac:dyDescent="0.25">
      <c r="A701" s="76">
        <v>3</v>
      </c>
      <c r="B701" s="76" t="s">
        <v>54</v>
      </c>
      <c r="C701" s="76">
        <v>2001</v>
      </c>
      <c r="D701" s="76" t="str">
        <f t="shared" si="55"/>
        <v>A01N</v>
      </c>
      <c r="E701" s="76" t="s">
        <v>107</v>
      </c>
      <c r="F701" s="77" t="s">
        <v>827</v>
      </c>
      <c r="G701" s="78">
        <v>0.73358183588886217</v>
      </c>
      <c r="H701" s="79">
        <v>37015</v>
      </c>
      <c r="I701" s="79">
        <v>42203</v>
      </c>
      <c r="J701" s="3">
        <f t="shared" si="52"/>
        <v>14</v>
      </c>
      <c r="K701" s="10">
        <v>-1.5671641791044633E-2</v>
      </c>
      <c r="L701" s="10">
        <v>-1.4955134596211783E-2</v>
      </c>
      <c r="M701" s="10">
        <v>-1.2525050100199664E-2</v>
      </c>
      <c r="N701" s="10">
        <v>-2.5300601202404849E-2</v>
      </c>
      <c r="O701" s="10">
        <v>-2.5000000000006128E-3</v>
      </c>
      <c r="P701" s="10">
        <v>-1.3944223107566267E-2</v>
      </c>
      <c r="Q701" s="10">
        <v>-0.89021956087824694</v>
      </c>
      <c r="R701" s="10">
        <v>-1</v>
      </c>
      <c r="S701" s="10">
        <v>-1</v>
      </c>
      <c r="T701" s="10">
        <v>-1</v>
      </c>
      <c r="U701" s="1">
        <v>2022</v>
      </c>
      <c r="W701" s="1">
        <v>1180673</v>
      </c>
    </row>
    <row r="702" spans="1:23" x14ac:dyDescent="0.25">
      <c r="A702" s="76">
        <v>3</v>
      </c>
      <c r="B702" s="76" t="s">
        <v>54</v>
      </c>
      <c r="C702" s="76">
        <v>2001</v>
      </c>
      <c r="D702" s="76" t="str">
        <f t="shared" si="55"/>
        <v>A01N</v>
      </c>
      <c r="E702" s="76" t="s">
        <v>107</v>
      </c>
      <c r="F702" s="77" t="s">
        <v>828</v>
      </c>
      <c r="G702" s="78">
        <v>0.83878576134262739</v>
      </c>
      <c r="H702" s="79">
        <v>37293</v>
      </c>
      <c r="I702" s="79">
        <v>42203</v>
      </c>
      <c r="J702" s="3">
        <f t="shared" si="52"/>
        <v>13</v>
      </c>
      <c r="K702" s="10">
        <v>6.7164179104481914E-3</v>
      </c>
      <c r="L702" s="10">
        <v>1.2711864406779627E-2</v>
      </c>
      <c r="M702" s="10">
        <v>1.7535070140280329E-2</v>
      </c>
      <c r="N702" s="10">
        <v>1.9539078156312728E-2</v>
      </c>
      <c r="O702" s="10">
        <v>-3.9999999999997704E-2</v>
      </c>
      <c r="P702" s="10">
        <v>-3.9840637450198058E-3</v>
      </c>
      <c r="Q702" s="10">
        <v>-5.1896207584830267E-2</v>
      </c>
      <c r="R702" s="10">
        <v>-0.99500998003992469</v>
      </c>
      <c r="S702" s="10">
        <v>-1</v>
      </c>
      <c r="T702" s="10">
        <v>-1</v>
      </c>
      <c r="U702" s="1">
        <v>2655</v>
      </c>
      <c r="W702" s="1">
        <v>1183011</v>
      </c>
    </row>
    <row r="703" spans="1:23" x14ac:dyDescent="0.25">
      <c r="A703" s="76">
        <v>3</v>
      </c>
      <c r="B703" s="76" t="s">
        <v>54</v>
      </c>
      <c r="C703" s="76">
        <v>2001</v>
      </c>
      <c r="D703" s="76" t="str">
        <f t="shared" si="55"/>
        <v>A01N</v>
      </c>
      <c r="E703" s="76" t="s">
        <v>107</v>
      </c>
      <c r="F703" s="77" t="s">
        <v>829</v>
      </c>
      <c r="G703" s="78">
        <v>0.83997515927647748</v>
      </c>
      <c r="H703" s="79">
        <v>37284</v>
      </c>
      <c r="I703" s="79">
        <v>42201</v>
      </c>
      <c r="J703" s="3">
        <f t="shared" si="52"/>
        <v>13</v>
      </c>
      <c r="K703" s="10">
        <v>1.91542288557216E-2</v>
      </c>
      <c r="L703" s="10">
        <v>1.7198404785642829E-2</v>
      </c>
      <c r="M703" s="10">
        <v>1.6032064128256973E-2</v>
      </c>
      <c r="N703" s="10">
        <v>4.0080160320641323E-3</v>
      </c>
      <c r="O703" s="10">
        <v>6.25E-2</v>
      </c>
      <c r="P703" s="10">
        <v>-0.10856573705179384</v>
      </c>
      <c r="Q703" s="10">
        <v>-6.1876247504986548E-2</v>
      </c>
      <c r="R703" s="10">
        <v>-0.94011976047904533</v>
      </c>
      <c r="S703" s="10">
        <v>-1</v>
      </c>
      <c r="T703" s="10">
        <v>-1</v>
      </c>
      <c r="U703" s="1">
        <v>2689</v>
      </c>
      <c r="W703" s="1">
        <v>1182811</v>
      </c>
    </row>
    <row r="704" spans="1:23" x14ac:dyDescent="0.25">
      <c r="A704" s="76">
        <v>3</v>
      </c>
      <c r="B704" s="76" t="s">
        <v>54</v>
      </c>
      <c r="C704" s="76">
        <v>2001</v>
      </c>
      <c r="D704" s="76" t="str">
        <f t="shared" si="55"/>
        <v>A01N</v>
      </c>
      <c r="E704" s="76" t="s">
        <v>107</v>
      </c>
      <c r="F704" s="77" t="s">
        <v>830</v>
      </c>
      <c r="G704" s="78">
        <v>0.8149237203838261</v>
      </c>
      <c r="H704" s="79">
        <v>37006</v>
      </c>
      <c r="I704" s="79">
        <v>42203</v>
      </c>
      <c r="J704" s="3">
        <f t="shared" si="52"/>
        <v>14</v>
      </c>
      <c r="K704" s="10">
        <v>-6.4676616915421148E-3</v>
      </c>
      <c r="L704" s="10">
        <v>-6.7298105682951359E-3</v>
      </c>
      <c r="M704" s="10">
        <v>-9.2685370741483197E-3</v>
      </c>
      <c r="N704" s="10">
        <v>-7.765531062124742E-3</v>
      </c>
      <c r="O704" s="10">
        <v>-2.5000000000006128E-3</v>
      </c>
      <c r="P704" s="10">
        <v>-0.12350597609561631</v>
      </c>
      <c r="Q704" s="10">
        <v>-5.1896207584830267E-2</v>
      </c>
      <c r="R704" s="10">
        <v>-0.97005988023952261</v>
      </c>
      <c r="S704" s="10">
        <v>-1</v>
      </c>
      <c r="T704" s="10">
        <v>-1</v>
      </c>
      <c r="U704" s="1">
        <v>2204</v>
      </c>
      <c r="W704" s="1">
        <v>816027</v>
      </c>
    </row>
    <row r="705" spans="1:23" x14ac:dyDescent="0.25">
      <c r="A705" s="76">
        <v>3</v>
      </c>
      <c r="B705" s="76" t="s">
        <v>54</v>
      </c>
      <c r="C705" s="76">
        <v>2001</v>
      </c>
      <c r="D705" s="76" t="str">
        <f t="shared" si="55"/>
        <v>A01N</v>
      </c>
      <c r="E705" s="76" t="s">
        <v>107</v>
      </c>
      <c r="F705" s="77" t="s">
        <v>831</v>
      </c>
      <c r="G705" s="78">
        <v>0.75411565180423723</v>
      </c>
      <c r="H705" s="79">
        <v>37046</v>
      </c>
      <c r="I705" s="79">
        <v>42203</v>
      </c>
      <c r="J705" s="3">
        <f t="shared" si="52"/>
        <v>14</v>
      </c>
      <c r="K705" s="10">
        <v>-0.65945273631840828</v>
      </c>
      <c r="L705" s="10">
        <v>-4.237288135593209E-3</v>
      </c>
      <c r="M705" s="10">
        <v>1.7535070140280995E-2</v>
      </c>
      <c r="N705" s="10">
        <v>9.5190380761522864E-3</v>
      </c>
      <c r="O705" s="10">
        <v>-3.7499999999999978E-2</v>
      </c>
      <c r="P705" s="10">
        <v>-1.3944223107566267E-2</v>
      </c>
      <c r="Q705" s="10">
        <v>-0.46107784431137944</v>
      </c>
      <c r="R705" s="10">
        <v>-1</v>
      </c>
      <c r="S705" s="10">
        <v>-1</v>
      </c>
      <c r="T705" s="10">
        <v>-1</v>
      </c>
      <c r="U705" s="1">
        <v>1962</v>
      </c>
      <c r="W705" s="1">
        <v>816051</v>
      </c>
    </row>
    <row r="706" spans="1:23" x14ac:dyDescent="0.25">
      <c r="A706" s="76">
        <v>3</v>
      </c>
      <c r="B706" s="76" t="s">
        <v>54</v>
      </c>
      <c r="C706" s="76">
        <v>2001</v>
      </c>
      <c r="D706" s="76" t="str">
        <f t="shared" si="55"/>
        <v>A01N</v>
      </c>
      <c r="E706" s="76" t="s">
        <v>107</v>
      </c>
      <c r="F706" s="77" t="s">
        <v>832</v>
      </c>
      <c r="G706" s="78">
        <v>0.88694324895104915</v>
      </c>
      <c r="H706" s="79">
        <v>38357</v>
      </c>
      <c r="I706" s="79">
        <v>42203</v>
      </c>
      <c r="J706" s="3">
        <f t="shared" si="52"/>
        <v>10</v>
      </c>
      <c r="K706" s="10">
        <v>2.347652347652307E-2</v>
      </c>
      <c r="L706" s="10">
        <v>0.47699999999999987</v>
      </c>
      <c r="M706" s="10">
        <v>1.9480519480518987E-2</v>
      </c>
      <c r="N706" s="10">
        <v>2.9750000000000165E-2</v>
      </c>
      <c r="O706" s="10">
        <v>3.2499999999998863E-2</v>
      </c>
      <c r="P706" s="10">
        <v>2.0000000000004459E-2</v>
      </c>
      <c r="Q706" s="10">
        <v>-0.14500000000000457</v>
      </c>
      <c r="R706" s="10">
        <v>-0.95500000000000007</v>
      </c>
      <c r="S706" s="10">
        <v>-1</v>
      </c>
      <c r="T706" s="10">
        <v>-1</v>
      </c>
      <c r="U706" s="1">
        <v>2189</v>
      </c>
      <c r="W706" s="1">
        <v>822744</v>
      </c>
    </row>
    <row r="707" spans="1:23" x14ac:dyDescent="0.25">
      <c r="A707" s="76">
        <v>3</v>
      </c>
      <c r="B707" s="76" t="s">
        <v>54</v>
      </c>
      <c r="C707" s="76">
        <v>2001</v>
      </c>
      <c r="D707" s="76" t="str">
        <f t="shared" si="55"/>
        <v>A01N</v>
      </c>
      <c r="E707" s="76" t="s">
        <v>107</v>
      </c>
      <c r="F707" s="77" t="s">
        <v>833</v>
      </c>
      <c r="G707" s="78">
        <v>0.86735274158341691</v>
      </c>
      <c r="H707" s="79">
        <v>37350</v>
      </c>
      <c r="I707" s="79">
        <v>42201</v>
      </c>
      <c r="J707" s="3">
        <f t="shared" si="52"/>
        <v>13</v>
      </c>
      <c r="K707" s="10">
        <v>8.2417582417584345E-3</v>
      </c>
      <c r="L707" s="10">
        <v>7.2500000000002007E-3</v>
      </c>
      <c r="M707" s="10">
        <v>1.5484515484515571E-2</v>
      </c>
      <c r="N707" s="10">
        <v>1.9500000000000073E-2</v>
      </c>
      <c r="O707" s="10">
        <v>7.2499999999996678E-2</v>
      </c>
      <c r="P707" s="10">
        <v>1.0000000000002229E-2</v>
      </c>
      <c r="Q707" s="10">
        <v>-9.9999999999999978E-2</v>
      </c>
      <c r="R707" s="10">
        <v>-0.91999999999999316</v>
      </c>
      <c r="S707" s="10">
        <v>-1</v>
      </c>
      <c r="T707" s="10">
        <v>-1</v>
      </c>
      <c r="U707" s="1">
        <v>2920</v>
      </c>
      <c r="W707" s="1">
        <v>2233321</v>
      </c>
    </row>
    <row r="708" spans="1:23" x14ac:dyDescent="0.25">
      <c r="A708" s="76">
        <v>3</v>
      </c>
      <c r="B708" s="76" t="s">
        <v>54</v>
      </c>
      <c r="C708" s="76">
        <v>2001</v>
      </c>
      <c r="D708" s="76" t="str">
        <f t="shared" si="55"/>
        <v>A01N</v>
      </c>
      <c r="E708" s="76" t="s">
        <v>107</v>
      </c>
      <c r="F708" s="77" t="s">
        <v>834</v>
      </c>
      <c r="G708" s="78">
        <v>0.29452667307692326</v>
      </c>
      <c r="H708" s="79">
        <v>37350</v>
      </c>
      <c r="I708" s="79">
        <v>42201</v>
      </c>
      <c r="J708" s="3">
        <f t="shared" si="52"/>
        <v>13</v>
      </c>
      <c r="K708" s="10">
        <v>-0.65109890109890101</v>
      </c>
      <c r="L708" s="10">
        <v>-0.66400000000000037</v>
      </c>
      <c r="M708" s="10">
        <v>-0.65934065934065944</v>
      </c>
      <c r="N708" s="10">
        <v>-0.66350000000000009</v>
      </c>
      <c r="O708" s="10">
        <v>-0.65249999999999775</v>
      </c>
      <c r="P708" s="10">
        <v>-0.75</v>
      </c>
      <c r="Q708" s="10">
        <v>-0.59000000000000341</v>
      </c>
      <c r="R708" s="10">
        <v>-0.77500000000000002</v>
      </c>
      <c r="S708" s="10">
        <v>-1</v>
      </c>
      <c r="T708" s="10">
        <v>-1</v>
      </c>
      <c r="U708" s="1">
        <v>2960</v>
      </c>
      <c r="W708" s="1">
        <v>2233584</v>
      </c>
    </row>
    <row r="709" spans="1:23" x14ac:dyDescent="0.25">
      <c r="A709" s="76">
        <v>3</v>
      </c>
      <c r="B709" s="76" t="s">
        <v>54</v>
      </c>
      <c r="C709" s="76">
        <v>2001</v>
      </c>
      <c r="D709" s="76" t="str">
        <f t="shared" si="55"/>
        <v>A01N</v>
      </c>
      <c r="E709" s="76" t="s">
        <v>107</v>
      </c>
      <c r="F709" s="77" t="s">
        <v>835</v>
      </c>
      <c r="G709" s="78">
        <v>0.82863140654345568</v>
      </c>
      <c r="H709" s="79">
        <v>37350</v>
      </c>
      <c r="I709" s="79">
        <v>42201</v>
      </c>
      <c r="J709" s="3">
        <f t="shared" ref="J709:J772" si="56">IF(YEAR(I709)-YEAR(H709)=0,"",YEAR(I709)-YEAR(H709))</f>
        <v>13</v>
      </c>
      <c r="K709" s="10">
        <v>-8.7412587412589726E-3</v>
      </c>
      <c r="L709" s="10">
        <v>-5.9999999999996723E-3</v>
      </c>
      <c r="M709" s="10">
        <v>2.4975024975049109E-4</v>
      </c>
      <c r="N709" s="10">
        <v>-3.5000000000002807E-3</v>
      </c>
      <c r="O709" s="10">
        <v>2.5000000000034994E-3</v>
      </c>
      <c r="P709" s="10">
        <v>-5.0000000000067768E-3</v>
      </c>
      <c r="Q709" s="10">
        <v>-0.19999999999999996</v>
      </c>
      <c r="R709" s="10">
        <v>-0.95</v>
      </c>
      <c r="S709" s="10">
        <v>-1</v>
      </c>
      <c r="T709" s="10">
        <v>-1</v>
      </c>
      <c r="U709" s="1">
        <v>2402</v>
      </c>
      <c r="W709" s="1">
        <v>2233592</v>
      </c>
    </row>
    <row r="710" spans="1:23" x14ac:dyDescent="0.25">
      <c r="A710" s="76">
        <v>3</v>
      </c>
      <c r="B710" s="76" t="s">
        <v>54</v>
      </c>
      <c r="C710" s="76">
        <v>2001</v>
      </c>
      <c r="D710" s="76" t="str">
        <f t="shared" si="55"/>
        <v>A01N</v>
      </c>
      <c r="E710" s="76" t="s">
        <v>107</v>
      </c>
      <c r="F710" s="77" t="s">
        <v>836</v>
      </c>
      <c r="G710" s="78">
        <v>0.79832547969530476</v>
      </c>
      <c r="H710" s="79">
        <v>37167</v>
      </c>
      <c r="I710" s="79">
        <v>42203</v>
      </c>
      <c r="J710" s="3">
        <f t="shared" si="56"/>
        <v>14</v>
      </c>
      <c r="K710" s="10">
        <v>1.0489510489510412E-2</v>
      </c>
      <c r="L710" s="10">
        <v>9.7499999999999254E-3</v>
      </c>
      <c r="M710" s="10">
        <v>2.1478521478521584E-2</v>
      </c>
      <c r="N710" s="10">
        <v>2.3500000000000298E-2</v>
      </c>
      <c r="O710" s="10">
        <v>1.7499999999999627E-2</v>
      </c>
      <c r="P710" s="10">
        <v>-9.9999999999994538E-3</v>
      </c>
      <c r="Q710" s="10">
        <v>-0.47999999999999976</v>
      </c>
      <c r="R710" s="10">
        <v>-1</v>
      </c>
      <c r="S710" s="10">
        <v>-1</v>
      </c>
      <c r="T710" s="10">
        <v>-1</v>
      </c>
      <c r="U710" s="1">
        <v>2433</v>
      </c>
      <c r="W710" s="1">
        <v>824194</v>
      </c>
    </row>
    <row r="711" spans="1:23" x14ac:dyDescent="0.25">
      <c r="A711" s="76">
        <v>3</v>
      </c>
      <c r="B711" s="76" t="s">
        <v>54</v>
      </c>
      <c r="C711" s="76">
        <v>2001</v>
      </c>
      <c r="D711" s="76" t="str">
        <f t="shared" si="55"/>
        <v>A01N</v>
      </c>
      <c r="E711" s="76" t="s">
        <v>107</v>
      </c>
      <c r="F711" s="77" t="s">
        <v>837</v>
      </c>
      <c r="G711" s="78">
        <v>0.81993875309690289</v>
      </c>
      <c r="H711" s="79">
        <v>36985</v>
      </c>
      <c r="I711" s="79">
        <v>42203</v>
      </c>
      <c r="J711" s="3">
        <f t="shared" si="56"/>
        <v>14</v>
      </c>
      <c r="K711" s="10">
        <v>-4.9950049950064912E-4</v>
      </c>
      <c r="L711" s="10">
        <v>-1.4999999999997238E-3</v>
      </c>
      <c r="M711" s="10">
        <v>7.2427572427575804E-3</v>
      </c>
      <c r="N711" s="10">
        <v>-2.0000000000002238E-3</v>
      </c>
      <c r="O711" s="10">
        <v>5.5000000000001048E-2</v>
      </c>
      <c r="P711" s="10">
        <v>-0.11999999999999889</v>
      </c>
      <c r="Q711" s="10">
        <v>-0.1950000000000045</v>
      </c>
      <c r="R711" s="10">
        <v>-0.88500000000000223</v>
      </c>
      <c r="S711" s="10">
        <v>-1</v>
      </c>
      <c r="T711" s="10">
        <v>-1</v>
      </c>
      <c r="U711" s="1">
        <v>3246</v>
      </c>
      <c r="W711" s="1">
        <v>824216</v>
      </c>
    </row>
    <row r="712" spans="1:23" x14ac:dyDescent="0.25">
      <c r="A712" s="76">
        <v>3</v>
      </c>
      <c r="B712" s="76" t="s">
        <v>54</v>
      </c>
      <c r="C712" s="76">
        <v>2001</v>
      </c>
      <c r="D712" s="76" t="str">
        <f t="shared" si="55"/>
        <v>A01N</v>
      </c>
      <c r="E712" s="76" t="s">
        <v>107</v>
      </c>
      <c r="F712" s="77" t="s">
        <v>838</v>
      </c>
      <c r="G712" s="78">
        <v>0.82963584058441531</v>
      </c>
      <c r="H712" s="79">
        <v>37350</v>
      </c>
      <c r="I712" s="79">
        <v>42201</v>
      </c>
      <c r="J712" s="3">
        <f t="shared" si="56"/>
        <v>13</v>
      </c>
      <c r="K712" s="10">
        <v>-9.9900099900096517E-4</v>
      </c>
      <c r="L712" s="10">
        <v>-2.2500000000001963E-3</v>
      </c>
      <c r="M712" s="10">
        <v>8.4915084915084815E-3</v>
      </c>
      <c r="N712" s="10">
        <v>1.1750000000000149E-2</v>
      </c>
      <c r="O712" s="10">
        <v>1.2499999999999956E-2</v>
      </c>
      <c r="P712" s="10">
        <v>-1.0000000000002229E-2</v>
      </c>
      <c r="Q712" s="10">
        <v>-0.18999999999999773</v>
      </c>
      <c r="R712" s="10">
        <v>-1</v>
      </c>
      <c r="S712" s="10">
        <v>-1</v>
      </c>
      <c r="T712" s="10">
        <v>-1</v>
      </c>
      <c r="U712" s="1">
        <v>3380</v>
      </c>
      <c r="W712" s="1">
        <v>2233517</v>
      </c>
    </row>
    <row r="713" spans="1:23" x14ac:dyDescent="0.25">
      <c r="A713" s="76">
        <v>3</v>
      </c>
      <c r="B713" s="76" t="s">
        <v>54</v>
      </c>
      <c r="C713" s="76">
        <v>2001</v>
      </c>
      <c r="D713" s="76" t="str">
        <f t="shared" si="55"/>
        <v>A01N</v>
      </c>
      <c r="E713" s="76" t="s">
        <v>107</v>
      </c>
      <c r="F713" s="77" t="s">
        <v>839</v>
      </c>
      <c r="G713" s="78">
        <v>0.93426113286713264</v>
      </c>
      <c r="H713" s="79">
        <v>37279</v>
      </c>
      <c r="I713" s="79">
        <v>42203</v>
      </c>
      <c r="J713" s="3">
        <f t="shared" si="56"/>
        <v>13</v>
      </c>
      <c r="K713" s="10">
        <v>2.0979020979020824E-2</v>
      </c>
      <c r="L713" s="10">
        <v>2.8000000000000025E-2</v>
      </c>
      <c r="M713" s="10">
        <v>2.7972027972028135E-2</v>
      </c>
      <c r="N713" s="10">
        <v>2.3249999999999993E-2</v>
      </c>
      <c r="O713" s="10">
        <v>7.2500000000002229E-2</v>
      </c>
      <c r="P713" s="10">
        <v>1.4999999999997682E-2</v>
      </c>
      <c r="Q713" s="10">
        <v>-1.4999999999997682E-2</v>
      </c>
      <c r="R713" s="10">
        <v>-0.20500000000000684</v>
      </c>
      <c r="S713" s="10">
        <v>-1</v>
      </c>
      <c r="T713" s="10">
        <v>-1</v>
      </c>
      <c r="U713" s="1">
        <v>4734</v>
      </c>
      <c r="W713" s="1">
        <v>822647</v>
      </c>
    </row>
    <row r="714" spans="1:23" x14ac:dyDescent="0.25">
      <c r="A714" s="76">
        <v>3</v>
      </c>
      <c r="B714" s="76" t="s">
        <v>54</v>
      </c>
      <c r="C714" s="76">
        <v>2001</v>
      </c>
      <c r="D714" s="76" t="str">
        <f t="shared" si="55"/>
        <v>A01N</v>
      </c>
      <c r="E714" s="76" t="s">
        <v>107</v>
      </c>
      <c r="F714" s="77" t="s">
        <v>840</v>
      </c>
      <c r="G714" s="78">
        <v>0.85600983921078977</v>
      </c>
      <c r="H714" s="79">
        <v>37291</v>
      </c>
      <c r="I714" s="79">
        <v>42203</v>
      </c>
      <c r="J714" s="3">
        <f t="shared" si="56"/>
        <v>13</v>
      </c>
      <c r="K714" s="10">
        <v>2.8721278721278942E-2</v>
      </c>
      <c r="L714" s="10">
        <v>2.6499999999999746E-2</v>
      </c>
      <c r="M714" s="10">
        <v>2.1978021978022122E-2</v>
      </c>
      <c r="N714" s="10">
        <v>2.4249999999999883E-2</v>
      </c>
      <c r="O714" s="10">
        <v>8.2499999999998908E-2</v>
      </c>
      <c r="P714" s="10">
        <v>-7.9999999999995408E-2</v>
      </c>
      <c r="Q714" s="10">
        <v>-5.5000000000001159E-2</v>
      </c>
      <c r="R714" s="10">
        <v>-0.93000000000000116</v>
      </c>
      <c r="S714" s="10">
        <v>-1</v>
      </c>
      <c r="T714" s="10">
        <v>-1</v>
      </c>
      <c r="U714" s="1">
        <v>3083</v>
      </c>
      <c r="W714" s="1">
        <v>824381</v>
      </c>
    </row>
    <row r="715" spans="1:23" x14ac:dyDescent="0.25">
      <c r="A715" s="76">
        <v>3</v>
      </c>
      <c r="B715" s="76" t="s">
        <v>54</v>
      </c>
      <c r="C715" s="76">
        <v>2001</v>
      </c>
      <c r="D715" s="76" t="str">
        <f t="shared" si="55"/>
        <v>A01N</v>
      </c>
      <c r="E715" s="76" t="s">
        <v>107</v>
      </c>
      <c r="F715" s="77" t="s">
        <v>841</v>
      </c>
      <c r="G715" s="78">
        <v>0.84857243683816197</v>
      </c>
      <c r="H715" s="79">
        <v>37062</v>
      </c>
      <c r="I715" s="79">
        <v>42203</v>
      </c>
      <c r="J715" s="3">
        <f t="shared" si="56"/>
        <v>14</v>
      </c>
      <c r="K715" s="10">
        <v>3.7462537462540357E-3</v>
      </c>
      <c r="L715" s="10">
        <v>7.4999999999936229E-4</v>
      </c>
      <c r="M715" s="10">
        <v>5.7442557442559661E-3</v>
      </c>
      <c r="N715" s="10">
        <v>-1.0000000000002229E-3</v>
      </c>
      <c r="O715" s="10">
        <v>6.25E-2</v>
      </c>
      <c r="P715" s="10">
        <v>0</v>
      </c>
      <c r="Q715" s="10">
        <v>-0.15000000000000002</v>
      </c>
      <c r="R715" s="10">
        <v>-0.98999999999999777</v>
      </c>
      <c r="S715" s="10">
        <v>-1</v>
      </c>
      <c r="T715" s="10">
        <v>-1</v>
      </c>
      <c r="U715" s="1">
        <v>1938</v>
      </c>
      <c r="W715" s="1">
        <v>818038</v>
      </c>
    </row>
    <row r="716" spans="1:23" x14ac:dyDescent="0.25">
      <c r="A716" s="76">
        <v>3</v>
      </c>
      <c r="B716" s="76" t="s">
        <v>54</v>
      </c>
      <c r="C716" s="76">
        <v>2001</v>
      </c>
      <c r="D716" s="76" t="str">
        <f>LEFT(F716,4)</f>
        <v>Y01N</v>
      </c>
      <c r="E716" s="76" t="s">
        <v>107</v>
      </c>
      <c r="F716" s="77" t="s">
        <v>1014</v>
      </c>
      <c r="G716" s="78">
        <v>0.72110363645643649</v>
      </c>
      <c r="H716" s="79">
        <v>37061</v>
      </c>
      <c r="I716" s="79">
        <v>42167</v>
      </c>
      <c r="J716" s="3">
        <f t="shared" si="56"/>
        <v>14</v>
      </c>
      <c r="K716" s="10">
        <v>8.9910089910085755E-3</v>
      </c>
      <c r="L716" s="10">
        <v>7.999999999999563E-3</v>
      </c>
      <c r="M716" s="10">
        <v>8.5085085085083723E-3</v>
      </c>
      <c r="N716" s="10">
        <v>2.2522522522521182E-3</v>
      </c>
      <c r="O716" s="10">
        <v>1.9999999999998908E-2</v>
      </c>
      <c r="P716" s="10">
        <v>-5.7499999999998885E-2</v>
      </c>
      <c r="Q716" s="10">
        <v>-1</v>
      </c>
      <c r="R716" s="10">
        <v>-1</v>
      </c>
      <c r="S716" s="10">
        <v>-1</v>
      </c>
      <c r="T716" s="10">
        <v>-1</v>
      </c>
      <c r="U716" s="1">
        <v>4466</v>
      </c>
      <c r="W716" s="1">
        <v>2134489</v>
      </c>
    </row>
    <row r="717" spans="1:23" x14ac:dyDescent="0.25">
      <c r="A717" s="76">
        <v>3</v>
      </c>
      <c r="B717" s="76" t="s">
        <v>54</v>
      </c>
      <c r="C717" s="76">
        <v>2001</v>
      </c>
      <c r="D717" s="76" t="str">
        <f>LEFT(F717,4)</f>
        <v>Y01N</v>
      </c>
      <c r="E717" s="76" t="s">
        <v>107</v>
      </c>
      <c r="F717" s="77" t="s">
        <v>1015</v>
      </c>
      <c r="G717" s="78">
        <v>0.87498318262483266</v>
      </c>
      <c r="H717" s="79">
        <v>42174</v>
      </c>
      <c r="I717" s="79">
        <v>42174</v>
      </c>
      <c r="J717" s="3" t="str">
        <f t="shared" si="56"/>
        <v/>
      </c>
      <c r="K717" s="10">
        <v>6.4935064935065512E-3</v>
      </c>
      <c r="L717" s="10">
        <v>1.4999999999998348E-3</v>
      </c>
      <c r="M717" s="10">
        <v>3.2532532532534297E-3</v>
      </c>
      <c r="N717" s="10">
        <v>-2.4774774774774744E-2</v>
      </c>
      <c r="O717" s="10">
        <v>-5.5000000000000382E-2</v>
      </c>
      <c r="P717" s="10">
        <v>-1.2499999999999956E-2</v>
      </c>
      <c r="Q717" s="10">
        <v>-7.4999999999999956E-2</v>
      </c>
      <c r="R717" s="10">
        <v>-0.31499999999999917</v>
      </c>
      <c r="S717" s="10">
        <v>-1</v>
      </c>
      <c r="T717" s="10">
        <v>-1</v>
      </c>
      <c r="U717" s="1">
        <v>3187</v>
      </c>
      <c r="W717" s="1">
        <v>499072</v>
      </c>
    </row>
    <row r="718" spans="1:23" x14ac:dyDescent="0.25">
      <c r="A718" s="76">
        <v>3</v>
      </c>
      <c r="B718" s="76" t="s">
        <v>54</v>
      </c>
      <c r="C718" s="76">
        <v>2001</v>
      </c>
      <c r="D718" s="76" t="str">
        <f>LEFT(F718,4)</f>
        <v>Y01N</v>
      </c>
      <c r="E718" s="76" t="s">
        <v>107</v>
      </c>
      <c r="F718" s="77" t="s">
        <v>1016</v>
      </c>
      <c r="G718" s="78">
        <v>0.67150469080861552</v>
      </c>
      <c r="H718" s="79">
        <v>42177</v>
      </c>
      <c r="I718" s="79">
        <v>42177</v>
      </c>
      <c r="J718" s="3" t="str">
        <f t="shared" si="56"/>
        <v/>
      </c>
      <c r="K718" s="10">
        <v>-1.3236763236763371E-2</v>
      </c>
      <c r="L718" s="10">
        <v>-8.2499999999998685E-3</v>
      </c>
      <c r="M718" s="10">
        <v>-6.0060060060059817E-3</v>
      </c>
      <c r="N718" s="10">
        <v>-6.5065065065065264E-3</v>
      </c>
      <c r="O718" s="10">
        <v>-1.2499999999999956E-2</v>
      </c>
      <c r="P718" s="10">
        <v>-0.21750000000000114</v>
      </c>
      <c r="Q718" s="10">
        <v>-1</v>
      </c>
      <c r="R718" s="10">
        <v>-1</v>
      </c>
      <c r="S718" s="10">
        <v>-1</v>
      </c>
      <c r="T718" s="10">
        <v>-1</v>
      </c>
      <c r="U718" s="1">
        <v>2360</v>
      </c>
      <c r="W718" s="1">
        <v>469955</v>
      </c>
    </row>
    <row r="719" spans="1:23" x14ac:dyDescent="0.25">
      <c r="A719" s="76">
        <v>3</v>
      </c>
      <c r="B719" s="76" t="s">
        <v>54</v>
      </c>
      <c r="C719" s="76">
        <v>2001</v>
      </c>
      <c r="D719" s="76" t="str">
        <f>LEFT(F719,4)</f>
        <v>Y01N</v>
      </c>
      <c r="E719" s="76" t="s">
        <v>107</v>
      </c>
      <c r="F719" s="77" t="s">
        <v>1017</v>
      </c>
      <c r="G719" s="78">
        <v>0.75857555689963185</v>
      </c>
      <c r="H719" s="79">
        <v>42174</v>
      </c>
      <c r="I719" s="79">
        <v>42174</v>
      </c>
      <c r="J719" s="3" t="str">
        <f t="shared" si="56"/>
        <v/>
      </c>
      <c r="K719" s="10">
        <v>2.0479520479520508E-2</v>
      </c>
      <c r="L719" s="10">
        <v>5.7499999999999218E-3</v>
      </c>
      <c r="M719" s="10">
        <v>1.1511511511511197E-2</v>
      </c>
      <c r="N719" s="10">
        <v>-1.5265265265265282E-2</v>
      </c>
      <c r="O719" s="10">
        <v>-4.4999999999998819E-2</v>
      </c>
      <c r="P719" s="10">
        <v>-0.13999999999999768</v>
      </c>
      <c r="Q719" s="10">
        <v>-0.4050000000000068</v>
      </c>
      <c r="R719" s="10">
        <v>-1</v>
      </c>
      <c r="S719" s="10">
        <v>-1</v>
      </c>
      <c r="T719" s="10">
        <v>-1</v>
      </c>
      <c r="U719" s="1">
        <v>2534</v>
      </c>
      <c r="W719" s="1">
        <v>506176</v>
      </c>
    </row>
    <row r="720" spans="1:23" x14ac:dyDescent="0.25">
      <c r="A720" s="76">
        <v>3</v>
      </c>
      <c r="B720" s="76" t="s">
        <v>54</v>
      </c>
      <c r="C720" s="76">
        <v>2001</v>
      </c>
      <c r="D720" s="76" t="str">
        <f t="shared" ref="D720:D729" si="57">LEFT(F720,4)</f>
        <v>Y01N</v>
      </c>
      <c r="E720" s="76" t="s">
        <v>107</v>
      </c>
      <c r="F720" s="77" t="s">
        <v>1018</v>
      </c>
      <c r="G720" s="78">
        <v>0.17139808927203914</v>
      </c>
      <c r="H720" s="79">
        <v>42185</v>
      </c>
      <c r="I720" s="79">
        <v>42185</v>
      </c>
      <c r="J720" s="3" t="str">
        <f t="shared" si="56"/>
        <v/>
      </c>
      <c r="K720" s="10">
        <v>-0.99525474525474533</v>
      </c>
      <c r="L720" s="10">
        <v>-0.99050000000000016</v>
      </c>
      <c r="M720" s="10">
        <v>-1</v>
      </c>
      <c r="N720" s="10">
        <v>-0.61436436436436437</v>
      </c>
      <c r="O720" s="10">
        <v>-0.9</v>
      </c>
      <c r="P720" s="10">
        <v>-0.50250000000000061</v>
      </c>
      <c r="Q720" s="10">
        <v>-1</v>
      </c>
      <c r="R720" s="10">
        <v>-1</v>
      </c>
      <c r="S720" s="10">
        <v>-1</v>
      </c>
      <c r="T720" s="10">
        <v>-1</v>
      </c>
      <c r="U720" s="1">
        <v>741</v>
      </c>
      <c r="W720" s="1">
        <v>2710609</v>
      </c>
    </row>
    <row r="721" spans="1:23" x14ac:dyDescent="0.25">
      <c r="A721" s="76">
        <v>3</v>
      </c>
      <c r="B721" s="76" t="s">
        <v>54</v>
      </c>
      <c r="C721" s="76">
        <v>2001</v>
      </c>
      <c r="D721" s="76" t="str">
        <f t="shared" si="57"/>
        <v>Y01N</v>
      </c>
      <c r="E721" s="76" t="s">
        <v>107</v>
      </c>
      <c r="F721" s="77" t="s">
        <v>1019</v>
      </c>
      <c r="G721" s="78">
        <v>0.80299748881598909</v>
      </c>
      <c r="H721" s="79">
        <v>42143</v>
      </c>
      <c r="I721" s="79">
        <v>42143</v>
      </c>
      <c r="J721" s="3" t="str">
        <f t="shared" si="56"/>
        <v/>
      </c>
      <c r="K721" s="10">
        <v>2.2227772227772169E-2</v>
      </c>
      <c r="L721" s="10">
        <v>2.4999999999999911E-2</v>
      </c>
      <c r="M721" s="10">
        <v>2.5275275275274955E-2</v>
      </c>
      <c r="N721" s="10">
        <v>1.976976976976963E-2</v>
      </c>
      <c r="O721" s="10">
        <v>1.5000000000003455E-2</v>
      </c>
      <c r="P721" s="10">
        <v>-7.5000000000045031E-3</v>
      </c>
      <c r="Q721" s="10">
        <v>-0.45499999999999541</v>
      </c>
      <c r="R721" s="10">
        <v>-1</v>
      </c>
      <c r="S721" s="10">
        <v>-1</v>
      </c>
      <c r="T721" s="10">
        <v>-1</v>
      </c>
      <c r="U721" s="1">
        <v>2549</v>
      </c>
      <c r="W721" s="1">
        <v>597023</v>
      </c>
    </row>
    <row r="722" spans="1:23" x14ac:dyDescent="0.25">
      <c r="A722" s="76">
        <v>3</v>
      </c>
      <c r="B722" s="76" t="s">
        <v>54</v>
      </c>
      <c r="C722" s="76">
        <v>2001</v>
      </c>
      <c r="D722" s="76" t="str">
        <f t="shared" si="57"/>
        <v>Y01N</v>
      </c>
      <c r="E722" s="76" t="s">
        <v>107</v>
      </c>
      <c r="F722" s="77" t="s">
        <v>1020</v>
      </c>
      <c r="G722" s="78">
        <v>0.73278047989667994</v>
      </c>
      <c r="H722" s="79">
        <v>42160</v>
      </c>
      <c r="I722" s="79">
        <v>42160</v>
      </c>
      <c r="J722" s="3" t="str">
        <f t="shared" si="56"/>
        <v/>
      </c>
      <c r="K722" s="10">
        <v>-5.244755244755217E-2</v>
      </c>
      <c r="L722" s="10">
        <v>-4.7999999999999821E-2</v>
      </c>
      <c r="M722" s="10">
        <v>-4.4294294294294656E-2</v>
      </c>
      <c r="N722" s="10">
        <v>-4.5795795795795957E-2</v>
      </c>
      <c r="O722" s="10">
        <v>-2.5000000000000022E-2</v>
      </c>
      <c r="P722" s="10">
        <v>-0.11999999999999955</v>
      </c>
      <c r="Q722" s="10">
        <v>-0.58500000000000085</v>
      </c>
      <c r="R722" s="10">
        <v>-1</v>
      </c>
      <c r="S722" s="10">
        <v>-1</v>
      </c>
      <c r="T722" s="10">
        <v>-1</v>
      </c>
      <c r="U722" s="1">
        <v>3657</v>
      </c>
      <c r="W722" s="1">
        <v>2157918</v>
      </c>
    </row>
    <row r="723" spans="1:23" x14ac:dyDescent="0.25">
      <c r="A723" s="76">
        <v>3</v>
      </c>
      <c r="B723" s="76" t="s">
        <v>54</v>
      </c>
      <c r="C723" s="76">
        <v>2001</v>
      </c>
      <c r="D723" s="76" t="str">
        <f t="shared" si="57"/>
        <v>Y01N</v>
      </c>
      <c r="E723" s="76" t="s">
        <v>107</v>
      </c>
      <c r="F723" s="77" t="s">
        <v>1021</v>
      </c>
      <c r="G723" s="78">
        <v>0.42813236561884083</v>
      </c>
      <c r="H723" s="79">
        <v>42160</v>
      </c>
      <c r="I723" s="79">
        <v>42160</v>
      </c>
      <c r="J723" s="3" t="str">
        <f t="shared" si="56"/>
        <v/>
      </c>
      <c r="K723" s="10">
        <v>-0.94980019980020003</v>
      </c>
      <c r="L723" s="10">
        <v>-0.40025000000000011</v>
      </c>
      <c r="M723" s="10">
        <v>-3.2782782782782571E-2</v>
      </c>
      <c r="N723" s="10">
        <v>-2.0520520520520891E-2</v>
      </c>
      <c r="O723" s="10">
        <v>-9.9999999999999978E-2</v>
      </c>
      <c r="P723" s="10">
        <v>-0.84499999999999886</v>
      </c>
      <c r="Q723" s="10">
        <v>-1</v>
      </c>
      <c r="R723" s="10">
        <v>-1</v>
      </c>
      <c r="S723" s="10">
        <v>-1</v>
      </c>
      <c r="T723" s="10">
        <v>-1</v>
      </c>
      <c r="U723" s="1">
        <v>3040</v>
      </c>
      <c r="W723" s="1">
        <v>584878</v>
      </c>
    </row>
    <row r="724" spans="1:23" x14ac:dyDescent="0.25">
      <c r="A724" s="76">
        <v>3</v>
      </c>
      <c r="B724" s="76" t="s">
        <v>54</v>
      </c>
      <c r="C724" s="76">
        <v>2001</v>
      </c>
      <c r="D724" s="76" t="str">
        <f t="shared" si="57"/>
        <v>Y01N</v>
      </c>
      <c r="E724" s="76" t="s">
        <v>107</v>
      </c>
      <c r="F724" s="77" t="s">
        <v>1022</v>
      </c>
      <c r="G724" s="78">
        <v>2.6176215014966919E-3</v>
      </c>
      <c r="H724" s="79">
        <v>42172</v>
      </c>
      <c r="I724" s="79">
        <v>42172</v>
      </c>
      <c r="J724" s="3" t="str">
        <f t="shared" si="56"/>
        <v/>
      </c>
      <c r="K724" s="10">
        <v>-0.9977522477522478</v>
      </c>
      <c r="L724" s="10">
        <v>-0.98375000000000001</v>
      </c>
      <c r="M724" s="10">
        <v>-0.99099099099099108</v>
      </c>
      <c r="N724" s="10">
        <v>-0.9974974974974975</v>
      </c>
      <c r="O724" s="10">
        <v>-0.99749999999999939</v>
      </c>
      <c r="P724" s="10">
        <v>-1</v>
      </c>
      <c r="Q724" s="10">
        <v>-1</v>
      </c>
      <c r="R724" s="10">
        <v>-1</v>
      </c>
      <c r="S724" s="10">
        <v>-1</v>
      </c>
      <c r="T724" s="10">
        <v>-1</v>
      </c>
      <c r="U724" s="1">
        <v>2667</v>
      </c>
      <c r="W724" s="1">
        <v>2294842</v>
      </c>
    </row>
    <row r="725" spans="1:23" x14ac:dyDescent="0.25">
      <c r="A725" s="76">
        <v>3</v>
      </c>
      <c r="B725" s="76" t="s">
        <v>54</v>
      </c>
      <c r="C725" s="76">
        <v>2001</v>
      </c>
      <c r="D725" s="76" t="str">
        <f t="shared" si="57"/>
        <v>Y01N</v>
      </c>
      <c r="E725" s="76" t="s">
        <v>107</v>
      </c>
      <c r="F725" s="77" t="s">
        <v>1023</v>
      </c>
      <c r="G725" s="78">
        <v>1.1952905628773383</v>
      </c>
      <c r="H725" s="79">
        <v>42139</v>
      </c>
      <c r="I725" s="79">
        <v>42139</v>
      </c>
      <c r="J725" s="3" t="str">
        <f t="shared" si="56"/>
        <v/>
      </c>
      <c r="K725" s="10">
        <v>-7.2427572427571363E-3</v>
      </c>
      <c r="L725" s="10">
        <v>-7.2500000000002007E-3</v>
      </c>
      <c r="M725" s="10">
        <v>-6.5065065065065264E-3</v>
      </c>
      <c r="N725" s="10">
        <v>-9.5095095095096838E-3</v>
      </c>
      <c r="O725" s="10">
        <v>-7.9999999999997629E-2</v>
      </c>
      <c r="P725" s="10">
        <v>-0.21000000000000019</v>
      </c>
      <c r="Q725" s="10">
        <v>0.97999999999999976</v>
      </c>
      <c r="R725" s="10">
        <v>0.97999999999999976</v>
      </c>
      <c r="S725" s="10">
        <v>0.97999999999999976</v>
      </c>
      <c r="T725" s="10">
        <v>0.97999999999999976</v>
      </c>
      <c r="U725" s="1">
        <v>3276</v>
      </c>
      <c r="W725" s="1">
        <v>483494</v>
      </c>
    </row>
    <row r="726" spans="1:23" x14ac:dyDescent="0.25">
      <c r="A726" s="76">
        <v>3</v>
      </c>
      <c r="B726" s="76" t="s">
        <v>54</v>
      </c>
      <c r="C726" s="76">
        <v>2001</v>
      </c>
      <c r="D726" s="76" t="str">
        <f t="shared" si="57"/>
        <v>Y01N</v>
      </c>
      <c r="E726" s="76" t="s">
        <v>107</v>
      </c>
      <c r="F726" s="77" t="s">
        <v>1024</v>
      </c>
      <c r="G726" s="78">
        <v>0.6421169688694941</v>
      </c>
      <c r="H726" s="79">
        <v>42166</v>
      </c>
      <c r="I726" s="79">
        <v>42166</v>
      </c>
      <c r="J726" s="3" t="str">
        <f t="shared" si="56"/>
        <v/>
      </c>
      <c r="K726" s="10">
        <v>-3.096903096903092E-2</v>
      </c>
      <c r="L726" s="10">
        <v>-0.13974999999999993</v>
      </c>
      <c r="M726" s="10">
        <v>-2.5775775775775944E-2</v>
      </c>
      <c r="N726" s="10">
        <v>-4.4044044044044051E-2</v>
      </c>
      <c r="O726" s="10">
        <v>-5.0000000000000044E-2</v>
      </c>
      <c r="P726" s="10">
        <v>-0.24499999999999889</v>
      </c>
      <c r="Q726" s="10">
        <v>-1</v>
      </c>
      <c r="R726" s="10">
        <v>-1</v>
      </c>
      <c r="S726" s="10">
        <v>-1</v>
      </c>
      <c r="T726" s="10">
        <v>-1</v>
      </c>
      <c r="U726" s="1">
        <v>11</v>
      </c>
      <c r="W726" s="1">
        <v>2880881</v>
      </c>
    </row>
    <row r="727" spans="1:23" x14ac:dyDescent="0.25">
      <c r="A727" s="76">
        <v>3</v>
      </c>
      <c r="B727" s="76" t="s">
        <v>54</v>
      </c>
      <c r="C727" s="76">
        <v>2001</v>
      </c>
      <c r="D727" s="76" t="str">
        <f t="shared" si="57"/>
        <v>Y01N</v>
      </c>
      <c r="E727" s="76" t="s">
        <v>107</v>
      </c>
      <c r="F727" s="77" t="s">
        <v>1025</v>
      </c>
      <c r="G727" s="78">
        <v>0.64374336034595991</v>
      </c>
      <c r="H727" s="79">
        <v>42174</v>
      </c>
      <c r="I727" s="79">
        <v>42174</v>
      </c>
      <c r="J727" s="3" t="str">
        <f t="shared" si="56"/>
        <v/>
      </c>
      <c r="K727" s="10">
        <v>-2.6473526473526521E-2</v>
      </c>
      <c r="L727" s="10">
        <v>-2.4000000000000021E-2</v>
      </c>
      <c r="M727" s="10">
        <v>-3.8788788788788886E-2</v>
      </c>
      <c r="N727" s="10">
        <v>-3.028028028028007E-2</v>
      </c>
      <c r="O727" s="10">
        <v>-2.000000000000457E-2</v>
      </c>
      <c r="P727" s="10">
        <v>-0.30249999999999777</v>
      </c>
      <c r="Q727" s="10">
        <v>-1</v>
      </c>
      <c r="R727" s="10">
        <v>-1</v>
      </c>
      <c r="S727" s="10">
        <v>-1</v>
      </c>
      <c r="T727" s="10">
        <v>-1</v>
      </c>
      <c r="U727" s="1">
        <v>2079</v>
      </c>
      <c r="W727" s="1">
        <v>511536</v>
      </c>
    </row>
    <row r="728" spans="1:23" x14ac:dyDescent="0.25">
      <c r="A728" s="76">
        <v>3</v>
      </c>
      <c r="B728" s="76" t="s">
        <v>54</v>
      </c>
      <c r="C728" s="76">
        <v>2001</v>
      </c>
      <c r="D728" s="76" t="str">
        <f t="shared" si="57"/>
        <v>Y01N</v>
      </c>
      <c r="E728" s="76" t="s">
        <v>107</v>
      </c>
      <c r="F728" s="77" t="s">
        <v>1026</v>
      </c>
      <c r="G728" s="78">
        <v>0.87324395575295621</v>
      </c>
      <c r="H728" s="79">
        <v>37305</v>
      </c>
      <c r="I728" s="79">
        <v>42170</v>
      </c>
      <c r="J728" s="3">
        <f t="shared" si="56"/>
        <v>13</v>
      </c>
      <c r="K728" s="10">
        <v>8.7412587412587506E-3</v>
      </c>
      <c r="L728" s="10">
        <v>5.0000000000003375E-3</v>
      </c>
      <c r="M728" s="10">
        <v>6.256256256256254E-3</v>
      </c>
      <c r="N728" s="10">
        <v>2.7527527527524409E-3</v>
      </c>
      <c r="O728" s="10">
        <v>9.9999999999993427E-3</v>
      </c>
      <c r="P728" s="10">
        <v>-2.4999999999977263E-3</v>
      </c>
      <c r="Q728" s="10">
        <v>-0.11000000000000232</v>
      </c>
      <c r="R728" s="10">
        <v>-0.5549999999999955</v>
      </c>
      <c r="S728" s="10">
        <v>-1</v>
      </c>
      <c r="T728" s="10">
        <v>-1</v>
      </c>
      <c r="U728" s="1">
        <v>1599</v>
      </c>
      <c r="W728" s="1">
        <v>1277359</v>
      </c>
    </row>
    <row r="729" spans="1:23" x14ac:dyDescent="0.25">
      <c r="A729" s="76">
        <v>3</v>
      </c>
      <c r="B729" s="76" t="s">
        <v>54</v>
      </c>
      <c r="C729" s="76">
        <v>2001</v>
      </c>
      <c r="D729" s="76" t="str">
        <f t="shared" si="57"/>
        <v>Y01N</v>
      </c>
      <c r="E729" s="76" t="s">
        <v>107</v>
      </c>
      <c r="F729" s="77" t="s">
        <v>1027</v>
      </c>
      <c r="G729" s="78">
        <v>0.82463359913202439</v>
      </c>
      <c r="H729" s="79">
        <v>42138</v>
      </c>
      <c r="I729" s="79">
        <v>42138</v>
      </c>
      <c r="J729" s="3" t="str">
        <f t="shared" si="56"/>
        <v/>
      </c>
      <c r="K729" s="10">
        <v>-5.1448551448550983E-2</v>
      </c>
      <c r="L729" s="10">
        <v>-5.0749999999999851E-2</v>
      </c>
      <c r="M729" s="10">
        <v>-4.8298298298297904E-2</v>
      </c>
      <c r="N729" s="10">
        <v>-4.6296296296296391E-2</v>
      </c>
      <c r="O729" s="10">
        <v>-9.0000000000000524E-2</v>
      </c>
      <c r="P729" s="10">
        <v>-1.9999999999998908E-2</v>
      </c>
      <c r="Q729" s="10">
        <v>-0.17500000000000004</v>
      </c>
      <c r="R729" s="10">
        <v>-0.54499999999999882</v>
      </c>
      <c r="S729" s="10">
        <v>-1</v>
      </c>
      <c r="T729" s="10">
        <v>-1</v>
      </c>
      <c r="U729" s="1">
        <v>2355</v>
      </c>
      <c r="W729" s="1">
        <v>477958</v>
      </c>
    </row>
    <row r="730" spans="1:23" x14ac:dyDescent="0.25">
      <c r="A730" s="76">
        <v>5</v>
      </c>
      <c r="B730" s="76" t="s">
        <v>54</v>
      </c>
      <c r="C730" s="76">
        <v>2010</v>
      </c>
      <c r="D730" s="76" t="str">
        <f t="shared" ref="D730:D767" si="58">LEFT(F730,4)</f>
        <v>B10S</v>
      </c>
      <c r="E730" s="76" t="s">
        <v>44</v>
      </c>
      <c r="F730" s="77" t="s">
        <v>249</v>
      </c>
      <c r="G730" s="78">
        <v>0.69442530323121665</v>
      </c>
      <c r="H730" s="79">
        <v>40407</v>
      </c>
      <c r="I730" s="79">
        <v>41465</v>
      </c>
      <c r="J730" s="3">
        <f t="shared" si="56"/>
        <v>3</v>
      </c>
    </row>
    <row r="731" spans="1:23" x14ac:dyDescent="0.25">
      <c r="A731" s="76">
        <v>5</v>
      </c>
      <c r="B731" s="76" t="s">
        <v>54</v>
      </c>
      <c r="C731" s="76">
        <v>2010</v>
      </c>
      <c r="D731" s="76" t="str">
        <f t="shared" si="58"/>
        <v>B10S</v>
      </c>
      <c r="E731" s="76" t="s">
        <v>44</v>
      </c>
      <c r="F731" s="77" t="s">
        <v>250</v>
      </c>
      <c r="G731" s="78">
        <v>1.1631719820663244E-2</v>
      </c>
      <c r="H731" s="79">
        <v>40697</v>
      </c>
      <c r="I731" s="79">
        <v>41480</v>
      </c>
      <c r="J731" s="3">
        <f t="shared" si="56"/>
        <v>2</v>
      </c>
    </row>
    <row r="732" spans="1:23" x14ac:dyDescent="0.25">
      <c r="A732" s="76">
        <v>5</v>
      </c>
      <c r="B732" s="76" t="s">
        <v>54</v>
      </c>
      <c r="C732" s="76">
        <v>2010</v>
      </c>
      <c r="D732" s="76" t="str">
        <f t="shared" si="58"/>
        <v>B10S</v>
      </c>
      <c r="E732" s="76" t="s">
        <v>44</v>
      </c>
      <c r="F732" s="77" t="s">
        <v>251</v>
      </c>
      <c r="G732" s="78">
        <v>3.5860655010102938E-2</v>
      </c>
      <c r="H732" s="79"/>
      <c r="I732" s="79">
        <v>41468</v>
      </c>
      <c r="J732" s="3">
        <f t="shared" si="56"/>
        <v>113</v>
      </c>
    </row>
    <row r="733" spans="1:23" x14ac:dyDescent="0.25">
      <c r="A733" s="76">
        <v>5</v>
      </c>
      <c r="B733" s="76" t="s">
        <v>54</v>
      </c>
      <c r="C733" s="76">
        <v>2010</v>
      </c>
      <c r="D733" s="76" t="str">
        <f t="shared" si="58"/>
        <v>B10S</v>
      </c>
      <c r="E733" s="76" t="s">
        <v>44</v>
      </c>
      <c r="F733" s="77" t="s">
        <v>252</v>
      </c>
      <c r="G733" s="78">
        <v>0.62340276568601882</v>
      </c>
      <c r="H733" s="79">
        <v>40572</v>
      </c>
      <c r="I733" s="79">
        <v>41393</v>
      </c>
      <c r="J733" s="3">
        <f t="shared" si="56"/>
        <v>2</v>
      </c>
    </row>
    <row r="734" spans="1:23" x14ac:dyDescent="0.25">
      <c r="A734" s="76">
        <v>5</v>
      </c>
      <c r="B734" s="76" t="s">
        <v>54</v>
      </c>
      <c r="C734" s="76">
        <v>2010</v>
      </c>
      <c r="D734" s="76" t="str">
        <f t="shared" si="58"/>
        <v>B10S</v>
      </c>
      <c r="E734" s="76" t="s">
        <v>44</v>
      </c>
      <c r="F734" s="77" t="s">
        <v>253</v>
      </c>
      <c r="G734" s="78">
        <v>9.8434606140374026E-4</v>
      </c>
      <c r="H734" s="79">
        <v>40558</v>
      </c>
      <c r="I734" s="79">
        <v>41468</v>
      </c>
      <c r="J734" s="3">
        <f t="shared" si="56"/>
        <v>2</v>
      </c>
    </row>
    <row r="735" spans="1:23" x14ac:dyDescent="0.25">
      <c r="A735" s="76">
        <v>5</v>
      </c>
      <c r="B735" s="76" t="s">
        <v>54</v>
      </c>
      <c r="C735" s="76">
        <v>2010</v>
      </c>
      <c r="D735" s="76" t="str">
        <f t="shared" si="58"/>
        <v>B10S</v>
      </c>
      <c r="E735" s="76" t="s">
        <v>44</v>
      </c>
      <c r="F735" s="77" t="s">
        <v>179</v>
      </c>
      <c r="G735" s="78">
        <v>0.71114197390007949</v>
      </c>
      <c r="H735" s="79">
        <v>40558</v>
      </c>
      <c r="I735" s="79">
        <v>41468</v>
      </c>
      <c r="J735" s="3">
        <f t="shared" si="56"/>
        <v>2</v>
      </c>
    </row>
    <row r="736" spans="1:23" x14ac:dyDescent="0.25">
      <c r="A736" s="76">
        <v>5</v>
      </c>
      <c r="B736" s="76" t="s">
        <v>54</v>
      </c>
      <c r="C736" s="76">
        <v>2010</v>
      </c>
      <c r="D736" s="76" t="str">
        <f t="shared" si="58"/>
        <v>B10S</v>
      </c>
      <c r="E736" s="76" t="s">
        <v>44</v>
      </c>
      <c r="F736" s="77" t="s">
        <v>182</v>
      </c>
      <c r="G736" s="78">
        <v>0.53928703867501304</v>
      </c>
      <c r="H736" s="79">
        <v>40317</v>
      </c>
      <c r="I736" s="79">
        <v>41493</v>
      </c>
      <c r="J736" s="3">
        <f t="shared" si="56"/>
        <v>3</v>
      </c>
    </row>
    <row r="737" spans="1:10" x14ac:dyDescent="0.25">
      <c r="A737" s="76">
        <v>5</v>
      </c>
      <c r="B737" s="76" t="s">
        <v>54</v>
      </c>
      <c r="C737" s="76">
        <v>2010</v>
      </c>
      <c r="D737" s="76" t="str">
        <f t="shared" si="58"/>
        <v>B10S</v>
      </c>
      <c r="E737" s="76" t="s">
        <v>44</v>
      </c>
      <c r="F737" s="77" t="s">
        <v>180</v>
      </c>
      <c r="G737" s="78">
        <v>5.9999999999999995E-4</v>
      </c>
      <c r="H737" s="79"/>
      <c r="I737" s="79"/>
      <c r="J737" s="3" t="str">
        <f t="shared" si="56"/>
        <v/>
      </c>
    </row>
    <row r="738" spans="1:10" x14ac:dyDescent="0.25">
      <c r="A738" s="76">
        <v>5</v>
      </c>
      <c r="B738" s="76" t="s">
        <v>54</v>
      </c>
      <c r="C738" s="76">
        <v>2010</v>
      </c>
      <c r="D738" s="76" t="str">
        <f t="shared" si="58"/>
        <v>B10S</v>
      </c>
      <c r="E738" s="76" t="s">
        <v>44</v>
      </c>
      <c r="F738" s="77" t="s">
        <v>181</v>
      </c>
      <c r="G738" s="78">
        <v>0</v>
      </c>
      <c r="H738" s="79"/>
      <c r="I738" s="79"/>
      <c r="J738" s="3" t="str">
        <f t="shared" si="56"/>
        <v/>
      </c>
    </row>
    <row r="739" spans="1:10" x14ac:dyDescent="0.25">
      <c r="A739" s="76">
        <v>5</v>
      </c>
      <c r="B739" s="76" t="s">
        <v>54</v>
      </c>
      <c r="C739" s="76">
        <v>2010</v>
      </c>
      <c r="D739" s="76" t="str">
        <f t="shared" si="58"/>
        <v>B10S</v>
      </c>
      <c r="E739" s="76" t="s">
        <v>44</v>
      </c>
      <c r="F739" s="77" t="s">
        <v>184</v>
      </c>
      <c r="G739" s="78">
        <v>8.9999999999999998E-4</v>
      </c>
      <c r="H739" s="79"/>
      <c r="I739" s="79"/>
      <c r="J739" s="3" t="str">
        <f t="shared" si="56"/>
        <v/>
      </c>
    </row>
    <row r="740" spans="1:10" x14ac:dyDescent="0.25">
      <c r="A740" s="76">
        <v>5</v>
      </c>
      <c r="B740" s="76" t="s">
        <v>54</v>
      </c>
      <c r="C740" s="76">
        <v>2010</v>
      </c>
      <c r="D740" s="76" t="str">
        <f t="shared" si="58"/>
        <v>B10S</v>
      </c>
      <c r="E740" s="76" t="s">
        <v>44</v>
      </c>
      <c r="F740" s="77" t="s">
        <v>185</v>
      </c>
      <c r="G740" s="78">
        <v>0.93330000000000002</v>
      </c>
      <c r="H740" s="79">
        <v>39329</v>
      </c>
      <c r="I740" s="79">
        <v>40382</v>
      </c>
      <c r="J740" s="3">
        <f t="shared" si="56"/>
        <v>3</v>
      </c>
    </row>
    <row r="741" spans="1:10" x14ac:dyDescent="0.25">
      <c r="A741" s="76">
        <v>5</v>
      </c>
      <c r="B741" s="76" t="s">
        <v>54</v>
      </c>
      <c r="C741" s="76">
        <v>2010</v>
      </c>
      <c r="D741" s="76" t="str">
        <f t="shared" si="58"/>
        <v>B10S</v>
      </c>
      <c r="E741" s="76" t="s">
        <v>44</v>
      </c>
      <c r="F741" s="77" t="s">
        <v>183</v>
      </c>
      <c r="G741" s="78">
        <v>0.65280000000000005</v>
      </c>
      <c r="H741" s="79">
        <v>39086</v>
      </c>
      <c r="I741" s="79">
        <v>41494</v>
      </c>
      <c r="J741" s="3">
        <f t="shared" si="56"/>
        <v>6</v>
      </c>
    </row>
    <row r="742" spans="1:10" x14ac:dyDescent="0.25">
      <c r="A742" s="76">
        <v>5</v>
      </c>
      <c r="B742" s="76" t="s">
        <v>54</v>
      </c>
      <c r="C742" s="76">
        <v>2010</v>
      </c>
      <c r="D742" s="76" t="str">
        <f t="shared" si="58"/>
        <v>B10S</v>
      </c>
      <c r="E742" s="76" t="s">
        <v>44</v>
      </c>
      <c r="F742" s="77" t="s">
        <v>186</v>
      </c>
      <c r="G742" s="78">
        <v>7.4252619113530649E-3</v>
      </c>
      <c r="H742" s="79">
        <v>40322</v>
      </c>
      <c r="I742" s="79">
        <v>41473</v>
      </c>
      <c r="J742" s="3">
        <f t="shared" si="56"/>
        <v>3</v>
      </c>
    </row>
    <row r="743" spans="1:10" x14ac:dyDescent="0.25">
      <c r="A743" s="76">
        <v>5</v>
      </c>
      <c r="B743" s="76" t="s">
        <v>1283</v>
      </c>
      <c r="C743" s="76">
        <v>2006</v>
      </c>
      <c r="D743" s="76" t="str">
        <f t="shared" si="58"/>
        <v>B06X</v>
      </c>
      <c r="E743" s="76" t="s">
        <v>33</v>
      </c>
      <c r="F743" s="77" t="s">
        <v>259</v>
      </c>
      <c r="G743" s="78">
        <v>0.4109296959080323</v>
      </c>
      <c r="H743" s="79">
        <v>39084</v>
      </c>
      <c r="I743" s="79">
        <v>41501</v>
      </c>
      <c r="J743" s="3">
        <f t="shared" si="56"/>
        <v>6</v>
      </c>
    </row>
    <row r="744" spans="1:10" x14ac:dyDescent="0.25">
      <c r="A744" s="76">
        <v>5</v>
      </c>
      <c r="B744" s="76" t="s">
        <v>1283</v>
      </c>
      <c r="C744" s="76">
        <v>2006</v>
      </c>
      <c r="D744" s="76" t="str">
        <f t="shared" si="58"/>
        <v>B06X</v>
      </c>
      <c r="E744" s="76" t="s">
        <v>33</v>
      </c>
      <c r="F744" s="77" t="s">
        <v>258</v>
      </c>
      <c r="G744" s="78">
        <v>0.47113027294984633</v>
      </c>
      <c r="H744" s="79">
        <v>38990</v>
      </c>
      <c r="I744" s="79">
        <v>41500</v>
      </c>
      <c r="J744" s="3">
        <f t="shared" si="56"/>
        <v>7</v>
      </c>
    </row>
    <row r="745" spans="1:10" x14ac:dyDescent="0.25">
      <c r="A745" s="76">
        <v>5</v>
      </c>
      <c r="B745" s="76" t="s">
        <v>1283</v>
      </c>
      <c r="C745" s="76">
        <v>2006</v>
      </c>
      <c r="D745" s="76" t="str">
        <f t="shared" si="58"/>
        <v>B06X</v>
      </c>
      <c r="E745" s="76" t="s">
        <v>33</v>
      </c>
      <c r="F745" s="77" t="s">
        <v>257</v>
      </c>
      <c r="G745" s="78">
        <v>0.2929019271042943</v>
      </c>
      <c r="H745" s="79">
        <v>38989</v>
      </c>
      <c r="I745" s="79">
        <v>41500</v>
      </c>
      <c r="J745" s="3">
        <f t="shared" si="56"/>
        <v>7</v>
      </c>
    </row>
    <row r="746" spans="1:10" x14ac:dyDescent="0.25">
      <c r="A746" s="76">
        <v>5</v>
      </c>
      <c r="B746" s="76" t="s">
        <v>1283</v>
      </c>
      <c r="C746" s="76">
        <v>2006</v>
      </c>
      <c r="D746" s="76" t="str">
        <f t="shared" si="58"/>
        <v>B06X</v>
      </c>
      <c r="E746" s="76" t="s">
        <v>33</v>
      </c>
      <c r="F746" s="77" t="s">
        <v>256</v>
      </c>
      <c r="G746" s="78">
        <v>1.8709835559889143E-2</v>
      </c>
      <c r="H746" s="79">
        <v>38961</v>
      </c>
      <c r="I746" s="79">
        <v>41479</v>
      </c>
      <c r="J746" s="3">
        <f t="shared" si="56"/>
        <v>7</v>
      </c>
    </row>
    <row r="747" spans="1:10" x14ac:dyDescent="0.25">
      <c r="A747" s="76">
        <v>5</v>
      </c>
      <c r="B747" s="76" t="s">
        <v>1283</v>
      </c>
      <c r="C747" s="76">
        <v>2006</v>
      </c>
      <c r="D747" s="76" t="str">
        <f t="shared" si="58"/>
        <v>B06X</v>
      </c>
      <c r="E747" s="76" t="s">
        <v>33</v>
      </c>
      <c r="F747" s="77" t="s">
        <v>255</v>
      </c>
      <c r="G747" s="78">
        <v>0.7470686886575223</v>
      </c>
      <c r="H747" s="79">
        <v>38982</v>
      </c>
      <c r="I747" s="79">
        <v>41501</v>
      </c>
      <c r="J747" s="3">
        <f t="shared" si="56"/>
        <v>7</v>
      </c>
    </row>
    <row r="748" spans="1:10" x14ac:dyDescent="0.25">
      <c r="A748" s="76">
        <v>5</v>
      </c>
      <c r="B748" s="76" t="s">
        <v>1283</v>
      </c>
      <c r="C748" s="76">
        <v>2006</v>
      </c>
      <c r="D748" s="76" t="str">
        <f t="shared" si="58"/>
        <v>B06X</v>
      </c>
      <c r="E748" s="76" t="s">
        <v>33</v>
      </c>
      <c r="F748" s="77" t="s">
        <v>254</v>
      </c>
      <c r="G748" s="78">
        <v>0.69240878323484556</v>
      </c>
      <c r="H748" s="79">
        <v>38979</v>
      </c>
      <c r="I748" s="79">
        <v>41494</v>
      </c>
      <c r="J748" s="3">
        <f t="shared" si="56"/>
        <v>7</v>
      </c>
    </row>
    <row r="749" spans="1:10" x14ac:dyDescent="0.25">
      <c r="A749" s="76">
        <v>3</v>
      </c>
      <c r="B749" s="76" t="s">
        <v>54</v>
      </c>
      <c r="C749" s="76">
        <v>2003</v>
      </c>
      <c r="D749" s="76" t="str">
        <f t="shared" si="58"/>
        <v>A03N</v>
      </c>
      <c r="E749" s="76" t="s">
        <v>65</v>
      </c>
      <c r="F749" s="77" t="s">
        <v>290</v>
      </c>
      <c r="G749" s="78">
        <v>0.86820577348793126</v>
      </c>
      <c r="H749" s="79">
        <v>37866</v>
      </c>
      <c r="I749" s="79">
        <v>41604</v>
      </c>
      <c r="J749" s="3">
        <f t="shared" si="56"/>
        <v>10</v>
      </c>
    </row>
    <row r="750" spans="1:10" x14ac:dyDescent="0.25">
      <c r="A750" s="76">
        <v>3</v>
      </c>
      <c r="B750" s="76" t="s">
        <v>54</v>
      </c>
      <c r="C750" s="76">
        <v>2003</v>
      </c>
      <c r="D750" s="76" t="str">
        <f t="shared" si="58"/>
        <v>A03N</v>
      </c>
      <c r="E750" s="76" t="s">
        <v>65</v>
      </c>
      <c r="F750" s="77" t="s">
        <v>291</v>
      </c>
      <c r="G750" s="78">
        <v>0.80042410303239941</v>
      </c>
      <c r="H750" s="79">
        <v>37873</v>
      </c>
      <c r="I750" s="79">
        <v>41604</v>
      </c>
      <c r="J750" s="3">
        <f t="shared" si="56"/>
        <v>10</v>
      </c>
    </row>
    <row r="751" spans="1:10" x14ac:dyDescent="0.25">
      <c r="A751" s="76">
        <v>3</v>
      </c>
      <c r="B751" s="76" t="s">
        <v>54</v>
      </c>
      <c r="C751" s="76">
        <v>2003</v>
      </c>
      <c r="D751" s="76" t="str">
        <f t="shared" si="58"/>
        <v>A03N</v>
      </c>
      <c r="E751" s="76" t="s">
        <v>65</v>
      </c>
      <c r="F751" s="77" t="s">
        <v>292</v>
      </c>
      <c r="G751" s="78">
        <v>0.83089780689958093</v>
      </c>
      <c r="H751" s="79">
        <v>37845</v>
      </c>
      <c r="I751" s="79">
        <v>41603</v>
      </c>
      <c r="J751" s="3">
        <f t="shared" si="56"/>
        <v>10</v>
      </c>
    </row>
    <row r="752" spans="1:10" x14ac:dyDescent="0.25">
      <c r="A752" s="76">
        <v>3</v>
      </c>
      <c r="B752" s="76" t="s">
        <v>54</v>
      </c>
      <c r="C752" s="76">
        <v>2003</v>
      </c>
      <c r="D752" s="76" t="str">
        <f t="shared" si="58"/>
        <v>A03N</v>
      </c>
      <c r="E752" s="76" t="s">
        <v>65</v>
      </c>
      <c r="F752" s="77" t="s">
        <v>293</v>
      </c>
      <c r="G752" s="78">
        <v>0.73834841029298137</v>
      </c>
      <c r="H752" s="79">
        <v>37873</v>
      </c>
      <c r="I752" s="79">
        <v>41604</v>
      </c>
      <c r="J752" s="3">
        <f t="shared" si="56"/>
        <v>10</v>
      </c>
    </row>
    <row r="753" spans="1:23" x14ac:dyDescent="0.25">
      <c r="A753" s="76">
        <v>3</v>
      </c>
      <c r="B753" s="76" t="s">
        <v>54</v>
      </c>
      <c r="C753" s="76">
        <v>2003</v>
      </c>
      <c r="D753" s="76" t="str">
        <f t="shared" si="58"/>
        <v>A03N</v>
      </c>
      <c r="E753" s="76" t="s">
        <v>65</v>
      </c>
      <c r="F753" s="77" t="s">
        <v>294</v>
      </c>
      <c r="G753" s="78">
        <v>0.85683798030709113</v>
      </c>
      <c r="H753" s="79">
        <v>38597</v>
      </c>
      <c r="I753" s="79">
        <v>41604</v>
      </c>
      <c r="J753" s="3">
        <f t="shared" si="56"/>
        <v>8</v>
      </c>
    </row>
    <row r="754" spans="1:23" x14ac:dyDescent="0.25">
      <c r="A754" s="76">
        <v>3</v>
      </c>
      <c r="B754" s="76" t="s">
        <v>54</v>
      </c>
      <c r="C754" s="76">
        <v>2003</v>
      </c>
      <c r="D754" s="76" t="str">
        <f t="shared" si="58"/>
        <v>A03N</v>
      </c>
      <c r="E754" s="76" t="s">
        <v>65</v>
      </c>
      <c r="F754" s="77" t="s">
        <v>295</v>
      </c>
      <c r="G754" s="78">
        <v>0.77280456963816224</v>
      </c>
      <c r="H754" s="79">
        <v>37903</v>
      </c>
      <c r="I754" s="79">
        <v>41604</v>
      </c>
      <c r="J754" s="3">
        <f t="shared" si="56"/>
        <v>10</v>
      </c>
    </row>
    <row r="755" spans="1:23" x14ac:dyDescent="0.25">
      <c r="A755" s="76">
        <v>3</v>
      </c>
      <c r="B755" s="76" t="s">
        <v>54</v>
      </c>
      <c r="C755" s="76">
        <v>2003</v>
      </c>
      <c r="D755" s="76" t="str">
        <f t="shared" si="58"/>
        <v>A03N</v>
      </c>
      <c r="E755" s="76" t="s">
        <v>65</v>
      </c>
      <c r="F755" s="77" t="s">
        <v>296</v>
      </c>
      <c r="G755" s="78">
        <v>0.78894818183940141</v>
      </c>
      <c r="H755" s="79">
        <v>37903</v>
      </c>
      <c r="I755" s="79">
        <v>41603</v>
      </c>
      <c r="J755" s="3">
        <f t="shared" si="56"/>
        <v>10</v>
      </c>
    </row>
    <row r="756" spans="1:23" x14ac:dyDescent="0.25">
      <c r="A756" s="76">
        <v>3</v>
      </c>
      <c r="B756" s="76" t="s">
        <v>54</v>
      </c>
      <c r="C756" s="76">
        <v>2003</v>
      </c>
      <c r="D756" s="76" t="str">
        <f t="shared" si="58"/>
        <v>A03N</v>
      </c>
      <c r="E756" s="76" t="s">
        <v>65</v>
      </c>
      <c r="F756" s="77" t="s">
        <v>297</v>
      </c>
      <c r="G756" s="78">
        <v>0.84772588325094034</v>
      </c>
      <c r="H756" s="79">
        <v>37866</v>
      </c>
      <c r="I756" s="79">
        <v>41604</v>
      </c>
      <c r="J756" s="3">
        <f t="shared" si="56"/>
        <v>10</v>
      </c>
    </row>
    <row r="757" spans="1:23" x14ac:dyDescent="0.25">
      <c r="A757" s="76">
        <v>3</v>
      </c>
      <c r="B757" s="76" t="s">
        <v>54</v>
      </c>
      <c r="C757" s="76">
        <v>2003</v>
      </c>
      <c r="D757" s="76" t="str">
        <f t="shared" si="58"/>
        <v>A03N</v>
      </c>
      <c r="E757" s="76" t="s">
        <v>65</v>
      </c>
      <c r="F757" s="77" t="s">
        <v>298</v>
      </c>
      <c r="G757" s="78">
        <v>0.82231382642396589</v>
      </c>
      <c r="H757" s="79">
        <v>37844</v>
      </c>
      <c r="I757" s="79">
        <v>41603</v>
      </c>
      <c r="J757" s="3">
        <f t="shared" si="56"/>
        <v>10</v>
      </c>
    </row>
    <row r="758" spans="1:23" x14ac:dyDescent="0.25">
      <c r="A758" s="76">
        <v>3</v>
      </c>
      <c r="B758" s="76" t="s">
        <v>54</v>
      </c>
      <c r="C758" s="76">
        <v>2003</v>
      </c>
      <c r="D758" s="76" t="str">
        <f t="shared" si="58"/>
        <v>A03N</v>
      </c>
      <c r="E758" s="76" t="s">
        <v>65</v>
      </c>
      <c r="F758" s="77" t="s">
        <v>299</v>
      </c>
      <c r="G758" s="78">
        <v>0.85297075422584157</v>
      </c>
      <c r="H758" s="79">
        <v>37873</v>
      </c>
      <c r="I758" s="79">
        <v>41627</v>
      </c>
      <c r="J758" s="3">
        <f t="shared" si="56"/>
        <v>10</v>
      </c>
    </row>
    <row r="759" spans="1:23" x14ac:dyDescent="0.25">
      <c r="A759" s="76">
        <v>3</v>
      </c>
      <c r="B759" s="76" t="s">
        <v>54</v>
      </c>
      <c r="C759" s="76">
        <v>2003</v>
      </c>
      <c r="D759" s="76" t="str">
        <f t="shared" si="58"/>
        <v>A03N</v>
      </c>
      <c r="E759" s="76" t="s">
        <v>65</v>
      </c>
      <c r="F759" s="77" t="s">
        <v>300</v>
      </c>
      <c r="G759" s="78">
        <v>0.80611658200804914</v>
      </c>
      <c r="H759" s="79">
        <v>37991</v>
      </c>
      <c r="I759" s="79">
        <v>41627</v>
      </c>
      <c r="J759" s="3">
        <f t="shared" si="56"/>
        <v>9</v>
      </c>
    </row>
    <row r="760" spans="1:23" x14ac:dyDescent="0.25">
      <c r="A760" s="76">
        <v>3</v>
      </c>
      <c r="B760" s="76" t="s">
        <v>54</v>
      </c>
      <c r="C760" s="76">
        <v>2003</v>
      </c>
      <c r="D760" s="76" t="str">
        <f t="shared" si="58"/>
        <v>A03N</v>
      </c>
      <c r="E760" s="76" t="s">
        <v>65</v>
      </c>
      <c r="F760" s="77" t="s">
        <v>301</v>
      </c>
      <c r="G760" s="78">
        <v>0.83714002500000007</v>
      </c>
      <c r="H760" s="79">
        <v>37881</v>
      </c>
      <c r="I760" s="79">
        <v>41337</v>
      </c>
      <c r="J760" s="3">
        <f t="shared" si="56"/>
        <v>10</v>
      </c>
    </row>
    <row r="761" spans="1:23" x14ac:dyDescent="0.25">
      <c r="A761" s="76">
        <v>3</v>
      </c>
      <c r="B761" s="76" t="s">
        <v>54</v>
      </c>
      <c r="C761" s="76">
        <v>2003</v>
      </c>
      <c r="D761" s="76" t="str">
        <f t="shared" si="58"/>
        <v>A03N</v>
      </c>
      <c r="E761" s="76" t="s">
        <v>65</v>
      </c>
      <c r="F761" s="77" t="s">
        <v>302</v>
      </c>
      <c r="G761" s="78">
        <v>0.84517882499999897</v>
      </c>
      <c r="H761" s="79"/>
      <c r="I761" s="79"/>
      <c r="J761" s="3" t="str">
        <f t="shared" si="56"/>
        <v/>
      </c>
    </row>
    <row r="762" spans="1:23" x14ac:dyDescent="0.25">
      <c r="A762" s="76">
        <v>3</v>
      </c>
      <c r="B762" s="76" t="s">
        <v>54</v>
      </c>
      <c r="C762" s="76">
        <v>2003</v>
      </c>
      <c r="D762" s="76" t="str">
        <f t="shared" si="58"/>
        <v>A03N</v>
      </c>
      <c r="E762" s="76" t="s">
        <v>65</v>
      </c>
      <c r="F762" s="77" t="s">
        <v>303</v>
      </c>
      <c r="G762" s="78">
        <v>0.81798630000000006</v>
      </c>
      <c r="H762" s="79">
        <v>37945</v>
      </c>
      <c r="I762" s="79">
        <v>41616</v>
      </c>
      <c r="J762" s="3">
        <f t="shared" si="56"/>
        <v>10</v>
      </c>
    </row>
    <row r="763" spans="1:23" x14ac:dyDescent="0.25">
      <c r="A763" s="76">
        <v>3</v>
      </c>
      <c r="B763" s="76" t="s">
        <v>54</v>
      </c>
      <c r="C763" s="76">
        <v>2003</v>
      </c>
      <c r="D763" s="76" t="str">
        <f t="shared" si="58"/>
        <v>A03N</v>
      </c>
      <c r="E763" s="76" t="s">
        <v>65</v>
      </c>
      <c r="F763" s="77" t="s">
        <v>304</v>
      </c>
      <c r="G763" s="78">
        <v>0.80030122499999934</v>
      </c>
      <c r="H763" s="79">
        <v>37914</v>
      </c>
      <c r="I763" s="79">
        <v>41263</v>
      </c>
      <c r="J763" s="3">
        <f t="shared" si="56"/>
        <v>9</v>
      </c>
    </row>
    <row r="764" spans="1:23" x14ac:dyDescent="0.25">
      <c r="A764" s="76">
        <v>3</v>
      </c>
      <c r="B764" s="76" t="s">
        <v>54</v>
      </c>
      <c r="C764" s="76">
        <v>2003</v>
      </c>
      <c r="D764" s="76" t="str">
        <f t="shared" si="58"/>
        <v>A03N</v>
      </c>
      <c r="E764" s="76" t="s">
        <v>65</v>
      </c>
      <c r="F764" s="77" t="s">
        <v>305</v>
      </c>
      <c r="G764" s="78">
        <v>0.86640067500000018</v>
      </c>
      <c r="H764" s="79"/>
      <c r="I764" s="79"/>
      <c r="J764" s="3" t="str">
        <f t="shared" si="56"/>
        <v/>
      </c>
    </row>
    <row r="765" spans="1:23" x14ac:dyDescent="0.25">
      <c r="A765" s="76">
        <v>3</v>
      </c>
      <c r="B765" s="76" t="s">
        <v>54</v>
      </c>
      <c r="C765" s="76">
        <v>2003</v>
      </c>
      <c r="D765" s="76" t="str">
        <f t="shared" si="58"/>
        <v>A03N</v>
      </c>
      <c r="E765" s="76" t="s">
        <v>65</v>
      </c>
      <c r="F765" s="77" t="s">
        <v>306</v>
      </c>
      <c r="G765" s="78">
        <v>0.75892059999999928</v>
      </c>
      <c r="H765" s="79">
        <v>37700</v>
      </c>
      <c r="I765" s="79">
        <v>41263</v>
      </c>
      <c r="J765" s="3">
        <f t="shared" si="56"/>
        <v>9</v>
      </c>
    </row>
    <row r="766" spans="1:23" x14ac:dyDescent="0.25">
      <c r="A766" s="76">
        <v>3</v>
      </c>
      <c r="B766" s="76" t="s">
        <v>54</v>
      </c>
      <c r="C766" s="76">
        <v>2003</v>
      </c>
      <c r="D766" s="76" t="str">
        <f t="shared" si="58"/>
        <v>A03N</v>
      </c>
      <c r="E766" s="76" t="s">
        <v>65</v>
      </c>
      <c r="F766" s="77" t="s">
        <v>307</v>
      </c>
      <c r="G766" s="78">
        <v>0.73844425419181769</v>
      </c>
      <c r="H766" s="79">
        <v>37792</v>
      </c>
      <c r="I766" s="79">
        <v>41237</v>
      </c>
      <c r="J766" s="3">
        <f t="shared" si="56"/>
        <v>9</v>
      </c>
    </row>
    <row r="767" spans="1:23" x14ac:dyDescent="0.25">
      <c r="A767" s="76">
        <v>3</v>
      </c>
      <c r="B767" s="76" t="s">
        <v>54</v>
      </c>
      <c r="C767" s="76">
        <v>2003</v>
      </c>
      <c r="D767" s="76" t="str">
        <f t="shared" si="58"/>
        <v>A03N</v>
      </c>
      <c r="E767" s="76" t="s">
        <v>65</v>
      </c>
      <c r="F767" s="77" t="s">
        <v>289</v>
      </c>
      <c r="G767" s="78">
        <v>0.88112669652871101</v>
      </c>
      <c r="H767" s="79">
        <v>37935</v>
      </c>
      <c r="I767" s="79">
        <v>41606</v>
      </c>
      <c r="J767" s="3">
        <f t="shared" si="56"/>
        <v>10</v>
      </c>
    </row>
    <row r="768" spans="1:23" x14ac:dyDescent="0.25">
      <c r="A768" s="76">
        <v>3</v>
      </c>
      <c r="B768" s="76" t="s">
        <v>54</v>
      </c>
      <c r="C768" s="76">
        <v>2003</v>
      </c>
      <c r="D768" s="76" t="str">
        <f t="shared" ref="D768:D775" si="59">LEFT(F768,4)</f>
        <v>A03N</v>
      </c>
      <c r="E768" s="76" t="s">
        <v>65</v>
      </c>
      <c r="F768" s="77" t="s">
        <v>862</v>
      </c>
      <c r="G768" s="78">
        <v>0.81057204849242215</v>
      </c>
      <c r="H768" s="79">
        <v>42144</v>
      </c>
      <c r="I768" s="79">
        <v>42144</v>
      </c>
      <c r="J768" s="3" t="str">
        <f t="shared" si="56"/>
        <v/>
      </c>
      <c r="K768" s="10">
        <v>-2.5675675675676191E-2</v>
      </c>
      <c r="L768" s="10">
        <v>-2.1665538253215932E-2</v>
      </c>
      <c r="M768" s="10">
        <v>-2.6422764227641893E-2</v>
      </c>
      <c r="N768" s="10">
        <v>-2.9850746268656803E-2</v>
      </c>
      <c r="O768" s="10">
        <v>-1.4999999999997682E-2</v>
      </c>
      <c r="P768" s="10">
        <v>-8.0000000000001181E-2</v>
      </c>
      <c r="Q768" s="10">
        <v>-0.22750000000000337</v>
      </c>
      <c r="R768" s="10">
        <v>-0.77249999999999663</v>
      </c>
      <c r="S768" s="10">
        <v>-1</v>
      </c>
      <c r="T768" s="10">
        <v>-1</v>
      </c>
      <c r="U768" s="1">
        <v>1387</v>
      </c>
      <c r="W768" s="1">
        <v>4171586</v>
      </c>
    </row>
    <row r="769" spans="1:23" x14ac:dyDescent="0.25">
      <c r="A769" s="76">
        <v>3</v>
      </c>
      <c r="B769" s="76" t="s">
        <v>54</v>
      </c>
      <c r="C769" s="76">
        <v>2003</v>
      </c>
      <c r="D769" s="76" t="str">
        <f t="shared" si="59"/>
        <v>A03N</v>
      </c>
      <c r="E769" s="76" t="s">
        <v>65</v>
      </c>
      <c r="F769" s="77" t="s">
        <v>863</v>
      </c>
      <c r="G769" s="78">
        <v>0.87252295573236738</v>
      </c>
      <c r="H769" s="79">
        <v>37872</v>
      </c>
      <c r="I769" s="79">
        <v>42203</v>
      </c>
      <c r="J769" s="3">
        <f t="shared" si="56"/>
        <v>12</v>
      </c>
      <c r="K769" s="10">
        <v>4.4408920985006262E-16</v>
      </c>
      <c r="L769" s="10">
        <v>-8.124576844955933E-3</v>
      </c>
      <c r="M769" s="10">
        <v>6.775067750676822E-3</v>
      </c>
      <c r="N769" s="10">
        <v>2.37449118046138E-2</v>
      </c>
      <c r="O769" s="10">
        <v>2.4999999999977263E-3</v>
      </c>
      <c r="P769" s="10">
        <v>-5.9999999999996612E-2</v>
      </c>
      <c r="Q769" s="10">
        <v>-8.5000000000002296E-2</v>
      </c>
      <c r="R769" s="10">
        <v>-0.4</v>
      </c>
      <c r="S769" s="10">
        <v>-0.99750000000000227</v>
      </c>
      <c r="T769" s="10">
        <v>-1</v>
      </c>
      <c r="U769" s="1">
        <v>4301</v>
      </c>
      <c r="W769" s="1">
        <v>824224</v>
      </c>
    </row>
    <row r="770" spans="1:23" x14ac:dyDescent="0.25">
      <c r="A770" s="76">
        <v>3</v>
      </c>
      <c r="B770" s="76" t="s">
        <v>54</v>
      </c>
      <c r="C770" s="76">
        <v>2003</v>
      </c>
      <c r="D770" s="76" t="str">
        <f t="shared" si="59"/>
        <v>A03N</v>
      </c>
      <c r="E770" s="76" t="s">
        <v>65</v>
      </c>
      <c r="F770" s="77" t="s">
        <v>864</v>
      </c>
      <c r="G770" s="78">
        <v>0.93097032329177243</v>
      </c>
      <c r="H770" s="79">
        <v>42160</v>
      </c>
      <c r="I770" s="79">
        <v>42160</v>
      </c>
      <c r="J770" s="3" t="str">
        <f t="shared" si="56"/>
        <v/>
      </c>
      <c r="K770" s="10">
        <v>1.2837837837837984E-2</v>
      </c>
      <c r="L770" s="10">
        <v>1.1509817197020933E-2</v>
      </c>
      <c r="M770" s="10">
        <v>6.0975609756097615E-3</v>
      </c>
      <c r="N770" s="10">
        <v>6.1058344640430029E-3</v>
      </c>
      <c r="O770" s="10">
        <v>1.5000000000000568E-2</v>
      </c>
      <c r="P770" s="10">
        <v>1.5000000000000568E-2</v>
      </c>
      <c r="Q770" s="10">
        <v>9.9999999999993427E-3</v>
      </c>
      <c r="R770" s="10">
        <v>-5.2500000000000546E-2</v>
      </c>
      <c r="S770" s="10">
        <v>-0.99749999999999661</v>
      </c>
      <c r="T770" s="10">
        <v>-1</v>
      </c>
      <c r="U770" s="1">
        <v>1219</v>
      </c>
      <c r="W770" s="1">
        <v>2193434</v>
      </c>
    </row>
    <row r="771" spans="1:23" x14ac:dyDescent="0.25">
      <c r="A771" s="76">
        <v>3</v>
      </c>
      <c r="B771" s="76" t="s">
        <v>54</v>
      </c>
      <c r="C771" s="76">
        <v>2003</v>
      </c>
      <c r="D771" s="76" t="str">
        <f t="shared" si="59"/>
        <v>A03N</v>
      </c>
      <c r="E771" s="76" t="s">
        <v>65</v>
      </c>
      <c r="F771" s="77" t="s">
        <v>865</v>
      </c>
      <c r="G771" s="78">
        <v>0.79578805332906144</v>
      </c>
      <c r="H771" s="79">
        <v>37951</v>
      </c>
      <c r="I771" s="79">
        <v>37951</v>
      </c>
      <c r="J771" s="3" t="str">
        <f t="shared" si="56"/>
        <v/>
      </c>
      <c r="K771" s="10">
        <v>4.7297297297297369E-3</v>
      </c>
      <c r="L771" s="10">
        <v>6.7704807041304438E-3</v>
      </c>
      <c r="M771" s="10">
        <v>8.1300813008127193E-3</v>
      </c>
      <c r="N771" s="10">
        <v>1.2211668928087116E-2</v>
      </c>
      <c r="O771" s="10">
        <v>2.4999999999977263E-3</v>
      </c>
      <c r="P771" s="10">
        <v>-5.4999999999998272E-2</v>
      </c>
      <c r="Q771" s="10">
        <v>-0.37249999999999939</v>
      </c>
      <c r="R771" s="10">
        <v>-0.99000000000000055</v>
      </c>
      <c r="S771" s="10">
        <v>-1</v>
      </c>
      <c r="T771" s="10">
        <v>-1</v>
      </c>
      <c r="U771" s="1" t="s">
        <v>1116</v>
      </c>
      <c r="W771" s="1">
        <v>1918354</v>
      </c>
    </row>
    <row r="772" spans="1:23" x14ac:dyDescent="0.25">
      <c r="A772" s="76">
        <v>3</v>
      </c>
      <c r="B772" s="76" t="s">
        <v>54</v>
      </c>
      <c r="C772" s="76">
        <v>2003</v>
      </c>
      <c r="D772" s="76" t="str">
        <f t="shared" si="59"/>
        <v>A03N</v>
      </c>
      <c r="E772" s="76" t="s">
        <v>65</v>
      </c>
      <c r="F772" s="77" t="s">
        <v>866</v>
      </c>
      <c r="G772" s="78">
        <v>0</v>
      </c>
      <c r="H772" s="79">
        <v>37867</v>
      </c>
      <c r="I772" s="79">
        <v>37867</v>
      </c>
      <c r="J772" s="3" t="str">
        <f t="shared" si="56"/>
        <v/>
      </c>
      <c r="K772" s="10">
        <v>-1</v>
      </c>
      <c r="L772" s="10">
        <v>-1</v>
      </c>
      <c r="M772" s="10">
        <v>-1</v>
      </c>
      <c r="N772" s="10">
        <v>-1</v>
      </c>
      <c r="O772" s="10">
        <v>-1</v>
      </c>
      <c r="P772" s="10">
        <v>-1</v>
      </c>
      <c r="Q772" s="10">
        <v>-1</v>
      </c>
      <c r="R772" s="10">
        <v>-1</v>
      </c>
      <c r="S772" s="10">
        <v>-1</v>
      </c>
      <c r="T772" s="10">
        <v>-1</v>
      </c>
      <c r="U772" s="1" t="s">
        <v>1116</v>
      </c>
      <c r="W772" s="1">
        <v>864161</v>
      </c>
    </row>
    <row r="773" spans="1:23" x14ac:dyDescent="0.25">
      <c r="A773" s="76">
        <v>3</v>
      </c>
      <c r="B773" s="76" t="s">
        <v>54</v>
      </c>
      <c r="C773" s="76">
        <v>2003</v>
      </c>
      <c r="D773" s="76" t="str">
        <f t="shared" si="59"/>
        <v>A03N</v>
      </c>
      <c r="E773" s="76" t="s">
        <v>65</v>
      </c>
      <c r="F773" s="77" t="s">
        <v>867</v>
      </c>
      <c r="G773" s="78">
        <v>0.90265705140525143</v>
      </c>
      <c r="H773" s="79">
        <v>42185</v>
      </c>
      <c r="I773" s="79">
        <v>42185</v>
      </c>
      <c r="J773" s="3" t="str">
        <f t="shared" ref="J773:J836" si="60">IF(YEAR(I773)-YEAR(H773)=0,"",YEAR(I773)-YEAR(H773))</f>
        <v/>
      </c>
      <c r="K773" s="10">
        <v>-1.0135135135135087E-2</v>
      </c>
      <c r="L773" s="10">
        <v>-1.1509817197020933E-2</v>
      </c>
      <c r="M773" s="10">
        <v>-2.7100271002706844E-3</v>
      </c>
      <c r="N773" s="10">
        <v>-2.781546811397595E-2</v>
      </c>
      <c r="O773" s="10">
        <v>-1.2499999999999956E-2</v>
      </c>
      <c r="P773" s="10">
        <v>3.2499999999998863E-2</v>
      </c>
      <c r="Q773" s="10">
        <v>-5.5000000000001159E-2</v>
      </c>
      <c r="R773" s="10">
        <v>-0.22249999999999659</v>
      </c>
      <c r="S773" s="10">
        <v>-0.99750000000000227</v>
      </c>
      <c r="T773" s="10">
        <v>-1</v>
      </c>
      <c r="U773" s="1">
        <v>848</v>
      </c>
      <c r="W773" s="1">
        <v>3686213</v>
      </c>
    </row>
    <row r="774" spans="1:23" x14ac:dyDescent="0.25">
      <c r="A774" s="76">
        <v>3</v>
      </c>
      <c r="B774" s="76" t="s">
        <v>54</v>
      </c>
      <c r="C774" s="76">
        <v>2003</v>
      </c>
      <c r="D774" s="76" t="str">
        <f t="shared" si="59"/>
        <v>A03N</v>
      </c>
      <c r="E774" s="76" t="s">
        <v>65</v>
      </c>
      <c r="F774" s="77" t="s">
        <v>868</v>
      </c>
      <c r="G774" s="78">
        <v>0</v>
      </c>
      <c r="H774" s="79">
        <v>37873</v>
      </c>
      <c r="I774" s="79">
        <v>42201</v>
      </c>
      <c r="J774" s="3">
        <f t="shared" si="60"/>
        <v>12</v>
      </c>
      <c r="K774" s="10">
        <v>-1</v>
      </c>
      <c r="L774" s="10">
        <v>-1</v>
      </c>
      <c r="M774" s="10">
        <v>-1</v>
      </c>
      <c r="N774" s="10">
        <v>-1</v>
      </c>
      <c r="O774" s="10">
        <v>-1</v>
      </c>
      <c r="P774" s="10">
        <v>-1</v>
      </c>
      <c r="Q774" s="10">
        <v>-1</v>
      </c>
      <c r="R774" s="10">
        <v>-1</v>
      </c>
      <c r="S774" s="10">
        <v>-1</v>
      </c>
      <c r="T774" s="10">
        <v>-1</v>
      </c>
      <c r="U774" s="1">
        <v>3891</v>
      </c>
      <c r="W774" s="1">
        <v>4036557</v>
      </c>
    </row>
    <row r="775" spans="1:23" x14ac:dyDescent="0.25">
      <c r="A775" s="76">
        <v>3</v>
      </c>
      <c r="B775" s="76" t="s">
        <v>54</v>
      </c>
      <c r="C775" s="76">
        <v>2003</v>
      </c>
      <c r="D775" s="76" t="str">
        <f t="shared" si="59"/>
        <v>A03N</v>
      </c>
      <c r="E775" s="76" t="s">
        <v>65</v>
      </c>
      <c r="F775" s="77" t="s">
        <v>869</v>
      </c>
      <c r="G775" s="78">
        <v>0.91668558623770424</v>
      </c>
      <c r="H775" s="79">
        <v>37858</v>
      </c>
      <c r="I775" s="79">
        <v>42172</v>
      </c>
      <c r="J775" s="3">
        <f t="shared" si="60"/>
        <v>12</v>
      </c>
      <c r="K775" s="10">
        <v>2.1621621621621845E-2</v>
      </c>
      <c r="L775" s="10">
        <v>-3.3852403520646668E-3</v>
      </c>
      <c r="M775" s="10">
        <v>1.3550135501352312E-3</v>
      </c>
      <c r="N775" s="10">
        <v>-4.070556309362594E-3</v>
      </c>
      <c r="O775" s="10">
        <v>-4.9999999999954525E-3</v>
      </c>
      <c r="P775" s="10">
        <v>0</v>
      </c>
      <c r="Q775" s="10">
        <v>-1.5000000000003455E-2</v>
      </c>
      <c r="R775" s="10">
        <v>-6.9999999999998841E-2</v>
      </c>
      <c r="S775" s="10">
        <v>-0.99750000000000227</v>
      </c>
      <c r="T775" s="10">
        <v>-1</v>
      </c>
      <c r="U775" s="1">
        <v>658</v>
      </c>
      <c r="W775" s="1">
        <v>4143681</v>
      </c>
    </row>
    <row r="776" spans="1:23" x14ac:dyDescent="0.25">
      <c r="A776" s="76">
        <v>3</v>
      </c>
      <c r="B776" s="76" t="s">
        <v>54</v>
      </c>
      <c r="C776" s="76">
        <v>2003</v>
      </c>
      <c r="D776" s="76" t="str">
        <f t="shared" ref="D776:D785" si="61">LEFT(F776,4)</f>
        <v>A03N</v>
      </c>
      <c r="E776" s="76" t="s">
        <v>65</v>
      </c>
      <c r="F776" s="77" t="s">
        <v>1197</v>
      </c>
      <c r="G776" s="78">
        <v>0.77106571079940955</v>
      </c>
      <c r="H776" s="79"/>
      <c r="I776" s="79"/>
      <c r="J776" s="3" t="str">
        <f t="shared" si="60"/>
        <v/>
      </c>
      <c r="K776" s="10">
        <v>-2.5132275132276005E-2</v>
      </c>
      <c r="L776" s="10">
        <v>-3.4068136272545235E-2</v>
      </c>
      <c r="M776" s="10">
        <v>-8.6898395721926036E-3</v>
      </c>
      <c r="N776" s="10">
        <v>2.0107238605898026E-2</v>
      </c>
      <c r="O776" s="10">
        <v>-5.7499999999998885E-2</v>
      </c>
      <c r="P776" s="10">
        <v>-0.13250000000000028</v>
      </c>
      <c r="Q776" s="10">
        <v>-0.27250000000000085</v>
      </c>
      <c r="R776" s="10">
        <v>-0.99249999999999972</v>
      </c>
      <c r="S776" s="10">
        <v>-0.99249999999999972</v>
      </c>
      <c r="T776" s="10">
        <v>-1</v>
      </c>
    </row>
    <row r="777" spans="1:23" x14ac:dyDescent="0.25">
      <c r="A777" s="76">
        <v>3</v>
      </c>
      <c r="B777" s="76" t="s">
        <v>54</v>
      </c>
      <c r="C777" s="76">
        <v>2003</v>
      </c>
      <c r="D777" s="76" t="str">
        <f t="shared" si="61"/>
        <v>A03N</v>
      </c>
      <c r="E777" s="76" t="s">
        <v>65</v>
      </c>
      <c r="F777" s="77" t="s">
        <v>1198</v>
      </c>
      <c r="G777" s="78">
        <v>0.83276313021191406</v>
      </c>
      <c r="H777" s="79"/>
      <c r="I777" s="79"/>
      <c r="J777" s="3" t="str">
        <f t="shared" si="60"/>
        <v/>
      </c>
      <c r="K777" s="10">
        <v>-2.3809523809524391E-2</v>
      </c>
      <c r="L777" s="10">
        <v>-4.676018704074747E-3</v>
      </c>
      <c r="M777" s="10">
        <v>-4.0106951871657914E-3</v>
      </c>
      <c r="N777" s="10">
        <v>-2.0107238605897693E-2</v>
      </c>
      <c r="O777" s="10">
        <v>0</v>
      </c>
      <c r="P777" s="10">
        <v>-1.7500000000001181E-2</v>
      </c>
      <c r="Q777" s="10">
        <v>-0.11000000000000232</v>
      </c>
      <c r="R777" s="10">
        <v>-0.97499999999999998</v>
      </c>
      <c r="S777" s="10">
        <v>-0.98999999999999777</v>
      </c>
      <c r="T777" s="10">
        <v>-1</v>
      </c>
    </row>
    <row r="778" spans="1:23" x14ac:dyDescent="0.25">
      <c r="A778" s="76">
        <v>3</v>
      </c>
      <c r="B778" s="76" t="s">
        <v>54</v>
      </c>
      <c r="C778" s="76">
        <v>2003</v>
      </c>
      <c r="D778" s="76" t="str">
        <f t="shared" si="61"/>
        <v>A03N</v>
      </c>
      <c r="E778" s="76" t="s">
        <v>65</v>
      </c>
      <c r="F778" s="77" t="s">
        <v>1199</v>
      </c>
      <c r="G778" s="78">
        <v>0.74505352705363492</v>
      </c>
      <c r="H778" s="79"/>
      <c r="I778" s="79"/>
      <c r="J778" s="3" t="str">
        <f t="shared" si="60"/>
        <v/>
      </c>
      <c r="K778" s="10">
        <v>-1.7857142857142572E-2</v>
      </c>
      <c r="L778" s="10">
        <v>2.0040080160320661E-2</v>
      </c>
      <c r="M778" s="10">
        <v>4.6791443850269232E-3</v>
      </c>
      <c r="N778" s="10">
        <v>1.9436997319035143E-2</v>
      </c>
      <c r="O778" s="10">
        <v>2.4999999999999911E-2</v>
      </c>
      <c r="P778" s="10">
        <v>-5.5000000000001159E-2</v>
      </c>
      <c r="Q778" s="10">
        <v>-0.83249999999999891</v>
      </c>
      <c r="R778" s="10">
        <v>-0.99000000000000055</v>
      </c>
      <c r="S778" s="10">
        <v>-0.99500000000000166</v>
      </c>
      <c r="T778" s="10">
        <v>-1</v>
      </c>
    </row>
    <row r="779" spans="1:23" x14ac:dyDescent="0.25">
      <c r="A779" s="76">
        <v>3</v>
      </c>
      <c r="B779" s="76" t="s">
        <v>54</v>
      </c>
      <c r="C779" s="76">
        <v>2003</v>
      </c>
      <c r="D779" s="76" t="str">
        <f t="shared" si="61"/>
        <v>A03N</v>
      </c>
      <c r="E779" s="76" t="s">
        <v>65</v>
      </c>
      <c r="F779" s="77" t="s">
        <v>1200</v>
      </c>
      <c r="G779" s="78">
        <v>0.86529347412696667</v>
      </c>
      <c r="H779" s="79"/>
      <c r="I779" s="79"/>
      <c r="J779" s="3" t="str">
        <f t="shared" si="60"/>
        <v/>
      </c>
      <c r="K779" s="10">
        <v>-3.1746031746031855E-2</v>
      </c>
      <c r="L779" s="10">
        <v>-2.3380093520374068E-2</v>
      </c>
      <c r="M779" s="10">
        <v>-2.8743315508020895E-2</v>
      </c>
      <c r="N779" s="10">
        <v>-2.815013404825728E-2</v>
      </c>
      <c r="O779" s="10">
        <v>4.2499999999998206E-2</v>
      </c>
      <c r="P779" s="10">
        <v>-6.7499999999998339E-2</v>
      </c>
      <c r="Q779" s="10">
        <v>-9.500000000000175E-2</v>
      </c>
      <c r="R779" s="10">
        <v>-0.65999999999999948</v>
      </c>
      <c r="S779" s="10">
        <v>-0.75500000000000111</v>
      </c>
      <c r="T779" s="10">
        <v>-1</v>
      </c>
    </row>
    <row r="780" spans="1:23" x14ac:dyDescent="0.25">
      <c r="A780" s="76">
        <v>3</v>
      </c>
      <c r="B780" s="76" t="s">
        <v>54</v>
      </c>
      <c r="C780" s="76">
        <v>2003</v>
      </c>
      <c r="D780" s="76" t="str">
        <f t="shared" si="61"/>
        <v>A03N</v>
      </c>
      <c r="E780" s="76" t="s">
        <v>65</v>
      </c>
      <c r="F780" s="77" t="s">
        <v>1201</v>
      </c>
      <c r="G780" s="78">
        <v>0.8221433115433614</v>
      </c>
      <c r="H780" s="79"/>
      <c r="I780" s="79"/>
      <c r="J780" s="3" t="str">
        <f t="shared" si="60"/>
        <v/>
      </c>
      <c r="K780" s="10">
        <v>-2.3148148148148473E-2</v>
      </c>
      <c r="L780" s="10">
        <v>-1.0688042752170834E-2</v>
      </c>
      <c r="M780" s="10">
        <v>-1.3368983957220415E-3</v>
      </c>
      <c r="N780" s="10">
        <v>-3.3512064343167447E-3</v>
      </c>
      <c r="O780" s="10">
        <v>1.0000000000002229E-2</v>
      </c>
      <c r="P780" s="10">
        <v>-1.7500000000001181E-2</v>
      </c>
      <c r="Q780" s="10">
        <v>-0.21250000000000002</v>
      </c>
      <c r="R780" s="10">
        <v>-0.98999999999999777</v>
      </c>
      <c r="S780" s="10">
        <v>-0.99499999999999889</v>
      </c>
      <c r="T780" s="10">
        <v>-1</v>
      </c>
    </row>
    <row r="781" spans="1:23" x14ac:dyDescent="0.25">
      <c r="A781" s="76">
        <v>3</v>
      </c>
      <c r="B781" s="76" t="s">
        <v>54</v>
      </c>
      <c r="C781" s="76">
        <v>2003</v>
      </c>
      <c r="D781" s="76" t="str">
        <f t="shared" si="61"/>
        <v>A03N</v>
      </c>
      <c r="E781" s="76" t="s">
        <v>65</v>
      </c>
      <c r="F781" s="77" t="s">
        <v>1202</v>
      </c>
      <c r="G781" s="78">
        <v>0.86329807802126712</v>
      </c>
      <c r="H781" s="79"/>
      <c r="I781" s="79"/>
      <c r="J781" s="3" t="str">
        <f t="shared" si="60"/>
        <v/>
      </c>
      <c r="K781" s="10">
        <v>-2.4470899470898644E-2</v>
      </c>
      <c r="L781" s="10">
        <v>-6.6800267201080343E-3</v>
      </c>
      <c r="M781" s="10">
        <v>4.0106951871661245E-3</v>
      </c>
      <c r="N781" s="10">
        <v>-2.4128686327076765E-2</v>
      </c>
      <c r="O781" s="10">
        <v>5.9999999999996501E-2</v>
      </c>
      <c r="P781" s="10">
        <v>-2.7499999999997748E-2</v>
      </c>
      <c r="Q781" s="10">
        <v>-0.25500000000000111</v>
      </c>
      <c r="R781" s="10">
        <v>-0.58999999999999775</v>
      </c>
      <c r="S781" s="10">
        <v>-0.84250000000000114</v>
      </c>
      <c r="T781" s="10">
        <v>-1</v>
      </c>
    </row>
    <row r="782" spans="1:23" x14ac:dyDescent="0.25">
      <c r="A782" s="76">
        <v>3</v>
      </c>
      <c r="B782" s="76" t="s">
        <v>54</v>
      </c>
      <c r="C782" s="76">
        <v>2003</v>
      </c>
      <c r="D782" s="76" t="str">
        <f t="shared" si="61"/>
        <v>A03N</v>
      </c>
      <c r="E782" s="76" t="s">
        <v>65</v>
      </c>
      <c r="F782" s="77" t="s">
        <v>1203</v>
      </c>
      <c r="G782" s="78">
        <v>0.70466138278055568</v>
      </c>
      <c r="H782" s="79"/>
      <c r="I782" s="79"/>
      <c r="J782" s="3" t="str">
        <f t="shared" si="60"/>
        <v/>
      </c>
      <c r="K782" s="10">
        <v>-3.4391534391534306E-2</v>
      </c>
      <c r="L782" s="10">
        <v>-3.4736138944555739E-2</v>
      </c>
      <c r="M782" s="10">
        <v>-1.804812834224534E-2</v>
      </c>
      <c r="N782" s="10">
        <v>-4.6916890080428431E-3</v>
      </c>
      <c r="O782" s="10">
        <v>0</v>
      </c>
      <c r="P782" s="10">
        <v>-8.5000000000002296E-2</v>
      </c>
      <c r="Q782" s="10">
        <v>-0.98999999999999777</v>
      </c>
      <c r="R782" s="10">
        <v>-0.99250000000000116</v>
      </c>
      <c r="S782" s="10">
        <v>-0.99499999999999889</v>
      </c>
      <c r="T782" s="10">
        <v>-1</v>
      </c>
    </row>
    <row r="783" spans="1:23" x14ac:dyDescent="0.25">
      <c r="A783" s="76">
        <v>3</v>
      </c>
      <c r="B783" s="76" t="s">
        <v>54</v>
      </c>
      <c r="C783" s="76">
        <v>2003</v>
      </c>
      <c r="D783" s="76" t="str">
        <f t="shared" si="61"/>
        <v>A03N</v>
      </c>
      <c r="E783" s="76" t="s">
        <v>65</v>
      </c>
      <c r="F783" s="77" t="s">
        <v>1204</v>
      </c>
      <c r="G783" s="78">
        <v>0.8426293687603944</v>
      </c>
      <c r="H783" s="79"/>
      <c r="I783" s="79"/>
      <c r="J783" s="3" t="str">
        <f t="shared" si="60"/>
        <v/>
      </c>
      <c r="K783" s="10">
        <v>-2.1164021164021052E-2</v>
      </c>
      <c r="L783" s="10">
        <v>-8.0160320641281535E-3</v>
      </c>
      <c r="M783" s="10">
        <v>8.8817841970012523E-16</v>
      </c>
      <c r="N783" s="10">
        <v>-3.4182305630027332E-2</v>
      </c>
      <c r="O783" s="10">
        <v>-7.4999999999988409E-3</v>
      </c>
      <c r="P783" s="10">
        <v>-2.5000000000000022E-2</v>
      </c>
      <c r="Q783" s="10">
        <v>-0.14250000000000118</v>
      </c>
      <c r="R783" s="10">
        <v>-0.72249999999999659</v>
      </c>
      <c r="S783" s="10">
        <v>-0.99250000000000116</v>
      </c>
      <c r="T783" s="10">
        <v>-1</v>
      </c>
    </row>
    <row r="784" spans="1:23" x14ac:dyDescent="0.25">
      <c r="A784" s="76">
        <v>3</v>
      </c>
      <c r="B784" s="76" t="s">
        <v>54</v>
      </c>
      <c r="C784" s="76">
        <v>2003</v>
      </c>
      <c r="D784" s="76" t="str">
        <f t="shared" si="61"/>
        <v>A03N</v>
      </c>
      <c r="E784" s="76" t="s">
        <v>65</v>
      </c>
      <c r="F784" s="77" t="s">
        <v>1205</v>
      </c>
      <c r="G784" s="78">
        <v>0.91946683067445167</v>
      </c>
      <c r="H784" s="79"/>
      <c r="I784" s="79"/>
      <c r="J784" s="3" t="str">
        <f t="shared" si="60"/>
        <v/>
      </c>
      <c r="K784" s="10">
        <v>-2.3809523809522837E-2</v>
      </c>
      <c r="L784" s="10">
        <v>-1.06880427521715E-2</v>
      </c>
      <c r="M784" s="10">
        <v>-2.0053475935827958E-2</v>
      </c>
      <c r="N784" s="10">
        <v>-2.2117962466488783E-2</v>
      </c>
      <c r="O784" s="10">
        <v>0</v>
      </c>
      <c r="P784" s="10">
        <v>-5.0000000000001155E-3</v>
      </c>
      <c r="Q784" s="10">
        <v>-3.5000000000000142E-2</v>
      </c>
      <c r="R784" s="10">
        <v>-0.22749999999999981</v>
      </c>
      <c r="S784" s="10">
        <v>-0.61999999999999955</v>
      </c>
      <c r="T784" s="10">
        <v>-1</v>
      </c>
    </row>
    <row r="785" spans="1:20" x14ac:dyDescent="0.25">
      <c r="A785" s="76">
        <v>3</v>
      </c>
      <c r="B785" s="76" t="s">
        <v>54</v>
      </c>
      <c r="C785" s="76">
        <v>2003</v>
      </c>
      <c r="D785" s="76" t="str">
        <f t="shared" si="61"/>
        <v>A03N</v>
      </c>
      <c r="E785" s="76" t="s">
        <v>65</v>
      </c>
      <c r="F785" s="77" t="s">
        <v>1206</v>
      </c>
      <c r="G785" s="78">
        <v>0.80072583573081679</v>
      </c>
      <c r="H785" s="79"/>
      <c r="I785" s="79"/>
      <c r="J785" s="3" t="str">
        <f t="shared" si="60"/>
        <v/>
      </c>
      <c r="K785" s="10">
        <v>-2.0502645502644579E-2</v>
      </c>
      <c r="L785" s="10">
        <v>-1.06880427521715E-2</v>
      </c>
      <c r="M785" s="10">
        <v>-1.4037433155080214E-2</v>
      </c>
      <c r="N785" s="10">
        <v>-1.6756032171581392E-2</v>
      </c>
      <c r="O785" s="10">
        <v>-7.4999999999988409E-3</v>
      </c>
      <c r="P785" s="10">
        <v>-5.0000000000000044E-2</v>
      </c>
      <c r="Q785" s="10">
        <v>-0.27500000000000002</v>
      </c>
      <c r="R785" s="10">
        <v>-0.99250000000000116</v>
      </c>
      <c r="S785" s="10">
        <v>-0.99499999999999889</v>
      </c>
      <c r="T785" s="10">
        <v>-1</v>
      </c>
    </row>
    <row r="786" spans="1:20" x14ac:dyDescent="0.25">
      <c r="A786" s="76">
        <v>3</v>
      </c>
      <c r="B786" s="76" t="s">
        <v>54</v>
      </c>
      <c r="C786" s="76">
        <v>2003</v>
      </c>
      <c r="D786" s="76" t="str">
        <f t="shared" ref="D786:D794" si="62">LEFT(F786,4)</f>
        <v>A03N</v>
      </c>
      <c r="E786" s="76" t="s">
        <v>65</v>
      </c>
      <c r="F786" s="77" t="s">
        <v>1224</v>
      </c>
      <c r="G786" s="78">
        <v>0.82751990803530451</v>
      </c>
      <c r="H786" s="79"/>
      <c r="I786" s="79"/>
      <c r="J786" s="3" t="str">
        <f t="shared" si="60"/>
        <v/>
      </c>
      <c r="K786" s="10">
        <v>-7.9365079365079083E-3</v>
      </c>
      <c r="L786" s="10">
        <v>-2.0080321285139702E-3</v>
      </c>
      <c r="M786" s="10">
        <v>6.6800267201050367E-4</v>
      </c>
      <c r="N786" s="10">
        <v>6.0080106809081713E-3</v>
      </c>
      <c r="O786" s="10">
        <v>4.9999999999983391E-3</v>
      </c>
      <c r="P786" s="10">
        <v>-4.9999999999983391E-3</v>
      </c>
      <c r="Q786" s="10">
        <v>-3.5000000000002252E-2</v>
      </c>
      <c r="R786" s="10">
        <v>-0.80749999999999889</v>
      </c>
      <c r="S786" s="10">
        <v>-0.99749999999999939</v>
      </c>
      <c r="T786" s="10">
        <v>-1</v>
      </c>
    </row>
    <row r="787" spans="1:20" x14ac:dyDescent="0.25">
      <c r="A787" s="76">
        <v>3</v>
      </c>
      <c r="B787" s="76" t="s">
        <v>54</v>
      </c>
      <c r="C787" s="76">
        <v>2003</v>
      </c>
      <c r="D787" s="76" t="str">
        <f t="shared" si="62"/>
        <v>A03N</v>
      </c>
      <c r="E787" s="76" t="s">
        <v>65</v>
      </c>
      <c r="F787" s="77" t="s">
        <v>1225</v>
      </c>
      <c r="G787" s="78">
        <v>0.85388190582995316</v>
      </c>
      <c r="H787" s="79"/>
      <c r="I787" s="79"/>
      <c r="J787" s="3" t="str">
        <f t="shared" si="60"/>
        <v/>
      </c>
      <c r="K787" s="10">
        <v>-1.1243386243386166E-2</v>
      </c>
      <c r="L787" s="10">
        <v>6.6934404283793825E-3</v>
      </c>
      <c r="M787" s="10">
        <v>1.4696058784235744E-2</v>
      </c>
      <c r="N787" s="10">
        <v>-1.5353805073431315E-2</v>
      </c>
      <c r="O787" s="10">
        <v>7.4999999999989519E-3</v>
      </c>
      <c r="P787" s="10">
        <v>3.7500000000000089E-2</v>
      </c>
      <c r="Q787" s="10">
        <v>-3.9999999999997704E-2</v>
      </c>
      <c r="R787" s="10">
        <v>-0.55000000000000004</v>
      </c>
      <c r="S787" s="10">
        <v>-1</v>
      </c>
      <c r="T787" s="10">
        <v>-1</v>
      </c>
    </row>
    <row r="788" spans="1:20" x14ac:dyDescent="0.25">
      <c r="A788" s="76">
        <v>3</v>
      </c>
      <c r="B788" s="76" t="s">
        <v>54</v>
      </c>
      <c r="C788" s="76">
        <v>2003</v>
      </c>
      <c r="D788" s="76" t="str">
        <f t="shared" si="62"/>
        <v>A03N</v>
      </c>
      <c r="E788" s="76" t="s">
        <v>65</v>
      </c>
      <c r="F788" s="77" t="s">
        <v>1226</v>
      </c>
      <c r="G788" s="78">
        <v>0.84439245409635599</v>
      </c>
      <c r="H788" s="79"/>
      <c r="I788" s="79"/>
      <c r="J788" s="3" t="str">
        <f t="shared" si="60"/>
        <v/>
      </c>
      <c r="K788" s="10">
        <v>5.2910052910053906E-2</v>
      </c>
      <c r="L788" s="10">
        <v>5.8902275769745716E-2</v>
      </c>
      <c r="M788" s="10">
        <v>6.2124248496994161E-2</v>
      </c>
      <c r="N788" s="10">
        <v>6.0080106809078826E-2</v>
      </c>
      <c r="O788" s="10">
        <v>3.5000000000002363E-2</v>
      </c>
      <c r="P788" s="10">
        <v>4.2499999999998206E-2</v>
      </c>
      <c r="Q788" s="10">
        <v>-9.9999999999999978E-2</v>
      </c>
      <c r="R788" s="10">
        <v>-0.98750000000000004</v>
      </c>
      <c r="S788" s="10">
        <v>-0.99749999999999939</v>
      </c>
      <c r="T788" s="10">
        <v>-1</v>
      </c>
    </row>
    <row r="789" spans="1:20" x14ac:dyDescent="0.25">
      <c r="A789" s="76">
        <v>3</v>
      </c>
      <c r="B789" s="76" t="s">
        <v>54</v>
      </c>
      <c r="C789" s="76">
        <v>2003</v>
      </c>
      <c r="D789" s="76" t="str">
        <f t="shared" si="62"/>
        <v>A03N</v>
      </c>
      <c r="E789" s="76" t="s">
        <v>65</v>
      </c>
      <c r="F789" s="77" t="s">
        <v>1227</v>
      </c>
      <c r="G789" s="78">
        <v>0.89128226529295773</v>
      </c>
      <c r="H789" s="79"/>
      <c r="I789" s="79"/>
      <c r="J789" s="3" t="str">
        <f t="shared" si="60"/>
        <v/>
      </c>
      <c r="K789" s="10">
        <v>5.2910052910053462E-3</v>
      </c>
      <c r="L789" s="10">
        <v>6.6934404283793825E-3</v>
      </c>
      <c r="M789" s="10">
        <v>1.336005344021407E-2</v>
      </c>
      <c r="N789" s="10">
        <v>1.0680907877170132E-2</v>
      </c>
      <c r="O789" s="10">
        <v>7.4999999999998401E-3</v>
      </c>
      <c r="P789" s="10">
        <v>2.7499999999999858E-2</v>
      </c>
      <c r="Q789" s="10">
        <v>2.000000000000024E-2</v>
      </c>
      <c r="R789" s="10">
        <v>-8.5000000000000187E-2</v>
      </c>
      <c r="S789" s="10">
        <v>-0.99750000000000016</v>
      </c>
      <c r="T789" s="10">
        <v>-1</v>
      </c>
    </row>
    <row r="790" spans="1:20" x14ac:dyDescent="0.25">
      <c r="A790" s="76">
        <v>3</v>
      </c>
      <c r="B790" s="76" t="s">
        <v>54</v>
      </c>
      <c r="C790" s="76">
        <v>2003</v>
      </c>
      <c r="D790" s="76" t="str">
        <f t="shared" si="62"/>
        <v>A03N</v>
      </c>
      <c r="E790" s="76" t="s">
        <v>65</v>
      </c>
      <c r="F790" s="77" t="s">
        <v>1228</v>
      </c>
      <c r="G790" s="78">
        <v>0.87387407388556126</v>
      </c>
      <c r="H790" s="79"/>
      <c r="I790" s="79"/>
      <c r="J790" s="3" t="str">
        <f t="shared" si="60"/>
        <v/>
      </c>
      <c r="K790" s="10">
        <v>-2.8439153439153486E-2</v>
      </c>
      <c r="L790" s="10">
        <v>-1.0040160642570295E-2</v>
      </c>
      <c r="M790" s="10">
        <v>-8.0160320641281535E-3</v>
      </c>
      <c r="N790" s="10">
        <v>-1.1348464619491794E-2</v>
      </c>
      <c r="O790" s="10">
        <v>0</v>
      </c>
      <c r="P790" s="10">
        <v>0</v>
      </c>
      <c r="Q790" s="10">
        <v>-1.2499999999999956E-2</v>
      </c>
      <c r="R790" s="10">
        <v>-0.10250000000000337</v>
      </c>
      <c r="S790" s="10">
        <v>-0.99499999999999889</v>
      </c>
      <c r="T790" s="10">
        <v>-1</v>
      </c>
    </row>
    <row r="791" spans="1:20" x14ac:dyDescent="0.25">
      <c r="A791" s="76">
        <v>3</v>
      </c>
      <c r="B791" s="76" t="s">
        <v>54</v>
      </c>
      <c r="C791" s="76">
        <v>2003</v>
      </c>
      <c r="D791" s="76" t="str">
        <f t="shared" si="62"/>
        <v>A03N</v>
      </c>
      <c r="E791" s="76" t="s">
        <v>65</v>
      </c>
      <c r="F791" s="77" t="s">
        <v>1229</v>
      </c>
      <c r="G791" s="78">
        <v>0.85610531642303345</v>
      </c>
      <c r="H791" s="79"/>
      <c r="I791" s="79"/>
      <c r="J791" s="3" t="str">
        <f t="shared" si="60"/>
        <v/>
      </c>
      <c r="K791" s="10">
        <v>-7.2751322751327674E-3</v>
      </c>
      <c r="L791" s="10">
        <v>1.1378848728247348E-2</v>
      </c>
      <c r="M791" s="10">
        <v>-1.6032064128257639E-2</v>
      </c>
      <c r="N791" s="10">
        <v>-2.6702269692921998E-3</v>
      </c>
      <c r="O791" s="10">
        <v>2.5000000000006128E-3</v>
      </c>
      <c r="P791" s="10">
        <v>7.4999999999989519E-3</v>
      </c>
      <c r="Q791" s="10">
        <v>-4.7499999999999432E-2</v>
      </c>
      <c r="R791" s="10">
        <v>-0.38749999999999996</v>
      </c>
      <c r="S791" s="10">
        <v>-0.99749999999999939</v>
      </c>
      <c r="T791" s="10">
        <v>-1</v>
      </c>
    </row>
    <row r="792" spans="1:20" x14ac:dyDescent="0.25">
      <c r="A792" s="76">
        <v>3</v>
      </c>
      <c r="B792" s="76" t="s">
        <v>54</v>
      </c>
      <c r="C792" s="76">
        <v>2003</v>
      </c>
      <c r="D792" s="76" t="str">
        <f t="shared" si="62"/>
        <v>A03N</v>
      </c>
      <c r="E792" s="76" t="s">
        <v>65</v>
      </c>
      <c r="F792" s="77" t="s">
        <v>1230</v>
      </c>
      <c r="G792" s="78">
        <v>0.8550603087205414</v>
      </c>
      <c r="H792" s="79"/>
      <c r="I792" s="79"/>
      <c r="J792" s="3" t="str">
        <f t="shared" si="60"/>
        <v/>
      </c>
      <c r="K792" s="10">
        <v>-1.984126984126644E-3</v>
      </c>
      <c r="L792" s="10">
        <v>0</v>
      </c>
      <c r="M792" s="10">
        <v>-2.0040080160321772E-3</v>
      </c>
      <c r="N792" s="10">
        <v>-5.3404539385840666E-3</v>
      </c>
      <c r="O792" s="10">
        <v>-5.0000000000011147E-3</v>
      </c>
      <c r="P792" s="10">
        <v>-7.4999999999988409E-3</v>
      </c>
      <c r="Q792" s="10">
        <v>-4.4999999999998819E-2</v>
      </c>
      <c r="R792" s="10">
        <v>-0.33000000000000118</v>
      </c>
      <c r="S792" s="10">
        <v>-0.99750000000000227</v>
      </c>
      <c r="T792" s="10">
        <v>-1</v>
      </c>
    </row>
    <row r="793" spans="1:20" x14ac:dyDescent="0.25">
      <c r="A793" s="76">
        <v>3</v>
      </c>
      <c r="B793" s="76" t="s">
        <v>54</v>
      </c>
      <c r="C793" s="76">
        <v>2003</v>
      </c>
      <c r="D793" s="76" t="str">
        <f t="shared" si="62"/>
        <v>A03N</v>
      </c>
      <c r="E793" s="76" t="s">
        <v>65</v>
      </c>
      <c r="F793" s="77" t="s">
        <v>1231</v>
      </c>
      <c r="G793" s="78">
        <v>0.85207628791312762</v>
      </c>
      <c r="H793" s="79"/>
      <c r="I793" s="79"/>
      <c r="J793" s="3" t="str">
        <f t="shared" si="60"/>
        <v/>
      </c>
      <c r="K793" s="10">
        <v>-1.4550264550264091E-2</v>
      </c>
      <c r="L793" s="10">
        <v>-1.2717536813922181E-2</v>
      </c>
      <c r="M793" s="10">
        <v>-2.6720106880430139E-3</v>
      </c>
      <c r="N793" s="10">
        <v>-4.0053404539384108E-3</v>
      </c>
      <c r="O793" s="10">
        <v>-2.4999999999977263E-3</v>
      </c>
      <c r="P793" s="10">
        <v>4.9999999999954525E-3</v>
      </c>
      <c r="Q793" s="10">
        <v>-1.2499999999999956E-2</v>
      </c>
      <c r="R793" s="10">
        <v>-0.44999999999999996</v>
      </c>
      <c r="S793" s="10">
        <v>-0.99499999999999889</v>
      </c>
      <c r="T793" s="10">
        <v>-1</v>
      </c>
    </row>
    <row r="794" spans="1:20" x14ac:dyDescent="0.25">
      <c r="A794" s="76">
        <v>3</v>
      </c>
      <c r="B794" s="76" t="s">
        <v>54</v>
      </c>
      <c r="C794" s="76">
        <v>2003</v>
      </c>
      <c r="D794" s="76" t="str">
        <f t="shared" si="62"/>
        <v>A03N</v>
      </c>
      <c r="E794" s="76" t="s">
        <v>65</v>
      </c>
      <c r="F794" s="77" t="s">
        <v>1232</v>
      </c>
      <c r="G794" s="78">
        <v>0.87385672629710298</v>
      </c>
      <c r="H794" s="79"/>
      <c r="I794" s="79"/>
      <c r="J794" s="3" t="str">
        <f t="shared" si="60"/>
        <v/>
      </c>
      <c r="K794" s="10">
        <v>-2.0502645502645245E-2</v>
      </c>
      <c r="L794" s="10">
        <v>-4.6854082998656343E-3</v>
      </c>
      <c r="M794" s="10">
        <v>-2.8724114896459652E-2</v>
      </c>
      <c r="N794" s="10">
        <v>-1.2683578104139115E-2</v>
      </c>
      <c r="O794" s="10">
        <v>-5.0000000000011147E-3</v>
      </c>
      <c r="P794" s="10">
        <v>7.5000000000045031E-3</v>
      </c>
      <c r="Q794" s="10">
        <v>5.0000000000000044E-2</v>
      </c>
      <c r="R794" s="10">
        <v>-0.16000000000000225</v>
      </c>
      <c r="S794" s="10">
        <v>-0.99499999999999889</v>
      </c>
      <c r="T794" s="10">
        <v>-1</v>
      </c>
    </row>
    <row r="795" spans="1:20" x14ac:dyDescent="0.25">
      <c r="A795" s="76">
        <v>3</v>
      </c>
      <c r="B795" s="76" t="s">
        <v>54</v>
      </c>
      <c r="C795" s="76">
        <v>2003</v>
      </c>
      <c r="D795" s="76" t="str">
        <f t="shared" ref="D795:D804" si="63">LEFT(F795,4)</f>
        <v>A03N</v>
      </c>
      <c r="E795" s="76" t="s">
        <v>65</v>
      </c>
      <c r="F795" s="77" t="s">
        <v>1243</v>
      </c>
      <c r="G795" s="78">
        <v>0.81884893714229312</v>
      </c>
      <c r="H795" s="79"/>
      <c r="I795" s="79"/>
      <c r="J795" s="3" t="str">
        <f t="shared" si="60"/>
        <v/>
      </c>
      <c r="K795" s="10">
        <v>2.9062087186261687E-2</v>
      </c>
      <c r="L795" s="10">
        <v>4.2723631508678306E-2</v>
      </c>
      <c r="M795" s="10">
        <v>7.4866310160427885E-2</v>
      </c>
      <c r="N795" s="10">
        <v>3.4136546184738936E-2</v>
      </c>
      <c r="O795" s="10">
        <v>5.2500000000000657E-2</v>
      </c>
      <c r="P795" s="10">
        <v>-1.0000000000002229E-2</v>
      </c>
      <c r="Q795" s="10">
        <v>-0.28749999999999998</v>
      </c>
      <c r="R795" s="10">
        <v>-0.99249999999999827</v>
      </c>
      <c r="S795" s="10">
        <v>-0.99500000000000166</v>
      </c>
      <c r="T795" s="10">
        <v>-1</v>
      </c>
    </row>
    <row r="796" spans="1:20" x14ac:dyDescent="0.25">
      <c r="A796" s="76">
        <v>3</v>
      </c>
      <c r="B796" s="76" t="s">
        <v>54</v>
      </c>
      <c r="C796" s="76">
        <v>2003</v>
      </c>
      <c r="D796" s="76" t="str">
        <f t="shared" si="63"/>
        <v>A03N</v>
      </c>
      <c r="E796" s="76" t="s">
        <v>65</v>
      </c>
      <c r="F796" s="77" t="s">
        <v>1244</v>
      </c>
      <c r="G796" s="78">
        <v>0.88186782447247747</v>
      </c>
      <c r="H796" s="79"/>
      <c r="I796" s="79"/>
      <c r="J796" s="3" t="str">
        <f t="shared" si="60"/>
        <v/>
      </c>
      <c r="K796" s="10">
        <v>-1.9815059445177363E-3</v>
      </c>
      <c r="L796" s="10">
        <v>-8.0106809078778207E-3</v>
      </c>
      <c r="M796" s="10">
        <v>-1.7379679144384985E-2</v>
      </c>
      <c r="N796" s="10">
        <v>-2.2088353413654449E-2</v>
      </c>
      <c r="O796" s="10">
        <v>-4.9999999999983391E-3</v>
      </c>
      <c r="P796" s="10">
        <v>1.2499999999999956E-2</v>
      </c>
      <c r="Q796" s="10">
        <v>2.4999999999999911E-2</v>
      </c>
      <c r="R796" s="10">
        <v>-3.5000000000002252E-2</v>
      </c>
      <c r="S796" s="10">
        <v>-0.98999999999999777</v>
      </c>
      <c r="T796" s="10">
        <v>-1</v>
      </c>
    </row>
    <row r="797" spans="1:20" x14ac:dyDescent="0.25">
      <c r="A797" s="76">
        <v>3</v>
      </c>
      <c r="B797" s="76" t="s">
        <v>54</v>
      </c>
      <c r="C797" s="76">
        <v>2003</v>
      </c>
      <c r="D797" s="76" t="str">
        <f t="shared" si="63"/>
        <v>A03N</v>
      </c>
      <c r="E797" s="76" t="s">
        <v>65</v>
      </c>
      <c r="F797" s="77" t="s">
        <v>1245</v>
      </c>
      <c r="G797" s="78">
        <v>0.72923237205763236</v>
      </c>
      <c r="H797" s="79"/>
      <c r="I797" s="79"/>
      <c r="J797" s="3" t="str">
        <f t="shared" si="60"/>
        <v/>
      </c>
      <c r="K797" s="10">
        <v>-2.9722589167767266E-2</v>
      </c>
      <c r="L797" s="10">
        <v>2.6702269692923553E-2</v>
      </c>
      <c r="M797" s="10">
        <v>-6.0828877005347559E-2</v>
      </c>
      <c r="N797" s="10">
        <v>-2.4765729585006446E-2</v>
      </c>
      <c r="O797" s="10">
        <v>-3.0000000000001137E-2</v>
      </c>
      <c r="P797" s="10">
        <v>-0.1875</v>
      </c>
      <c r="Q797" s="10">
        <v>-0.46500000000000052</v>
      </c>
      <c r="R797" s="10">
        <v>-0.94499999999999884</v>
      </c>
      <c r="S797" s="10">
        <v>-0.99250000000000116</v>
      </c>
      <c r="T797" s="10">
        <v>-1</v>
      </c>
    </row>
    <row r="798" spans="1:20" x14ac:dyDescent="0.25">
      <c r="A798" s="76">
        <v>3</v>
      </c>
      <c r="B798" s="76" t="s">
        <v>54</v>
      </c>
      <c r="C798" s="76">
        <v>2003</v>
      </c>
      <c r="D798" s="76" t="str">
        <f t="shared" si="63"/>
        <v>A03N</v>
      </c>
      <c r="E798" s="76" t="s">
        <v>65</v>
      </c>
      <c r="F798" s="77" t="s">
        <v>1246</v>
      </c>
      <c r="G798" s="78">
        <v>0.89443712032286393</v>
      </c>
      <c r="H798" s="79"/>
      <c r="I798" s="79"/>
      <c r="J798" s="3" t="str">
        <f t="shared" si="60"/>
        <v/>
      </c>
      <c r="K798" s="10">
        <v>-1.9815059445185135E-3</v>
      </c>
      <c r="L798" s="10">
        <v>9.3457943925234765E-3</v>
      </c>
      <c r="M798" s="10">
        <v>-2.807486631016054E-2</v>
      </c>
      <c r="N798" s="10">
        <v>-2.0080321285140368E-2</v>
      </c>
      <c r="O798" s="10">
        <v>1.2499999999999956E-2</v>
      </c>
      <c r="P798" s="10">
        <v>2.999999999999825E-2</v>
      </c>
      <c r="Q798" s="10">
        <v>4.2500000000001092E-2</v>
      </c>
      <c r="R798" s="10">
        <v>7.4999999999989519E-3</v>
      </c>
      <c r="S798" s="10">
        <v>-0.99499999999999889</v>
      </c>
      <c r="T798" s="10">
        <v>-1</v>
      </c>
    </row>
    <row r="799" spans="1:20" x14ac:dyDescent="0.25">
      <c r="A799" s="76">
        <v>3</v>
      </c>
      <c r="B799" s="76" t="s">
        <v>54</v>
      </c>
      <c r="C799" s="76">
        <v>2003</v>
      </c>
      <c r="D799" s="76" t="str">
        <f t="shared" si="63"/>
        <v>A03N</v>
      </c>
      <c r="E799" s="76" t="s">
        <v>65</v>
      </c>
      <c r="F799" s="77" t="s">
        <v>1247</v>
      </c>
      <c r="G799" s="78">
        <v>0.88200275070711776</v>
      </c>
      <c r="H799" s="79"/>
      <c r="I799" s="79"/>
      <c r="J799" s="3" t="str">
        <f t="shared" si="60"/>
        <v/>
      </c>
      <c r="K799" s="10">
        <v>1.9815059445174033E-3</v>
      </c>
      <c r="L799" s="10">
        <v>5.3404539385855099E-3</v>
      </c>
      <c r="M799" s="10">
        <v>-6.6844919786090973E-4</v>
      </c>
      <c r="N799" s="10">
        <v>-9.9920072216264089E-16</v>
      </c>
      <c r="O799" s="10">
        <v>1.5000000000003455E-2</v>
      </c>
      <c r="P799" s="10">
        <v>1.2499999999999956E-2</v>
      </c>
      <c r="Q799" s="10">
        <v>-1.5000000000003455E-2</v>
      </c>
      <c r="R799" s="10">
        <v>-0.12749999999999773</v>
      </c>
      <c r="S799" s="10">
        <v>-0.99250000000000116</v>
      </c>
      <c r="T799" s="10">
        <v>-1</v>
      </c>
    </row>
    <row r="800" spans="1:20" x14ac:dyDescent="0.25">
      <c r="A800" s="76">
        <v>3</v>
      </c>
      <c r="B800" s="76" t="s">
        <v>54</v>
      </c>
      <c r="C800" s="76">
        <v>2003</v>
      </c>
      <c r="D800" s="76" t="str">
        <f t="shared" si="63"/>
        <v>A03N</v>
      </c>
      <c r="E800" s="76" t="s">
        <v>65</v>
      </c>
      <c r="F800" s="77" t="s">
        <v>1248</v>
      </c>
      <c r="G800" s="78">
        <v>0.88954539684490974</v>
      </c>
      <c r="H800" s="79"/>
      <c r="I800" s="79"/>
      <c r="J800" s="3" t="str">
        <f t="shared" si="60"/>
        <v/>
      </c>
      <c r="K800" s="10">
        <v>9.2470277410843238E-3</v>
      </c>
      <c r="L800" s="10">
        <v>8.0106809078770436E-3</v>
      </c>
      <c r="M800" s="10">
        <v>9.3582887700536244E-3</v>
      </c>
      <c r="N800" s="10">
        <v>5.3547523427028842E-3</v>
      </c>
      <c r="O800" s="10">
        <v>2.0000000000004459E-2</v>
      </c>
      <c r="P800" s="10">
        <v>2.4999999999999911E-2</v>
      </c>
      <c r="Q800" s="10">
        <v>-2.5000000000033884E-3</v>
      </c>
      <c r="R800" s="10">
        <v>-0.11750000000000116</v>
      </c>
      <c r="S800" s="10">
        <v>-0.98999999999999777</v>
      </c>
      <c r="T800" s="10">
        <v>-1</v>
      </c>
    </row>
    <row r="801" spans="1:23" x14ac:dyDescent="0.25">
      <c r="A801" s="76">
        <v>3</v>
      </c>
      <c r="B801" s="76" t="s">
        <v>54</v>
      </c>
      <c r="C801" s="76">
        <v>2003</v>
      </c>
      <c r="D801" s="76" t="str">
        <f t="shared" si="63"/>
        <v>A03N</v>
      </c>
      <c r="E801" s="76" t="s">
        <v>65</v>
      </c>
      <c r="F801" s="77" t="s">
        <v>1249</v>
      </c>
      <c r="G801" s="78">
        <v>0.8949952956141578</v>
      </c>
      <c r="H801" s="79"/>
      <c r="I801" s="79"/>
      <c r="J801" s="3" t="str">
        <f t="shared" si="60"/>
        <v/>
      </c>
      <c r="K801" s="10">
        <v>-2.509907529722577E-2</v>
      </c>
      <c r="L801" s="10">
        <v>-2.4032042723632019E-2</v>
      </c>
      <c r="M801" s="10">
        <v>-2.0721925133689756E-2</v>
      </c>
      <c r="N801" s="10">
        <v>-1.6064257028112539E-2</v>
      </c>
      <c r="O801" s="10">
        <v>5.0000000000012257E-3</v>
      </c>
      <c r="P801" s="10">
        <v>3.2499999999998863E-2</v>
      </c>
      <c r="Q801" s="10">
        <v>4.7500000000002318E-2</v>
      </c>
      <c r="R801" s="10">
        <v>4.7500000000002318E-2</v>
      </c>
      <c r="S801" s="10">
        <v>-0.99500000000000455</v>
      </c>
      <c r="T801" s="10">
        <v>-1</v>
      </c>
    </row>
    <row r="802" spans="1:23" x14ac:dyDescent="0.25">
      <c r="A802" s="76">
        <v>3</v>
      </c>
      <c r="B802" s="76" t="s">
        <v>54</v>
      </c>
      <c r="C802" s="76">
        <v>2003</v>
      </c>
      <c r="D802" s="76" t="str">
        <f t="shared" si="63"/>
        <v>A03N</v>
      </c>
      <c r="E802" s="76" t="s">
        <v>65</v>
      </c>
      <c r="F802" s="77" t="s">
        <v>1250</v>
      </c>
      <c r="G802" s="78">
        <v>0.82064104560547591</v>
      </c>
      <c r="H802" s="79"/>
      <c r="I802" s="79"/>
      <c r="J802" s="3" t="str">
        <f t="shared" si="60"/>
        <v/>
      </c>
      <c r="K802" s="10">
        <v>1.2549537648612663E-2</v>
      </c>
      <c r="L802" s="10">
        <v>1.6021361815754531E-2</v>
      </c>
      <c r="M802" s="10">
        <v>1.136363636363602E-2</v>
      </c>
      <c r="N802" s="10">
        <v>1.004016064257085E-2</v>
      </c>
      <c r="O802" s="10">
        <v>3.4999999999996589E-2</v>
      </c>
      <c r="P802" s="10">
        <v>-2.5000000000000022E-2</v>
      </c>
      <c r="Q802" s="10">
        <v>-0.43499999999999661</v>
      </c>
      <c r="R802" s="10">
        <v>-0.56500000000000339</v>
      </c>
      <c r="S802" s="10">
        <v>-0.98750000000000004</v>
      </c>
      <c r="T802" s="10">
        <v>-1</v>
      </c>
    </row>
    <row r="803" spans="1:23" x14ac:dyDescent="0.25">
      <c r="A803" s="76">
        <v>3</v>
      </c>
      <c r="B803" s="76" t="s">
        <v>54</v>
      </c>
      <c r="C803" s="76">
        <v>2003</v>
      </c>
      <c r="D803" s="76" t="str">
        <f t="shared" si="63"/>
        <v>A03N</v>
      </c>
      <c r="E803" s="76" t="s">
        <v>65</v>
      </c>
      <c r="F803" s="77" t="s">
        <v>1251</v>
      </c>
      <c r="G803" s="78">
        <v>0</v>
      </c>
      <c r="H803" s="79"/>
      <c r="I803" s="79"/>
      <c r="J803" s="3" t="str">
        <f t="shared" si="60"/>
        <v/>
      </c>
      <c r="K803" s="10">
        <v>-1</v>
      </c>
      <c r="L803" s="10">
        <v>-1</v>
      </c>
      <c r="M803" s="10">
        <v>-1</v>
      </c>
      <c r="N803" s="10">
        <v>-1</v>
      </c>
      <c r="O803" s="10">
        <v>-1</v>
      </c>
      <c r="P803" s="10">
        <v>-1</v>
      </c>
      <c r="Q803" s="10">
        <v>-1</v>
      </c>
      <c r="R803" s="10">
        <v>-1</v>
      </c>
      <c r="S803" s="10">
        <v>-1</v>
      </c>
      <c r="T803" s="10">
        <v>-1</v>
      </c>
    </row>
    <row r="804" spans="1:23" x14ac:dyDescent="0.25">
      <c r="A804" s="76">
        <v>3</v>
      </c>
      <c r="B804" s="76" t="s">
        <v>54</v>
      </c>
      <c r="C804" s="76">
        <v>2003</v>
      </c>
      <c r="D804" s="76" t="str">
        <f t="shared" si="63"/>
        <v>A03N</v>
      </c>
      <c r="E804" s="76" t="s">
        <v>65</v>
      </c>
      <c r="F804" s="77" t="s">
        <v>1252</v>
      </c>
      <c r="G804" s="78">
        <v>0.84833232339280795</v>
      </c>
      <c r="H804" s="79"/>
      <c r="I804" s="79"/>
      <c r="J804" s="3" t="str">
        <f t="shared" si="60"/>
        <v/>
      </c>
      <c r="K804" s="10">
        <v>-7.2655217965653662E-3</v>
      </c>
      <c r="L804" s="10">
        <v>8.6782376502003711E-3</v>
      </c>
      <c r="M804" s="10">
        <v>-1.7379679144384985E-2</v>
      </c>
      <c r="N804" s="10">
        <v>-9.3708165997322679E-3</v>
      </c>
      <c r="O804" s="10">
        <v>9.9999999999993427E-3</v>
      </c>
      <c r="P804" s="10">
        <v>-5.0000000000011147E-3</v>
      </c>
      <c r="Q804" s="10">
        <v>-0.10749999999999882</v>
      </c>
      <c r="R804" s="10">
        <v>-0.41249999999999998</v>
      </c>
      <c r="S804" s="10">
        <v>-0.99000000000000055</v>
      </c>
      <c r="T804" s="10">
        <v>-1</v>
      </c>
    </row>
    <row r="805" spans="1:23" x14ac:dyDescent="0.25">
      <c r="A805" s="76">
        <v>3</v>
      </c>
      <c r="B805" s="76" t="s">
        <v>54</v>
      </c>
      <c r="C805" s="76">
        <v>2007</v>
      </c>
      <c r="D805" s="76" t="str">
        <f t="shared" ref="D805:D811" si="64">LEFT(F805,4)</f>
        <v>A07S</v>
      </c>
      <c r="E805" s="76" t="s">
        <v>96</v>
      </c>
      <c r="F805" s="77" t="s">
        <v>338</v>
      </c>
      <c r="G805" s="78">
        <v>0.81763649633649071</v>
      </c>
      <c r="H805" s="79">
        <v>39276</v>
      </c>
      <c r="I805" s="79">
        <v>41611</v>
      </c>
      <c r="J805" s="3">
        <f t="shared" si="60"/>
        <v>6</v>
      </c>
    </row>
    <row r="806" spans="1:23" x14ac:dyDescent="0.25">
      <c r="A806" s="76">
        <v>3</v>
      </c>
      <c r="B806" s="76" t="s">
        <v>54</v>
      </c>
      <c r="C806" s="76">
        <v>2007</v>
      </c>
      <c r="D806" s="76" t="str">
        <f t="shared" si="64"/>
        <v>A07S</v>
      </c>
      <c r="E806" s="76" t="s">
        <v>96</v>
      </c>
      <c r="F806" s="77" t="s">
        <v>339</v>
      </c>
      <c r="G806" s="78">
        <v>0.72595533819853908</v>
      </c>
      <c r="H806" s="79">
        <v>39336</v>
      </c>
      <c r="I806" s="79">
        <v>41604</v>
      </c>
      <c r="J806" s="3">
        <f t="shared" si="60"/>
        <v>6</v>
      </c>
    </row>
    <row r="807" spans="1:23" x14ac:dyDescent="0.25">
      <c r="A807" s="76">
        <v>3</v>
      </c>
      <c r="B807" s="76" t="s">
        <v>54</v>
      </c>
      <c r="C807" s="76">
        <v>2007</v>
      </c>
      <c r="D807" s="76" t="str">
        <f t="shared" si="64"/>
        <v>A07S</v>
      </c>
      <c r="E807" s="76" t="s">
        <v>96</v>
      </c>
      <c r="F807" s="77" t="s">
        <v>340</v>
      </c>
      <c r="G807" s="78">
        <v>0.79606262176637044</v>
      </c>
      <c r="H807" s="79">
        <v>39287</v>
      </c>
      <c r="I807" s="79">
        <v>41647</v>
      </c>
      <c r="J807" s="3">
        <f t="shared" si="60"/>
        <v>7</v>
      </c>
    </row>
    <row r="808" spans="1:23" x14ac:dyDescent="0.25">
      <c r="A808" s="76">
        <v>3</v>
      </c>
      <c r="B808" s="76" t="s">
        <v>54</v>
      </c>
      <c r="C808" s="76">
        <v>2007</v>
      </c>
      <c r="D808" s="76" t="str">
        <f t="shared" si="64"/>
        <v>A07S</v>
      </c>
      <c r="E808" s="76" t="s">
        <v>96</v>
      </c>
      <c r="F808" s="77" t="s">
        <v>341</v>
      </c>
      <c r="G808" s="78">
        <v>0.50410076000000004</v>
      </c>
      <c r="H808" s="79"/>
      <c r="I808" s="79"/>
      <c r="J808" s="3" t="str">
        <f t="shared" si="60"/>
        <v/>
      </c>
    </row>
    <row r="809" spans="1:23" x14ac:dyDescent="0.25">
      <c r="A809" s="76">
        <v>3</v>
      </c>
      <c r="B809" s="76" t="s">
        <v>54</v>
      </c>
      <c r="C809" s="76">
        <v>2007</v>
      </c>
      <c r="D809" s="76" t="str">
        <f t="shared" si="64"/>
        <v>A07S</v>
      </c>
      <c r="E809" s="76" t="s">
        <v>96</v>
      </c>
      <c r="F809" s="77" t="s">
        <v>342</v>
      </c>
      <c r="G809" s="78">
        <v>0.90449468999999982</v>
      </c>
      <c r="H809" s="79">
        <v>39152</v>
      </c>
      <c r="I809" s="79">
        <v>41346</v>
      </c>
      <c r="J809" s="3">
        <f t="shared" si="60"/>
        <v>6</v>
      </c>
    </row>
    <row r="810" spans="1:23" x14ac:dyDescent="0.25">
      <c r="A810" s="76">
        <v>3</v>
      </c>
      <c r="B810" s="76" t="s">
        <v>54</v>
      </c>
      <c r="C810" s="76">
        <v>2007</v>
      </c>
      <c r="D810" s="76" t="str">
        <f t="shared" si="64"/>
        <v>A07S</v>
      </c>
      <c r="E810" s="76" t="s">
        <v>96</v>
      </c>
      <c r="F810" s="77" t="s">
        <v>575</v>
      </c>
      <c r="G810" s="78">
        <v>0.91541840799022633</v>
      </c>
      <c r="H810" s="79">
        <v>39382</v>
      </c>
      <c r="I810" s="79">
        <v>42259</v>
      </c>
      <c r="J810" s="3">
        <f t="shared" si="60"/>
        <v>8</v>
      </c>
      <c r="K810" s="10">
        <v>1.0781671159025841E-3</v>
      </c>
      <c r="L810" s="10">
        <v>1.8941504178274116E-2</v>
      </c>
      <c r="M810" s="10">
        <v>1.6434540389970387E-2</v>
      </c>
      <c r="N810" s="10">
        <v>1.6713091922005541E-2</v>
      </c>
      <c r="O810" s="10">
        <v>6.4837905236911908E-3</v>
      </c>
      <c r="P810" s="10">
        <v>4.5158053186142855E-3</v>
      </c>
      <c r="Q810" s="10">
        <v>-3.2128514056226298E-2</v>
      </c>
      <c r="R810" s="10">
        <v>-6.0301507537688925E-2</v>
      </c>
      <c r="S810" s="10">
        <v>-0.56482412060301379</v>
      </c>
      <c r="T810" s="10">
        <v>-1</v>
      </c>
      <c r="U810" s="1">
        <v>3412</v>
      </c>
      <c r="W810" s="1">
        <v>934895</v>
      </c>
    </row>
    <row r="811" spans="1:23" x14ac:dyDescent="0.25">
      <c r="A811" s="76">
        <v>3</v>
      </c>
      <c r="B811" s="76" t="s">
        <v>54</v>
      </c>
      <c r="C811" s="76">
        <v>2007</v>
      </c>
      <c r="D811" s="76" t="str">
        <f t="shared" si="64"/>
        <v>A07S</v>
      </c>
      <c r="E811" s="76" t="s">
        <v>96</v>
      </c>
      <c r="F811" s="77" t="s">
        <v>581</v>
      </c>
      <c r="G811" s="78">
        <v>0.88532909371173507</v>
      </c>
      <c r="H811" s="79">
        <v>39396</v>
      </c>
      <c r="I811" s="79">
        <v>42259</v>
      </c>
      <c r="J811" s="3">
        <f t="shared" si="60"/>
        <v>8</v>
      </c>
      <c r="K811" s="10">
        <v>-1.5902964959568999E-2</v>
      </c>
      <c r="L811" s="10">
        <v>2.2204460492503131E-16</v>
      </c>
      <c r="M811" s="10">
        <v>3.6211699164354627E-3</v>
      </c>
      <c r="N811" s="10">
        <v>2.7855153203342198E-3</v>
      </c>
      <c r="O811" s="10">
        <v>-2.443890274313909E-2</v>
      </c>
      <c r="P811" s="10">
        <v>-3.6628198695431768E-2</v>
      </c>
      <c r="Q811" s="10">
        <v>-6.8273092369474986E-2</v>
      </c>
      <c r="R811" s="10">
        <v>-0.11658291457286218</v>
      </c>
      <c r="S811" s="10">
        <v>-0.60201005025125831</v>
      </c>
      <c r="T811" s="10">
        <v>-1</v>
      </c>
      <c r="U811" s="36">
        <v>2607</v>
      </c>
      <c r="W811" s="1">
        <v>933147</v>
      </c>
    </row>
    <row r="812" spans="1:23" x14ac:dyDescent="0.25">
      <c r="A812" s="76">
        <v>3</v>
      </c>
      <c r="B812" s="76" t="s">
        <v>54</v>
      </c>
      <c r="C812" s="76">
        <v>2007</v>
      </c>
      <c r="D812" s="76" t="str">
        <f t="shared" ref="D812:D819" si="65">LEFT(F812,4)</f>
        <v>A07S</v>
      </c>
      <c r="E812" s="76" t="s">
        <v>96</v>
      </c>
      <c r="F812" s="77" t="s">
        <v>1063</v>
      </c>
      <c r="G812" s="78">
        <v>0.84352502726433209</v>
      </c>
      <c r="H812" s="79">
        <v>39387</v>
      </c>
      <c r="I812" s="79">
        <v>42461</v>
      </c>
      <c r="J812" s="3">
        <f t="shared" si="60"/>
        <v>9</v>
      </c>
      <c r="K812" s="10">
        <v>-7.9054054054054412E-2</v>
      </c>
      <c r="L812" s="10">
        <v>-4.9092131809010731E-2</v>
      </c>
      <c r="M812" s="10">
        <v>-1.2211668928087449E-2</v>
      </c>
      <c r="N812" s="10">
        <v>-1.4945652173912971E-2</v>
      </c>
      <c r="O812" s="10">
        <v>2.5000000000034994E-3</v>
      </c>
      <c r="P812" s="10">
        <v>0</v>
      </c>
      <c r="Q812" s="10">
        <v>-0.20750000000000457</v>
      </c>
      <c r="R812" s="10">
        <v>-0.64499999999999891</v>
      </c>
      <c r="S812" s="10">
        <v>-0.99499999999999889</v>
      </c>
      <c r="T812" s="10">
        <v>-1</v>
      </c>
      <c r="U812" s="1">
        <v>2049</v>
      </c>
      <c r="W812" s="1">
        <v>1604872</v>
      </c>
    </row>
    <row r="813" spans="1:23" x14ac:dyDescent="0.25">
      <c r="A813" s="76">
        <v>3</v>
      </c>
      <c r="B813" s="76" t="s">
        <v>54</v>
      </c>
      <c r="C813" s="76">
        <v>2007</v>
      </c>
      <c r="D813" s="76" t="str">
        <f t="shared" si="65"/>
        <v>A07S</v>
      </c>
      <c r="E813" s="76" t="s">
        <v>96</v>
      </c>
      <c r="F813" s="77" t="s">
        <v>1064</v>
      </c>
      <c r="G813" s="78">
        <v>0.73885134855853618</v>
      </c>
      <c r="H813" s="79"/>
      <c r="I813" s="79"/>
      <c r="J813" s="3" t="str">
        <f t="shared" si="60"/>
        <v/>
      </c>
      <c r="K813" s="10">
        <v>-5.6756756756755844E-2</v>
      </c>
      <c r="L813" s="10">
        <v>-6.3214525891056028E-2</v>
      </c>
      <c r="M813" s="10">
        <v>-4.8168249660787366E-2</v>
      </c>
      <c r="N813" s="10">
        <v>-6.5217391304348005E-2</v>
      </c>
      <c r="O813" s="10">
        <v>-5.0000000000000044E-2</v>
      </c>
      <c r="P813" s="10">
        <v>-3.0000000000000471E-2</v>
      </c>
      <c r="Q813" s="10">
        <v>-0.64499999999999957</v>
      </c>
      <c r="R813" s="10">
        <v>-0.99500000000000033</v>
      </c>
      <c r="S813" s="10">
        <v>-0.99499999999999955</v>
      </c>
      <c r="T813" s="10">
        <v>-1</v>
      </c>
    </row>
    <row r="814" spans="1:23" x14ac:dyDescent="0.25">
      <c r="A814" s="76">
        <v>3</v>
      </c>
      <c r="B814" s="76" t="s">
        <v>54</v>
      </c>
      <c r="C814" s="76">
        <v>2007</v>
      </c>
      <c r="D814" s="76" t="str">
        <f t="shared" si="65"/>
        <v>A07S</v>
      </c>
      <c r="E814" s="76" t="s">
        <v>96</v>
      </c>
      <c r="F814" s="77" t="s">
        <v>1065</v>
      </c>
      <c r="G814" s="78">
        <v>0.9314972989255883</v>
      </c>
      <c r="H814" s="79">
        <v>39384</v>
      </c>
      <c r="I814" s="79">
        <v>42464</v>
      </c>
      <c r="J814" s="3">
        <f t="shared" si="60"/>
        <v>9</v>
      </c>
      <c r="K814" s="10">
        <v>-8.2432432432432701E-2</v>
      </c>
      <c r="L814" s="10">
        <v>2.0174848688636615E-3</v>
      </c>
      <c r="M814" s="10">
        <v>6.6613381477509392E-16</v>
      </c>
      <c r="N814" s="10">
        <v>1.9021739130434812E-2</v>
      </c>
      <c r="O814" s="10">
        <v>5.0000000000000044E-2</v>
      </c>
      <c r="P814" s="10">
        <v>2.4999999999999911E-2</v>
      </c>
      <c r="Q814" s="10">
        <v>2.4999999999977263E-3</v>
      </c>
      <c r="R814" s="10">
        <v>-0.11750000000000116</v>
      </c>
      <c r="S814" s="10">
        <v>-0.99499999999999889</v>
      </c>
      <c r="T814" s="10">
        <v>-1</v>
      </c>
      <c r="U814" s="1">
        <v>2187</v>
      </c>
      <c r="W814" s="1">
        <v>5262216</v>
      </c>
    </row>
    <row r="815" spans="1:23" x14ac:dyDescent="0.25">
      <c r="A815" s="76">
        <v>3</v>
      </c>
      <c r="B815" s="76" t="s">
        <v>54</v>
      </c>
      <c r="C815" s="76">
        <v>2007</v>
      </c>
      <c r="D815" s="76" t="str">
        <f t="shared" si="65"/>
        <v>A07S</v>
      </c>
      <c r="E815" s="76" t="s">
        <v>96</v>
      </c>
      <c r="F815" s="77" t="s">
        <v>1066</v>
      </c>
      <c r="G815" s="78">
        <v>0.89825607962849918</v>
      </c>
      <c r="H815" s="79">
        <v>39290</v>
      </c>
      <c r="I815" s="79">
        <v>42460</v>
      </c>
      <c r="J815" s="3">
        <f t="shared" si="60"/>
        <v>9</v>
      </c>
      <c r="K815" s="10">
        <v>-0.1040540540540531</v>
      </c>
      <c r="L815" s="10">
        <v>-4.9092131809012285E-2</v>
      </c>
      <c r="M815" s="10">
        <v>1.4925373134329289E-2</v>
      </c>
      <c r="N815" s="10">
        <v>-1.2907608695652439E-2</v>
      </c>
      <c r="O815" s="10">
        <v>-3.5000000000002252E-2</v>
      </c>
      <c r="P815" s="10">
        <v>3.2500000000004636E-2</v>
      </c>
      <c r="Q815" s="10">
        <v>4.9999999999954525E-3</v>
      </c>
      <c r="R815" s="10">
        <v>-0.25499999999999545</v>
      </c>
      <c r="S815" s="10">
        <v>-0.99000000000000343</v>
      </c>
      <c r="T815" s="10">
        <v>-1</v>
      </c>
      <c r="U815" s="1">
        <v>2072</v>
      </c>
      <c r="W815" s="1">
        <v>1556771</v>
      </c>
    </row>
    <row r="816" spans="1:23" x14ac:dyDescent="0.25">
      <c r="A816" s="76">
        <v>3</v>
      </c>
      <c r="B816" s="76" t="s">
        <v>54</v>
      </c>
      <c r="C816" s="76">
        <v>2007</v>
      </c>
      <c r="D816" s="76" t="str">
        <f t="shared" si="65"/>
        <v>A07S</v>
      </c>
      <c r="E816" s="76" t="s">
        <v>96</v>
      </c>
      <c r="F816" s="77" t="s">
        <v>1067</v>
      </c>
      <c r="G816" s="78">
        <v>0.85051230516210075</v>
      </c>
      <c r="H816" s="79">
        <v>39382</v>
      </c>
      <c r="I816" s="79">
        <v>42460</v>
      </c>
      <c r="J816" s="3">
        <f t="shared" si="60"/>
        <v>9</v>
      </c>
      <c r="K816" s="10">
        <v>-3.1081081081081097E-2</v>
      </c>
      <c r="L816" s="10">
        <v>-4.7074646940147957E-2</v>
      </c>
      <c r="M816" s="10">
        <v>-4.1383989145183153E-2</v>
      </c>
      <c r="N816" s="10">
        <v>-4.8233695652173725E-2</v>
      </c>
      <c r="O816" s="10">
        <v>-3.0000000000001137E-2</v>
      </c>
      <c r="P816" s="10">
        <v>-6.7499999999998339E-2</v>
      </c>
      <c r="Q816" s="10">
        <v>-0.11500000000000055</v>
      </c>
      <c r="R816" s="10">
        <v>-0.35500000000000109</v>
      </c>
      <c r="S816" s="10">
        <v>-0.99000000000000055</v>
      </c>
      <c r="T816" s="10">
        <v>-1</v>
      </c>
      <c r="U816" s="1">
        <v>1859</v>
      </c>
      <c r="W816" s="1">
        <v>5268516</v>
      </c>
    </row>
    <row r="817" spans="1:23" x14ac:dyDescent="0.25">
      <c r="A817" s="76">
        <v>3</v>
      </c>
      <c r="B817" s="76" t="s">
        <v>54</v>
      </c>
      <c r="C817" s="76">
        <v>2007</v>
      </c>
      <c r="D817" s="76" t="str">
        <f t="shared" si="65"/>
        <v>A07S</v>
      </c>
      <c r="E817" s="76" t="s">
        <v>96</v>
      </c>
      <c r="F817" s="77" t="s">
        <v>1068</v>
      </c>
      <c r="G817" s="78">
        <v>0.85249800866700065</v>
      </c>
      <c r="H817" s="79">
        <v>39378</v>
      </c>
      <c r="I817" s="79">
        <v>42464</v>
      </c>
      <c r="J817" s="3">
        <f t="shared" si="60"/>
        <v>9</v>
      </c>
      <c r="K817" s="10">
        <v>-0.1540540540540537</v>
      </c>
      <c r="L817" s="10">
        <v>-3.5642232683254726E-2</v>
      </c>
      <c r="M817" s="10">
        <v>-3.1207598371777667E-2</v>
      </c>
      <c r="N817" s="10">
        <v>-3.872282608695643E-2</v>
      </c>
      <c r="O817" s="10">
        <v>-2.7499999999999192E-2</v>
      </c>
      <c r="P817" s="10">
        <v>-8.0000000000001181E-2</v>
      </c>
      <c r="Q817" s="10">
        <v>-9.4999999999998863E-2</v>
      </c>
      <c r="R817" s="10">
        <v>-0.27750000000000052</v>
      </c>
      <c r="S817" s="10">
        <v>-0.99499999999999889</v>
      </c>
      <c r="T817" s="10">
        <v>-1</v>
      </c>
      <c r="U817" s="1">
        <v>1251</v>
      </c>
      <c r="W817" s="1">
        <v>3252671</v>
      </c>
    </row>
    <row r="818" spans="1:23" x14ac:dyDescent="0.25">
      <c r="A818" s="76">
        <v>3</v>
      </c>
      <c r="B818" s="76" t="s">
        <v>54</v>
      </c>
      <c r="C818" s="76">
        <v>2007</v>
      </c>
      <c r="D818" s="76" t="str">
        <f t="shared" si="65"/>
        <v>A07S</v>
      </c>
      <c r="E818" s="76" t="s">
        <v>96</v>
      </c>
      <c r="F818" s="77" t="s">
        <v>1069</v>
      </c>
      <c r="G818" s="78">
        <v>0.80278574595895758</v>
      </c>
      <c r="H818" s="79">
        <v>39386</v>
      </c>
      <c r="I818" s="79">
        <v>42460</v>
      </c>
      <c r="J818" s="3">
        <f t="shared" si="60"/>
        <v>9</v>
      </c>
      <c r="K818" s="10">
        <v>-9.2567567567567122E-2</v>
      </c>
      <c r="L818" s="10">
        <v>-5.1782111634162686E-2</v>
      </c>
      <c r="M818" s="10">
        <v>-5.6309362279512221E-2</v>
      </c>
      <c r="N818" s="10">
        <v>1.0869565217391131E-2</v>
      </c>
      <c r="O818" s="10">
        <v>-3.7499999999999978E-2</v>
      </c>
      <c r="P818" s="10">
        <v>-9.2499999999995475E-2</v>
      </c>
      <c r="Q818" s="10">
        <v>-0.34750000000000225</v>
      </c>
      <c r="R818" s="10">
        <v>-0.51499999999999768</v>
      </c>
      <c r="S818" s="10">
        <v>-0.99000000000000343</v>
      </c>
      <c r="T818" s="10">
        <v>-1</v>
      </c>
      <c r="U818" s="1">
        <v>388</v>
      </c>
      <c r="W818" s="1">
        <v>5268028</v>
      </c>
    </row>
    <row r="819" spans="1:23" x14ac:dyDescent="0.25">
      <c r="A819" s="76">
        <v>3</v>
      </c>
      <c r="B819" s="76" t="s">
        <v>54</v>
      </c>
      <c r="C819" s="76">
        <v>2007</v>
      </c>
      <c r="D819" s="76" t="str">
        <f t="shared" si="65"/>
        <v>A07S</v>
      </c>
      <c r="E819" s="76" t="s">
        <v>96</v>
      </c>
      <c r="F819" s="77" t="s">
        <v>1070</v>
      </c>
      <c r="G819" s="78">
        <v>0.88010878073391619</v>
      </c>
      <c r="H819" s="79">
        <v>39350</v>
      </c>
      <c r="I819" s="79">
        <v>42551</v>
      </c>
      <c r="J819" s="3">
        <f t="shared" si="60"/>
        <v>9</v>
      </c>
      <c r="K819" s="10">
        <v>-8.8513513513513331E-2</v>
      </c>
      <c r="L819" s="10">
        <v>-5.9852051109616555E-2</v>
      </c>
      <c r="M819" s="10">
        <v>3.3921302578017176E-3</v>
      </c>
      <c r="N819" s="10">
        <v>-3.7364130434782261E-2</v>
      </c>
      <c r="O819" s="10">
        <v>3.9999999999997815E-2</v>
      </c>
      <c r="P819" s="10">
        <v>-5.0000000000000044E-2</v>
      </c>
      <c r="Q819" s="10">
        <v>-0.11499999999999777</v>
      </c>
      <c r="R819" s="10">
        <v>-0.23000000000000109</v>
      </c>
      <c r="S819" s="10">
        <v>-0.99499999999999889</v>
      </c>
      <c r="T819" s="10">
        <v>-1</v>
      </c>
      <c r="U819" s="1">
        <v>1512</v>
      </c>
      <c r="W819" s="1">
        <v>5185092</v>
      </c>
    </row>
    <row r="820" spans="1:23" x14ac:dyDescent="0.25">
      <c r="A820" s="76">
        <v>3</v>
      </c>
      <c r="B820" s="76" t="s">
        <v>54</v>
      </c>
      <c r="C820" s="76">
        <v>2007</v>
      </c>
      <c r="D820" s="76" t="str">
        <f t="shared" ref="D820:D825" si="66">LEFT(F820,4)</f>
        <v>A075</v>
      </c>
      <c r="E820" s="76" t="s">
        <v>96</v>
      </c>
      <c r="F820" s="77" t="s">
        <v>1071</v>
      </c>
      <c r="G820" s="78">
        <v>0.83146039954007156</v>
      </c>
      <c r="H820" s="79"/>
      <c r="I820" s="79"/>
      <c r="J820" s="3" t="str">
        <f t="shared" si="60"/>
        <v/>
      </c>
      <c r="K820" s="10">
        <v>-0.10052910052910047</v>
      </c>
      <c r="L820" s="10">
        <v>-6.4839572192512684E-2</v>
      </c>
      <c r="M820" s="10">
        <v>-5.0200803212852363E-2</v>
      </c>
      <c r="N820" s="10">
        <v>-5.8981233243967202E-2</v>
      </c>
      <c r="O820" s="10">
        <v>-7.4999999999999956E-2</v>
      </c>
      <c r="P820" s="10">
        <v>-0.12749999999999773</v>
      </c>
      <c r="Q820" s="10">
        <v>-0.12250000000000227</v>
      </c>
      <c r="R820" s="10">
        <v>-0.18000000000000116</v>
      </c>
      <c r="S820" s="10">
        <v>-0.99499999999999889</v>
      </c>
      <c r="T820" s="10">
        <v>-1</v>
      </c>
    </row>
    <row r="821" spans="1:23" x14ac:dyDescent="0.25">
      <c r="A821" s="76">
        <v>3</v>
      </c>
      <c r="B821" s="76" t="s">
        <v>54</v>
      </c>
      <c r="C821" s="76">
        <v>2007</v>
      </c>
      <c r="D821" s="76" t="str">
        <f t="shared" si="66"/>
        <v>A075</v>
      </c>
      <c r="E821" s="76" t="s">
        <v>96</v>
      </c>
      <c r="F821" s="77" t="s">
        <v>1072</v>
      </c>
      <c r="G821" s="78">
        <v>0.87572042183179388</v>
      </c>
      <c r="H821" s="79"/>
      <c r="I821" s="79"/>
      <c r="J821" s="3" t="str">
        <f t="shared" si="60"/>
        <v/>
      </c>
      <c r="K821" s="10">
        <v>-0.10251322751322711</v>
      </c>
      <c r="L821" s="10">
        <v>-5.4144385026737907E-2</v>
      </c>
      <c r="M821" s="10">
        <v>-1.9410977242302563E-2</v>
      </c>
      <c r="N821" s="10">
        <v>-2.1447721179624568E-2</v>
      </c>
      <c r="O821" s="10">
        <v>-1.7500000000001181E-2</v>
      </c>
      <c r="P821" s="10">
        <v>-4.7499999999999987E-2</v>
      </c>
      <c r="Q821" s="10">
        <v>-0.11749999999999994</v>
      </c>
      <c r="R821" s="10">
        <v>-0.10250000000000026</v>
      </c>
      <c r="S821" s="10">
        <v>-0.99499999999999988</v>
      </c>
      <c r="T821" s="10">
        <v>-1</v>
      </c>
    </row>
    <row r="822" spans="1:23" x14ac:dyDescent="0.25">
      <c r="A822" s="76">
        <v>3</v>
      </c>
      <c r="B822" s="76" t="s">
        <v>54</v>
      </c>
      <c r="C822" s="76">
        <v>2007</v>
      </c>
      <c r="D822" s="76" t="str">
        <f t="shared" si="66"/>
        <v>A075</v>
      </c>
      <c r="E822" s="76" t="s">
        <v>96</v>
      </c>
      <c r="F822" s="77" t="s">
        <v>1073</v>
      </c>
      <c r="G822" s="78">
        <v>0.87471813614926774</v>
      </c>
      <c r="H822" s="79"/>
      <c r="I822" s="79"/>
      <c r="J822" s="3" t="str">
        <f t="shared" si="60"/>
        <v/>
      </c>
      <c r="K822" s="10">
        <v>-0.10251322751322867</v>
      </c>
      <c r="L822" s="10">
        <v>-4.0775401069518713E-2</v>
      </c>
      <c r="M822" s="10">
        <v>-2.2088353413653783E-2</v>
      </c>
      <c r="N822" s="10">
        <v>-1.9436997319034699E-2</v>
      </c>
      <c r="O822" s="10">
        <v>-2.5000000000000022E-2</v>
      </c>
      <c r="P822" s="10">
        <v>-3.5000000000000142E-2</v>
      </c>
      <c r="Q822" s="10">
        <v>-5.9999999999999387E-2</v>
      </c>
      <c r="R822" s="10">
        <v>-0.24250000000000116</v>
      </c>
      <c r="S822" s="10">
        <v>-0.99499999999999889</v>
      </c>
      <c r="T822" s="10">
        <v>-1</v>
      </c>
    </row>
    <row r="823" spans="1:23" x14ac:dyDescent="0.25">
      <c r="A823" s="76">
        <v>3</v>
      </c>
      <c r="B823" s="76" t="s">
        <v>54</v>
      </c>
      <c r="C823" s="76">
        <v>2007</v>
      </c>
      <c r="D823" s="76" t="str">
        <f t="shared" si="66"/>
        <v>A075</v>
      </c>
      <c r="E823" s="76" t="s">
        <v>96</v>
      </c>
      <c r="F823" s="77" t="s">
        <v>1074</v>
      </c>
      <c r="G823" s="78">
        <v>0.87187030492937367</v>
      </c>
      <c r="H823" s="79"/>
      <c r="I823" s="79"/>
      <c r="J823" s="3" t="str">
        <f t="shared" si="60"/>
        <v/>
      </c>
      <c r="K823" s="10">
        <v>-0.10052910052910013</v>
      </c>
      <c r="L823" s="10">
        <v>-2.6069518716577922E-2</v>
      </c>
      <c r="M823" s="10">
        <v>-1.6064257028112539E-2</v>
      </c>
      <c r="N823" s="10">
        <v>-4.6916890080428431E-3</v>
      </c>
      <c r="O823" s="10">
        <v>-2.4999999999977263E-3</v>
      </c>
      <c r="P823" s="10">
        <v>2.4999999999977263E-3</v>
      </c>
      <c r="Q823" s="10">
        <v>-8.5000000000002296E-2</v>
      </c>
      <c r="R823" s="10">
        <v>-0.46999999999999886</v>
      </c>
      <c r="S823" s="10">
        <v>-0.99499999999999889</v>
      </c>
      <c r="T823" s="10">
        <v>-1</v>
      </c>
    </row>
    <row r="824" spans="1:23" x14ac:dyDescent="0.25">
      <c r="A824" s="76">
        <v>3</v>
      </c>
      <c r="B824" s="76" t="s">
        <v>54</v>
      </c>
      <c r="C824" s="76">
        <v>2007</v>
      </c>
      <c r="D824" s="76" t="str">
        <f t="shared" si="66"/>
        <v>A075</v>
      </c>
      <c r="E824" s="76" t="s">
        <v>96</v>
      </c>
      <c r="F824" s="77" t="s">
        <v>1075</v>
      </c>
      <c r="G824" s="78">
        <v>0.67337772591604028</v>
      </c>
      <c r="H824" s="79"/>
      <c r="I824" s="79"/>
      <c r="J824" s="3" t="str">
        <f t="shared" si="60"/>
        <v/>
      </c>
      <c r="K824" s="10">
        <v>-7.2751322751323899E-2</v>
      </c>
      <c r="L824" s="10">
        <v>-4.4117647058823484E-2</v>
      </c>
      <c r="M824" s="10">
        <v>-2.4096385542168641E-2</v>
      </c>
      <c r="N824" s="10">
        <v>-6.7024128686327122E-3</v>
      </c>
      <c r="O824" s="10">
        <v>-9.0000000000000524E-2</v>
      </c>
      <c r="P824" s="10">
        <v>-0.37249999999999939</v>
      </c>
      <c r="Q824" s="10">
        <v>-0.49749999999999939</v>
      </c>
      <c r="R824" s="10">
        <v>-0.98000000000000109</v>
      </c>
      <c r="S824" s="10">
        <v>-0.99499999999999889</v>
      </c>
      <c r="T824" s="10">
        <v>-1</v>
      </c>
    </row>
    <row r="825" spans="1:23" x14ac:dyDescent="0.25">
      <c r="A825" s="76">
        <v>3</v>
      </c>
      <c r="B825" s="76" t="s">
        <v>54</v>
      </c>
      <c r="C825" s="76">
        <v>2007</v>
      </c>
      <c r="D825" s="76" t="str">
        <f t="shared" si="66"/>
        <v>A075</v>
      </c>
      <c r="E825" s="76" t="s">
        <v>96</v>
      </c>
      <c r="F825" s="77" t="s">
        <v>1076</v>
      </c>
      <c r="G825" s="78">
        <v>0.88498859663103691</v>
      </c>
      <c r="H825" s="79"/>
      <c r="I825" s="79"/>
      <c r="J825" s="3" t="str">
        <f t="shared" si="60"/>
        <v/>
      </c>
      <c r="K825" s="10">
        <v>4.4408920985006262E-16</v>
      </c>
      <c r="L825" s="10">
        <v>-4.0106951871664576E-3</v>
      </c>
      <c r="M825" s="10">
        <v>-1.2048192771084598E-2</v>
      </c>
      <c r="N825" s="10">
        <v>-1.340482573726498E-2</v>
      </c>
      <c r="O825" s="10">
        <v>-2.000000000000024E-2</v>
      </c>
      <c r="P825" s="10">
        <v>-3.9999999999999147E-2</v>
      </c>
      <c r="Q825" s="10">
        <v>-9.0000000000000524E-2</v>
      </c>
      <c r="R825" s="10">
        <v>-0.16750000000000109</v>
      </c>
      <c r="S825" s="10">
        <v>-0.99249999999999827</v>
      </c>
      <c r="T825" s="10">
        <v>-1</v>
      </c>
    </row>
    <row r="826" spans="1:23" x14ac:dyDescent="0.25">
      <c r="A826" s="76">
        <v>3</v>
      </c>
      <c r="B826" s="76" t="s">
        <v>54</v>
      </c>
      <c r="C826" s="76">
        <v>2007</v>
      </c>
      <c r="D826" s="76" t="str">
        <f t="shared" ref="D826:D835" si="67">LEFT(F826,4)</f>
        <v>A07S</v>
      </c>
      <c r="E826" s="76" t="s">
        <v>96</v>
      </c>
      <c r="F826" s="77" t="s">
        <v>1117</v>
      </c>
      <c r="G826" s="78">
        <v>0.7722955793625057</v>
      </c>
      <c r="H826" s="79"/>
      <c r="I826" s="79"/>
      <c r="J826" s="3" t="str">
        <f t="shared" si="60"/>
        <v/>
      </c>
      <c r="K826" s="10">
        <v>-1.3686313686313456E-2</v>
      </c>
      <c r="L826" s="10">
        <v>-1.9119119119119121E-2</v>
      </c>
      <c r="M826" s="10">
        <v>-2.4224224224224655E-2</v>
      </c>
      <c r="N826" s="10">
        <v>-3.2067932067932126E-2</v>
      </c>
      <c r="O826" s="10">
        <v>-4.7000000000000264E-2</v>
      </c>
      <c r="P826" s="10">
        <v>-8.1510934393637324E-2</v>
      </c>
      <c r="Q826" s="10">
        <v>-0.34661354581673276</v>
      </c>
      <c r="R826" s="10">
        <v>-1</v>
      </c>
      <c r="S826" s="10">
        <v>-1</v>
      </c>
      <c r="T826" s="10">
        <v>-1</v>
      </c>
    </row>
    <row r="827" spans="1:23" x14ac:dyDescent="0.25">
      <c r="A827" s="76">
        <v>3</v>
      </c>
      <c r="B827" s="76" t="s">
        <v>54</v>
      </c>
      <c r="C827" s="76">
        <v>2007</v>
      </c>
      <c r="D827" s="76" t="str">
        <f t="shared" si="67"/>
        <v>A07S</v>
      </c>
      <c r="E827" s="76" t="s">
        <v>96</v>
      </c>
      <c r="F827" s="77" t="s">
        <v>1118</v>
      </c>
      <c r="G827" s="78">
        <v>0.89998109323192232</v>
      </c>
      <c r="H827" s="79"/>
      <c r="I827" s="79"/>
      <c r="J827" s="3" t="str">
        <f t="shared" si="60"/>
        <v/>
      </c>
      <c r="K827" s="10">
        <v>1.1988011988011582E-2</v>
      </c>
      <c r="L827" s="10">
        <v>9.7097097097096352E-3</v>
      </c>
      <c r="M827" s="10">
        <v>7.9079079079076298E-3</v>
      </c>
      <c r="N827" s="10">
        <v>7.7922077922079058E-3</v>
      </c>
      <c r="O827" s="10">
        <v>7.0000000000050022E-3</v>
      </c>
      <c r="P827" s="10">
        <v>1.9880715705693497E-3</v>
      </c>
      <c r="Q827" s="10">
        <v>-6.3745019920320889E-2</v>
      </c>
      <c r="R827" s="10">
        <v>-0.2908366533864537</v>
      </c>
      <c r="S827" s="10">
        <v>-0.99203187250995606</v>
      </c>
      <c r="T827" s="10">
        <v>-1</v>
      </c>
    </row>
    <row r="828" spans="1:23" x14ac:dyDescent="0.25">
      <c r="A828" s="76">
        <v>3</v>
      </c>
      <c r="B828" s="76" t="s">
        <v>54</v>
      </c>
      <c r="C828" s="76">
        <v>2007</v>
      </c>
      <c r="D828" s="76" t="str">
        <f t="shared" si="67"/>
        <v>A07S</v>
      </c>
      <c r="E828" s="76" t="s">
        <v>96</v>
      </c>
      <c r="F828" s="77" t="s">
        <v>1119</v>
      </c>
      <c r="G828" s="78">
        <v>0.3827595812789174</v>
      </c>
      <c r="H828" s="79"/>
      <c r="I828" s="79"/>
      <c r="J828" s="3" t="str">
        <f t="shared" si="60"/>
        <v/>
      </c>
      <c r="K828" s="10">
        <v>-0.47472527472527426</v>
      </c>
      <c r="L828" s="10">
        <v>-0.48368368368368386</v>
      </c>
      <c r="M828" s="10">
        <v>-0.49959959959959954</v>
      </c>
      <c r="N828" s="10">
        <v>-0.49920079920079918</v>
      </c>
      <c r="O828" s="10">
        <v>-0.503</v>
      </c>
      <c r="P828" s="10">
        <v>-0.53081510934393639</v>
      </c>
      <c r="Q828" s="10">
        <v>-0.8027888446215139</v>
      </c>
      <c r="R828" s="10">
        <v>-1</v>
      </c>
      <c r="S828" s="10">
        <v>-1</v>
      </c>
      <c r="T828" s="10">
        <v>-1</v>
      </c>
    </row>
    <row r="829" spans="1:23" x14ac:dyDescent="0.25">
      <c r="A829" s="76">
        <v>3</v>
      </c>
      <c r="B829" s="76" t="s">
        <v>54</v>
      </c>
      <c r="C829" s="76">
        <v>2007</v>
      </c>
      <c r="D829" s="76" t="str">
        <f t="shared" si="67"/>
        <v>A07S</v>
      </c>
      <c r="E829" s="76" t="s">
        <v>96</v>
      </c>
      <c r="F829" s="77" t="s">
        <v>1120</v>
      </c>
      <c r="G829" s="78">
        <v>0.95390760785800677</v>
      </c>
      <c r="H829" s="79"/>
      <c r="I829" s="79"/>
      <c r="J829" s="3" t="str">
        <f t="shared" si="60"/>
        <v/>
      </c>
      <c r="K829" s="10">
        <v>-5.0949050949052888E-3</v>
      </c>
      <c r="L829" s="10">
        <v>-7.0070070070072932E-3</v>
      </c>
      <c r="M829" s="10">
        <v>-6.4064064064064397E-3</v>
      </c>
      <c r="N829" s="10">
        <v>-8.4915084915081485E-3</v>
      </c>
      <c r="O829" s="10">
        <v>9.9999999999900169E-4</v>
      </c>
      <c r="P829" s="10">
        <v>1.192842942345429E-2</v>
      </c>
      <c r="Q829" s="10">
        <v>-3.5527136788005009E-15</v>
      </c>
      <c r="R829" s="10">
        <v>-6.3745019920309565E-2</v>
      </c>
      <c r="S829" s="10">
        <v>-0.43426294820717626</v>
      </c>
      <c r="T829" s="10">
        <v>-1</v>
      </c>
    </row>
    <row r="830" spans="1:23" x14ac:dyDescent="0.25">
      <c r="A830" s="76">
        <v>3</v>
      </c>
      <c r="B830" s="76" t="s">
        <v>54</v>
      </c>
      <c r="C830" s="76">
        <v>2007</v>
      </c>
      <c r="D830" s="76" t="str">
        <f t="shared" si="67"/>
        <v>A07S</v>
      </c>
      <c r="E830" s="76" t="s">
        <v>96</v>
      </c>
      <c r="F830" s="77" t="s">
        <v>1121</v>
      </c>
      <c r="G830" s="78">
        <v>0.2475707947527821</v>
      </c>
      <c r="H830" s="79"/>
      <c r="I830" s="79"/>
      <c r="J830" s="3" t="str">
        <f t="shared" si="60"/>
        <v/>
      </c>
      <c r="K830" s="10">
        <v>-0.62107892107892115</v>
      </c>
      <c r="L830" s="10">
        <v>-0.62662662662662649</v>
      </c>
      <c r="M830" s="10">
        <v>-0.63393393393393405</v>
      </c>
      <c r="N830" s="10">
        <v>-0.62877122877122882</v>
      </c>
      <c r="O830" s="10">
        <v>-0.66099999999999848</v>
      </c>
      <c r="P830" s="10">
        <v>-0.6978131212723695</v>
      </c>
      <c r="Q830" s="10">
        <v>-0.99203187250995606</v>
      </c>
      <c r="R830" s="10">
        <v>-1</v>
      </c>
      <c r="S830" s="10">
        <v>-1</v>
      </c>
      <c r="T830" s="10">
        <v>-1</v>
      </c>
    </row>
    <row r="831" spans="1:23" x14ac:dyDescent="0.25">
      <c r="A831" s="76">
        <v>3</v>
      </c>
      <c r="B831" s="76" t="s">
        <v>54</v>
      </c>
      <c r="C831" s="76">
        <v>2007</v>
      </c>
      <c r="D831" s="76" t="str">
        <f t="shared" si="67"/>
        <v>A07S</v>
      </c>
      <c r="E831" s="76" t="s">
        <v>96</v>
      </c>
      <c r="F831" s="77" t="s">
        <v>1122</v>
      </c>
      <c r="G831" s="78">
        <v>0.90769895337702355</v>
      </c>
      <c r="H831" s="79"/>
      <c r="I831" s="79"/>
      <c r="J831" s="3" t="str">
        <f t="shared" si="60"/>
        <v/>
      </c>
      <c r="K831" s="10">
        <v>-6.9930069930068672E-3</v>
      </c>
      <c r="L831" s="10">
        <v>-8.208208208208112E-3</v>
      </c>
      <c r="M831" s="10">
        <v>-6.1061061061062905E-3</v>
      </c>
      <c r="N831" s="10">
        <v>-9.1908091908090572E-3</v>
      </c>
      <c r="O831" s="10">
        <v>-1.0000000000002229E-2</v>
      </c>
      <c r="P831" s="10">
        <v>-1.3916500994028635E-2</v>
      </c>
      <c r="Q831" s="10">
        <v>-3.98406374502005E-2</v>
      </c>
      <c r="R831" s="10">
        <v>-9.1633466135457642E-2</v>
      </c>
      <c r="S831" s="10">
        <v>-0.95219123505977044</v>
      </c>
      <c r="T831" s="10">
        <v>-1</v>
      </c>
    </row>
    <row r="832" spans="1:23" x14ac:dyDescent="0.25">
      <c r="A832" s="76">
        <v>3</v>
      </c>
      <c r="B832" s="76" t="s">
        <v>54</v>
      </c>
      <c r="C832" s="76">
        <v>2007</v>
      </c>
      <c r="D832" s="76" t="str">
        <f t="shared" si="67"/>
        <v>A07S</v>
      </c>
      <c r="E832" s="76" t="s">
        <v>96</v>
      </c>
      <c r="F832" s="77" t="s">
        <v>1123</v>
      </c>
      <c r="G832" s="78">
        <v>0.92442581984766259</v>
      </c>
      <c r="H832" s="79"/>
      <c r="I832" s="79"/>
      <c r="J832" s="3" t="str">
        <f t="shared" si="60"/>
        <v/>
      </c>
      <c r="K832" s="10">
        <v>9.9900099900085415E-4</v>
      </c>
      <c r="L832" s="10">
        <v>1.0010010009997572E-4</v>
      </c>
      <c r="M832" s="10">
        <v>2.3023023023023281E-3</v>
      </c>
      <c r="N832" s="10">
        <v>4.995004995005381E-4</v>
      </c>
      <c r="O832" s="10">
        <v>9.9999999999966782E-3</v>
      </c>
      <c r="P832" s="10">
        <v>1.5904572564614972E-2</v>
      </c>
      <c r="Q832" s="10">
        <v>3.9840637450241356E-3</v>
      </c>
      <c r="R832" s="10">
        <v>-8.964143426294946E-2</v>
      </c>
      <c r="S832" s="10">
        <v>-1</v>
      </c>
      <c r="T832" s="10">
        <v>-1</v>
      </c>
    </row>
    <row r="833" spans="1:20" x14ac:dyDescent="0.25">
      <c r="A833" s="76">
        <v>3</v>
      </c>
      <c r="B833" s="76" t="s">
        <v>54</v>
      </c>
      <c r="C833" s="76">
        <v>2007</v>
      </c>
      <c r="D833" s="76" t="str">
        <f t="shared" si="67"/>
        <v>A07S</v>
      </c>
      <c r="E833" s="76" t="s">
        <v>96</v>
      </c>
      <c r="F833" s="77" t="s">
        <v>1124</v>
      </c>
      <c r="G833" s="78">
        <v>0.86502248582626795</v>
      </c>
      <c r="H833" s="79"/>
      <c r="I833" s="79"/>
      <c r="J833" s="3" t="str">
        <f t="shared" si="60"/>
        <v/>
      </c>
      <c r="K833" s="10">
        <v>-1.3086913086913343E-2</v>
      </c>
      <c r="L833" s="10">
        <v>-1.5415415415415579E-2</v>
      </c>
      <c r="M833" s="10">
        <v>-1.7917917917917858E-2</v>
      </c>
      <c r="N833" s="10">
        <v>-2.637362637362628E-2</v>
      </c>
      <c r="O833" s="10">
        <v>-2.5999999999999135E-2</v>
      </c>
      <c r="P833" s="10">
        <v>-3.379721669980984E-2</v>
      </c>
      <c r="Q833" s="10">
        <v>-0.11752988047808621</v>
      </c>
      <c r="R833" s="10">
        <v>-0.35258964143426286</v>
      </c>
      <c r="S833" s="10">
        <v>-1</v>
      </c>
      <c r="T833" s="10">
        <v>-1</v>
      </c>
    </row>
    <row r="834" spans="1:20" x14ac:dyDescent="0.25">
      <c r="A834" s="76">
        <v>3</v>
      </c>
      <c r="B834" s="76" t="s">
        <v>54</v>
      </c>
      <c r="C834" s="76">
        <v>2007</v>
      </c>
      <c r="D834" s="76" t="str">
        <f t="shared" si="67"/>
        <v>A07S</v>
      </c>
      <c r="E834" s="76" t="s">
        <v>96</v>
      </c>
      <c r="F834" s="77" t="s">
        <v>1125</v>
      </c>
      <c r="G834" s="78">
        <v>0.80941932497111102</v>
      </c>
      <c r="H834" s="79"/>
      <c r="I834" s="79"/>
      <c r="J834" s="3" t="str">
        <f t="shared" si="60"/>
        <v/>
      </c>
      <c r="K834" s="10">
        <v>-1.1888111888111563E-2</v>
      </c>
      <c r="L834" s="10">
        <v>-1.5115115115115318E-2</v>
      </c>
      <c r="M834" s="10">
        <v>-1.7117117117117164E-2</v>
      </c>
      <c r="N834" s="10">
        <v>-2.0879120879120805E-2</v>
      </c>
      <c r="O834" s="10">
        <v>-2.100000000000013E-2</v>
      </c>
      <c r="P834" s="10">
        <v>-3.777335984095509E-2</v>
      </c>
      <c r="Q834" s="10">
        <v>-0.19920318725099673</v>
      </c>
      <c r="R834" s="10">
        <v>-0.98804780876493981</v>
      </c>
      <c r="S834" s="10">
        <v>-1</v>
      </c>
      <c r="T834" s="10">
        <v>-1</v>
      </c>
    </row>
    <row r="835" spans="1:20" x14ac:dyDescent="0.25">
      <c r="A835" s="76">
        <v>3</v>
      </c>
      <c r="B835" s="76" t="s">
        <v>54</v>
      </c>
      <c r="C835" s="76">
        <v>2007</v>
      </c>
      <c r="D835" s="76" t="str">
        <f t="shared" si="67"/>
        <v>A07S</v>
      </c>
      <c r="E835" s="76" t="s">
        <v>96</v>
      </c>
      <c r="F835" s="77" t="s">
        <v>1126</v>
      </c>
      <c r="G835" s="78">
        <v>0.86125775621934841</v>
      </c>
      <c r="H835" s="79"/>
      <c r="I835" s="79"/>
      <c r="J835" s="3" t="str">
        <f t="shared" si="60"/>
        <v/>
      </c>
      <c r="K835" s="10">
        <v>-1.5384615384615552E-2</v>
      </c>
      <c r="L835" s="10">
        <v>-1.7017017017016633E-2</v>
      </c>
      <c r="M835" s="10">
        <v>-1.3013013013013386E-2</v>
      </c>
      <c r="N835" s="10">
        <v>-2.1078921078920509E-2</v>
      </c>
      <c r="O835" s="10">
        <v>-2.8999999999999249E-2</v>
      </c>
      <c r="P835" s="10">
        <v>-5.1689860834990942E-2</v>
      </c>
      <c r="Q835" s="10">
        <v>-0.1354581673306765</v>
      </c>
      <c r="R835" s="10">
        <v>-0.31274900398406591</v>
      </c>
      <c r="S835" s="10">
        <v>-1</v>
      </c>
      <c r="T835" s="10">
        <v>-1</v>
      </c>
    </row>
    <row r="836" spans="1:20" x14ac:dyDescent="0.25">
      <c r="A836" s="76">
        <v>3</v>
      </c>
      <c r="B836" s="76" t="s">
        <v>54</v>
      </c>
      <c r="C836" s="76">
        <v>2007</v>
      </c>
      <c r="D836" s="76" t="str">
        <f t="shared" ref="D836:D845" si="68">LEFT(F836,4)</f>
        <v>A07S</v>
      </c>
      <c r="E836" s="76" t="s">
        <v>96</v>
      </c>
      <c r="F836" s="77" t="s">
        <v>1127</v>
      </c>
      <c r="G836" s="78">
        <v>0.86360669143665392</v>
      </c>
      <c r="H836" s="79"/>
      <c r="I836" s="79"/>
      <c r="J836" s="3" t="str">
        <f t="shared" si="60"/>
        <v/>
      </c>
      <c r="K836" s="10">
        <v>-1.0105052526263147E-2</v>
      </c>
      <c r="L836" s="10">
        <v>-1.2800000000000034E-2</v>
      </c>
      <c r="M836" s="10">
        <v>-1.3113113113113473E-2</v>
      </c>
      <c r="N836" s="10">
        <v>-2.2222222222222254E-2</v>
      </c>
      <c r="O836" s="10">
        <v>-2.2999999999996135E-2</v>
      </c>
      <c r="P836" s="10">
        <v>-5.3677932405568507E-2</v>
      </c>
      <c r="Q836" s="10">
        <v>-0.15400000000000769</v>
      </c>
      <c r="R836" s="10">
        <v>-0.26799999999999502</v>
      </c>
      <c r="S836" s="10">
        <v>-1</v>
      </c>
      <c r="T836" s="10">
        <v>-1</v>
      </c>
    </row>
    <row r="837" spans="1:20" x14ac:dyDescent="0.25">
      <c r="A837" s="76">
        <v>3</v>
      </c>
      <c r="B837" s="76" t="s">
        <v>54</v>
      </c>
      <c r="C837" s="76">
        <v>2007</v>
      </c>
      <c r="D837" s="76" t="str">
        <f t="shared" si="68"/>
        <v>A07S</v>
      </c>
      <c r="E837" s="76" t="s">
        <v>96</v>
      </c>
      <c r="F837" s="77" t="s">
        <v>1128</v>
      </c>
      <c r="G837" s="78">
        <v>0.86346860069585762</v>
      </c>
      <c r="H837" s="79"/>
      <c r="I837" s="79"/>
      <c r="J837" s="3" t="str">
        <f t="shared" ref="J837:J900" si="69">IF(YEAR(I837)-YEAR(H837)=0,"",YEAR(I837)-YEAR(H837))</f>
        <v/>
      </c>
      <c r="K837" s="10">
        <v>-2.5012506253126676E-2</v>
      </c>
      <c r="L837" s="10">
        <v>-2.7200000000000002E-2</v>
      </c>
      <c r="M837" s="10">
        <v>-2.6526526526526539E-2</v>
      </c>
      <c r="N837" s="10">
        <v>-2.7327327327327233E-2</v>
      </c>
      <c r="O837" s="10">
        <v>-2.2000000000002684E-2</v>
      </c>
      <c r="P837" s="10">
        <v>-5.3677932405568507E-2</v>
      </c>
      <c r="Q837" s="10">
        <v>-0.12799999999999723</v>
      </c>
      <c r="R837" s="10">
        <v>-0.27599999999999913</v>
      </c>
      <c r="S837" s="10">
        <v>-1</v>
      </c>
      <c r="T837" s="10">
        <v>-1</v>
      </c>
    </row>
    <row r="838" spans="1:20" x14ac:dyDescent="0.25">
      <c r="A838" s="76">
        <v>3</v>
      </c>
      <c r="B838" s="76" t="s">
        <v>54</v>
      </c>
      <c r="C838" s="76">
        <v>2007</v>
      </c>
      <c r="D838" s="76" t="str">
        <f t="shared" si="68"/>
        <v>A07S</v>
      </c>
      <c r="E838" s="76" t="s">
        <v>96</v>
      </c>
      <c r="F838" s="77" t="s">
        <v>1129</v>
      </c>
      <c r="G838" s="78">
        <v>0.90582418635611917</v>
      </c>
      <c r="H838" s="79"/>
      <c r="I838" s="79"/>
      <c r="J838" s="3" t="str">
        <f t="shared" si="69"/>
        <v/>
      </c>
      <c r="K838" s="10">
        <v>8.0040020010008206E-4</v>
      </c>
      <c r="L838" s="10">
        <v>1.000000000000334E-3</v>
      </c>
      <c r="M838" s="10">
        <v>-2.2022022022022414E-3</v>
      </c>
      <c r="N838" s="10">
        <v>-2.2022022022027965E-3</v>
      </c>
      <c r="O838" s="10">
        <v>1.0000000000002229E-2</v>
      </c>
      <c r="P838" s="10">
        <v>5.9642147117300315E-3</v>
      </c>
      <c r="Q838" s="10">
        <v>-7.7999999999997294E-2</v>
      </c>
      <c r="R838" s="10">
        <v>-0.16799999999999993</v>
      </c>
      <c r="S838" s="10">
        <v>-1</v>
      </c>
      <c r="T838" s="10">
        <v>-1</v>
      </c>
    </row>
    <row r="839" spans="1:20" x14ac:dyDescent="0.25">
      <c r="A839" s="76">
        <v>3</v>
      </c>
      <c r="B839" s="76" t="s">
        <v>54</v>
      </c>
      <c r="C839" s="76">
        <v>2007</v>
      </c>
      <c r="D839" s="76" t="str">
        <f t="shared" si="68"/>
        <v>A07S</v>
      </c>
      <c r="E839" s="76" t="s">
        <v>96</v>
      </c>
      <c r="F839" s="77" t="s">
        <v>1130</v>
      </c>
      <c r="G839" s="78">
        <v>0.93421526320847914</v>
      </c>
      <c r="H839" s="79"/>
      <c r="I839" s="79"/>
      <c r="J839" s="3" t="str">
        <f t="shared" si="69"/>
        <v/>
      </c>
      <c r="K839" s="10">
        <v>-3.0015007503736424E-4</v>
      </c>
      <c r="L839" s="10">
        <v>-9.0000000000034497E-4</v>
      </c>
      <c r="M839" s="10">
        <v>1.3013013013010166E-3</v>
      </c>
      <c r="N839" s="10">
        <v>2.1021021021019326E-3</v>
      </c>
      <c r="O839" s="10">
        <v>1.1000000000001453E-2</v>
      </c>
      <c r="P839" s="10">
        <v>7.9522862823047102E-3</v>
      </c>
      <c r="Q839" s="10">
        <v>-1.2000000000000455E-2</v>
      </c>
      <c r="R839" s="10">
        <v>-6.2000000000000499E-2</v>
      </c>
      <c r="S839" s="10">
        <v>-0.80399999999999638</v>
      </c>
      <c r="T839" s="10">
        <v>-1</v>
      </c>
    </row>
    <row r="840" spans="1:20" x14ac:dyDescent="0.25">
      <c r="A840" s="76">
        <v>3</v>
      </c>
      <c r="B840" s="76" t="s">
        <v>54</v>
      </c>
      <c r="C840" s="76">
        <v>2007</v>
      </c>
      <c r="D840" s="76" t="str">
        <f t="shared" si="68"/>
        <v>A07S</v>
      </c>
      <c r="E840" s="76" t="s">
        <v>96</v>
      </c>
      <c r="F840" s="77" t="s">
        <v>1131</v>
      </c>
      <c r="G840" s="78">
        <v>0.95945176940271915</v>
      </c>
      <c r="H840" s="79"/>
      <c r="I840" s="79"/>
      <c r="J840" s="3" t="str">
        <f t="shared" si="69"/>
        <v/>
      </c>
      <c r="K840" s="10">
        <v>-7.5037518759381028E-3</v>
      </c>
      <c r="L840" s="10">
        <v>-8.899999999999908E-3</v>
      </c>
      <c r="M840" s="10">
        <v>-7.6076076076078136E-3</v>
      </c>
      <c r="N840" s="10">
        <v>-6.4064064064062176E-3</v>
      </c>
      <c r="O840" s="10">
        <v>1.1999999999997568E-2</v>
      </c>
      <c r="P840" s="10">
        <v>1.1928429423465614E-2</v>
      </c>
      <c r="Q840" s="10">
        <v>-4.0000000000077751E-3</v>
      </c>
      <c r="R840" s="10">
        <v>-4.5999999999992269E-2</v>
      </c>
      <c r="S840" s="10">
        <v>-0.39400000000000546</v>
      </c>
      <c r="T840" s="10">
        <v>-1</v>
      </c>
    </row>
    <row r="841" spans="1:20" x14ac:dyDescent="0.25">
      <c r="A841" s="76">
        <v>3</v>
      </c>
      <c r="B841" s="76" t="s">
        <v>54</v>
      </c>
      <c r="C841" s="76">
        <v>2007</v>
      </c>
      <c r="D841" s="76" t="str">
        <f t="shared" si="68"/>
        <v>A07S</v>
      </c>
      <c r="E841" s="76" t="s">
        <v>96</v>
      </c>
      <c r="F841" s="77" t="s">
        <v>1132</v>
      </c>
      <c r="G841" s="78">
        <v>0.95446463085410627</v>
      </c>
      <c r="H841" s="79"/>
      <c r="I841" s="79"/>
      <c r="J841" s="3" t="str">
        <f t="shared" si="69"/>
        <v/>
      </c>
      <c r="K841" s="10">
        <v>-1.2306153076538262E-2</v>
      </c>
      <c r="L841" s="10">
        <v>-1.5299999999999758E-2</v>
      </c>
      <c r="M841" s="10">
        <v>-1.5915915915915901E-2</v>
      </c>
      <c r="N841" s="10">
        <v>-1.5915915915915901E-2</v>
      </c>
      <c r="O841" s="10">
        <v>-1.9999999999995577E-3</v>
      </c>
      <c r="P841" s="10">
        <v>1.9880715705749008E-3</v>
      </c>
      <c r="Q841" s="10">
        <v>0</v>
      </c>
      <c r="R841" s="10">
        <v>-4.7999999999998932E-2</v>
      </c>
      <c r="S841" s="10">
        <v>-0.35600000000000021</v>
      </c>
      <c r="T841" s="10">
        <v>-1</v>
      </c>
    </row>
    <row r="842" spans="1:20" x14ac:dyDescent="0.25">
      <c r="A842" s="76">
        <v>3</v>
      </c>
      <c r="B842" s="76" t="s">
        <v>54</v>
      </c>
      <c r="C842" s="76">
        <v>2007</v>
      </c>
      <c r="D842" s="76" t="str">
        <f t="shared" si="68"/>
        <v>A07S</v>
      </c>
      <c r="E842" s="76" t="s">
        <v>96</v>
      </c>
      <c r="F842" s="77" t="s">
        <v>1133</v>
      </c>
      <c r="G842" s="78">
        <v>0.87365734346703539</v>
      </c>
      <c r="H842" s="79"/>
      <c r="I842" s="79"/>
      <c r="J842" s="3" t="str">
        <f t="shared" si="69"/>
        <v/>
      </c>
      <c r="K842" s="10">
        <v>-5.8029014507253729E-3</v>
      </c>
      <c r="L842" s="10">
        <v>-3.8000000000004697E-3</v>
      </c>
      <c r="M842" s="10">
        <v>1.1011011011017313E-3</v>
      </c>
      <c r="N842" s="10">
        <v>-1.3013013013012387E-3</v>
      </c>
      <c r="O842" s="10">
        <v>3.0000000000001137E-3</v>
      </c>
      <c r="P842" s="10">
        <v>-2.1868787276344448E-2</v>
      </c>
      <c r="Q842" s="10">
        <v>-0.18999999999999773</v>
      </c>
      <c r="R842" s="10">
        <v>-0.30400000000000205</v>
      </c>
      <c r="S842" s="10">
        <v>-0.99799999999999611</v>
      </c>
      <c r="T842" s="10">
        <v>-1</v>
      </c>
    </row>
    <row r="843" spans="1:20" x14ac:dyDescent="0.25">
      <c r="A843" s="76">
        <v>3</v>
      </c>
      <c r="B843" s="76" t="s">
        <v>54</v>
      </c>
      <c r="C843" s="76">
        <v>2007</v>
      </c>
      <c r="D843" s="76" t="str">
        <f t="shared" si="68"/>
        <v>A07S</v>
      </c>
      <c r="E843" s="76" t="s">
        <v>96</v>
      </c>
      <c r="F843" s="77" t="s">
        <v>1134</v>
      </c>
      <c r="G843" s="78">
        <v>0.98366061430339768</v>
      </c>
      <c r="H843" s="79"/>
      <c r="I843" s="79"/>
      <c r="J843" s="3" t="str">
        <f t="shared" si="69"/>
        <v/>
      </c>
      <c r="K843" s="10">
        <v>1.3106553276638566E-2</v>
      </c>
      <c r="L843" s="10">
        <v>1.1700000000000266E-2</v>
      </c>
      <c r="M843" s="10">
        <v>1.1311311311311023E-2</v>
      </c>
      <c r="N843" s="10">
        <v>1.1111111111111072E-2</v>
      </c>
      <c r="O843" s="10">
        <v>2.4999999999999911E-2</v>
      </c>
      <c r="P843" s="10">
        <v>2.5844930417495693E-2</v>
      </c>
      <c r="Q843" s="10">
        <v>1.599999999999957E-2</v>
      </c>
      <c r="R843" s="10">
        <v>-2.000000000000024E-2</v>
      </c>
      <c r="S843" s="10">
        <v>-0.24800000000000044</v>
      </c>
      <c r="T843" s="10">
        <v>-1</v>
      </c>
    </row>
    <row r="844" spans="1:20" x14ac:dyDescent="0.25">
      <c r="A844" s="76">
        <v>3</v>
      </c>
      <c r="B844" s="76" t="s">
        <v>54</v>
      </c>
      <c r="C844" s="76">
        <v>2007</v>
      </c>
      <c r="D844" s="76" t="str">
        <f t="shared" si="68"/>
        <v>A07S</v>
      </c>
      <c r="E844" s="76" t="s">
        <v>96</v>
      </c>
      <c r="F844" s="77" t="s">
        <v>1135</v>
      </c>
      <c r="G844" s="78">
        <v>0.89949855263994483</v>
      </c>
      <c r="H844" s="79"/>
      <c r="I844" s="79"/>
      <c r="J844" s="3" t="str">
        <f t="shared" si="69"/>
        <v/>
      </c>
      <c r="K844" s="10">
        <v>-4.7023511755879266E-3</v>
      </c>
      <c r="L844" s="10">
        <v>-6.0999999999995502E-3</v>
      </c>
      <c r="M844" s="10">
        <v>-5.8058058058064743E-3</v>
      </c>
      <c r="N844" s="10">
        <v>-5.0050050050050032E-3</v>
      </c>
      <c r="O844" s="10">
        <v>1.2999999999999456E-2</v>
      </c>
      <c r="P844" s="10">
        <v>1.5904572564614972E-2</v>
      </c>
      <c r="Q844" s="10">
        <v>-8.4000000000003183E-2</v>
      </c>
      <c r="R844" s="10">
        <v>-0.27199999999999702</v>
      </c>
      <c r="S844" s="10">
        <v>-0.99800000000000177</v>
      </c>
      <c r="T844" s="10">
        <v>-1</v>
      </c>
    </row>
    <row r="845" spans="1:20" x14ac:dyDescent="0.25">
      <c r="A845" s="76">
        <v>3</v>
      </c>
      <c r="B845" s="76" t="s">
        <v>54</v>
      </c>
      <c r="C845" s="76">
        <v>2007</v>
      </c>
      <c r="D845" s="76" t="str">
        <f t="shared" si="68"/>
        <v>A07S</v>
      </c>
      <c r="E845" s="76" t="s">
        <v>96</v>
      </c>
      <c r="F845" s="77" t="s">
        <v>1136</v>
      </c>
      <c r="G845" s="78">
        <v>0.86021224076664371</v>
      </c>
      <c r="H845" s="79"/>
      <c r="I845" s="79"/>
      <c r="J845" s="3" t="str">
        <f t="shared" si="69"/>
        <v/>
      </c>
      <c r="K845" s="10">
        <v>-1.6108054027013652E-2</v>
      </c>
      <c r="L845" s="10">
        <v>-1.9299999999999762E-2</v>
      </c>
      <c r="M845" s="10">
        <v>-1.8118118118118476E-2</v>
      </c>
      <c r="N845" s="10">
        <v>-2.4424424424424163E-2</v>
      </c>
      <c r="O845" s="10">
        <v>-3.7000000000000477E-2</v>
      </c>
      <c r="P845" s="10">
        <v>-6.5606361829028126E-2</v>
      </c>
      <c r="Q845" s="10">
        <v>-0.16800000000000637</v>
      </c>
      <c r="R845" s="10">
        <v>-0.19199999999999595</v>
      </c>
      <c r="S845" s="10">
        <v>-0.99800000000000177</v>
      </c>
      <c r="T845" s="10">
        <v>-1</v>
      </c>
    </row>
    <row r="846" spans="1:20" x14ac:dyDescent="0.25">
      <c r="A846" s="76">
        <v>3</v>
      </c>
      <c r="B846" s="76" t="s">
        <v>54</v>
      </c>
      <c r="C846" s="76">
        <v>2007</v>
      </c>
      <c r="D846" s="76" t="str">
        <f t="shared" ref="D846:D855" si="70">LEFT(F846,4)</f>
        <v>A07S</v>
      </c>
      <c r="E846" s="76" t="s">
        <v>96</v>
      </c>
      <c r="F846" s="77" t="s">
        <v>1137</v>
      </c>
      <c r="G846" s="78">
        <v>0.92066607246835774</v>
      </c>
      <c r="H846" s="79"/>
      <c r="I846" s="79"/>
      <c r="J846" s="3" t="str">
        <f t="shared" si="69"/>
        <v/>
      </c>
      <c r="K846" s="10">
        <v>-2.0040080160343976E-4</v>
      </c>
      <c r="L846" s="10">
        <v>-3.4034034034033933E-3</v>
      </c>
      <c r="M846" s="10">
        <v>-6.7067067067064778E-3</v>
      </c>
      <c r="N846" s="10">
        <v>-2.2044088176350618E-3</v>
      </c>
      <c r="O846" s="10">
        <v>1.0999999999998566E-2</v>
      </c>
      <c r="P846" s="10">
        <v>1.1928429423459841E-2</v>
      </c>
      <c r="Q846" s="10">
        <v>-1.2000000000000455E-2</v>
      </c>
      <c r="R846" s="10">
        <v>-9.399999999999975E-2</v>
      </c>
      <c r="S846" s="10">
        <v>-0.99399999999999977</v>
      </c>
      <c r="T846" s="10">
        <v>-1</v>
      </c>
    </row>
    <row r="847" spans="1:20" x14ac:dyDescent="0.25">
      <c r="A847" s="76">
        <v>3</v>
      </c>
      <c r="B847" s="76" t="s">
        <v>54</v>
      </c>
      <c r="C847" s="76">
        <v>2007</v>
      </c>
      <c r="D847" s="76" t="str">
        <f t="shared" si="70"/>
        <v>A07S</v>
      </c>
      <c r="E847" s="76" t="s">
        <v>96</v>
      </c>
      <c r="F847" s="77" t="s">
        <v>1138</v>
      </c>
      <c r="G847" s="78">
        <v>0.89934069491520474</v>
      </c>
      <c r="H847" s="79"/>
      <c r="I847" s="79"/>
      <c r="J847" s="3" t="str">
        <f t="shared" si="69"/>
        <v/>
      </c>
      <c r="K847" s="10">
        <v>-1.1623246492985961E-2</v>
      </c>
      <c r="L847" s="10">
        <v>-1.2812812812813101E-2</v>
      </c>
      <c r="M847" s="10">
        <v>-1.0410410410410353E-2</v>
      </c>
      <c r="N847" s="10">
        <v>-9.118236472945962E-3</v>
      </c>
      <c r="O847" s="10">
        <v>1.0000000000000231E-2</v>
      </c>
      <c r="P847" s="10">
        <v>5.9642147117293653E-3</v>
      </c>
      <c r="Q847" s="10">
        <v>-7.3999999999999511E-2</v>
      </c>
      <c r="R847" s="10">
        <v>-0.22800000000000009</v>
      </c>
      <c r="S847" s="10">
        <v>-1</v>
      </c>
      <c r="T847" s="10">
        <v>-1</v>
      </c>
    </row>
    <row r="848" spans="1:20" x14ac:dyDescent="0.25">
      <c r="A848" s="76">
        <v>3</v>
      </c>
      <c r="B848" s="76" t="s">
        <v>54</v>
      </c>
      <c r="C848" s="76">
        <v>2007</v>
      </c>
      <c r="D848" s="76" t="str">
        <f t="shared" si="70"/>
        <v>A07S</v>
      </c>
      <c r="E848" s="76" t="s">
        <v>96</v>
      </c>
      <c r="F848" s="77" t="s">
        <v>1139</v>
      </c>
      <c r="G848" s="78">
        <v>0.18752267190138516</v>
      </c>
      <c r="H848" s="79"/>
      <c r="I848" s="79"/>
      <c r="J848" s="3" t="str">
        <f t="shared" si="69"/>
        <v/>
      </c>
      <c r="K848" s="10">
        <v>-0.44849699398797627</v>
      </c>
      <c r="L848" s="10">
        <v>-0.55335335335335334</v>
      </c>
      <c r="M848" s="10">
        <v>-0.77047047047047035</v>
      </c>
      <c r="N848" s="10">
        <v>-0.87775551102204363</v>
      </c>
      <c r="O848" s="10">
        <v>-0.87100000000000011</v>
      </c>
      <c r="P848" s="10">
        <v>-0.67992047713717629</v>
      </c>
      <c r="Q848" s="10">
        <v>-1</v>
      </c>
      <c r="R848" s="10">
        <v>-1</v>
      </c>
      <c r="S848" s="10">
        <v>-1</v>
      </c>
      <c r="T848" s="10">
        <v>-1</v>
      </c>
    </row>
    <row r="849" spans="1:20" x14ac:dyDescent="0.25">
      <c r="A849" s="76">
        <v>3</v>
      </c>
      <c r="B849" s="76" t="s">
        <v>54</v>
      </c>
      <c r="C849" s="76">
        <v>2007</v>
      </c>
      <c r="D849" s="76" t="str">
        <f t="shared" si="70"/>
        <v>A07S</v>
      </c>
      <c r="E849" s="76" t="s">
        <v>96</v>
      </c>
      <c r="F849" s="77" t="s">
        <v>1140</v>
      </c>
      <c r="G849" s="78">
        <v>0.22921557514228064</v>
      </c>
      <c r="H849" s="79"/>
      <c r="I849" s="79"/>
      <c r="J849" s="3" t="str">
        <f t="shared" si="69"/>
        <v/>
      </c>
      <c r="K849" s="10">
        <v>-0.74969939879759528</v>
      </c>
      <c r="L849" s="10">
        <v>-0.77787787787787788</v>
      </c>
      <c r="M849" s="10">
        <v>-0.72232232232232252</v>
      </c>
      <c r="N849" s="10">
        <v>-0.76042084168336643</v>
      </c>
      <c r="O849" s="10">
        <v>-0.74200000000000155</v>
      </c>
      <c r="P849" s="10">
        <v>-0.65805168986082951</v>
      </c>
      <c r="Q849" s="10">
        <v>-0.80400000000000771</v>
      </c>
      <c r="R849" s="10">
        <v>-1</v>
      </c>
      <c r="S849" s="10">
        <v>-1</v>
      </c>
      <c r="T849" s="10">
        <v>-1</v>
      </c>
    </row>
    <row r="850" spans="1:20" x14ac:dyDescent="0.25">
      <c r="A850" s="76">
        <v>3</v>
      </c>
      <c r="B850" s="76" t="s">
        <v>54</v>
      </c>
      <c r="C850" s="76">
        <v>2007</v>
      </c>
      <c r="D850" s="76" t="str">
        <f t="shared" si="70"/>
        <v>A07S</v>
      </c>
      <c r="E850" s="76" t="s">
        <v>96</v>
      </c>
      <c r="F850" s="77" t="s">
        <v>1141</v>
      </c>
      <c r="G850" s="78">
        <v>0.92843031489204619</v>
      </c>
      <c r="H850" s="79"/>
      <c r="I850" s="79"/>
      <c r="J850" s="3" t="str">
        <f t="shared" si="69"/>
        <v/>
      </c>
      <c r="K850" s="10">
        <v>-9.9198396793583887E-3</v>
      </c>
      <c r="L850" s="10">
        <v>-1.2812812812812768E-2</v>
      </c>
      <c r="M850" s="10">
        <v>-1.3713713713713438E-2</v>
      </c>
      <c r="N850" s="10">
        <v>-1.4428857715430676E-2</v>
      </c>
      <c r="O850" s="10">
        <v>0</v>
      </c>
      <c r="P850" s="10">
        <v>2.2204460492503131E-16</v>
      </c>
      <c r="Q850" s="10">
        <v>-1.0000000000002229E-2</v>
      </c>
      <c r="R850" s="10">
        <v>-6.6000000000002501E-2</v>
      </c>
      <c r="S850" s="10">
        <v>-0.76599999999999679</v>
      </c>
      <c r="T850" s="10">
        <v>-1</v>
      </c>
    </row>
    <row r="851" spans="1:20" x14ac:dyDescent="0.25">
      <c r="A851" s="76">
        <v>3</v>
      </c>
      <c r="B851" s="76" t="s">
        <v>54</v>
      </c>
      <c r="C851" s="76">
        <v>2007</v>
      </c>
      <c r="D851" s="76" t="str">
        <f t="shared" si="70"/>
        <v>A07S</v>
      </c>
      <c r="E851" s="76" t="s">
        <v>96</v>
      </c>
      <c r="F851" s="77" t="s">
        <v>1142</v>
      </c>
      <c r="G851" s="78">
        <v>0.8644076509452403</v>
      </c>
      <c r="H851" s="79"/>
      <c r="I851" s="79"/>
      <c r="J851" s="3" t="str">
        <f t="shared" si="69"/>
        <v/>
      </c>
      <c r="K851" s="10">
        <v>-1.2224448897795392E-2</v>
      </c>
      <c r="L851" s="10">
        <v>-1.4014014014014031E-2</v>
      </c>
      <c r="M851" s="10">
        <v>-1.34134134134134E-2</v>
      </c>
      <c r="N851" s="10">
        <v>-1.2925851703406877E-2</v>
      </c>
      <c r="O851" s="10">
        <v>-6.0000000000002274E-3</v>
      </c>
      <c r="P851" s="10">
        <v>-3.5785288270373306E-2</v>
      </c>
      <c r="Q851" s="10">
        <v>-0.14000000000000912</v>
      </c>
      <c r="R851" s="10">
        <v>-0.4</v>
      </c>
      <c r="S851" s="10">
        <v>-1</v>
      </c>
      <c r="T851" s="10">
        <v>-1</v>
      </c>
    </row>
    <row r="852" spans="1:20" x14ac:dyDescent="0.25">
      <c r="A852" s="76">
        <v>3</v>
      </c>
      <c r="B852" s="76" t="s">
        <v>54</v>
      </c>
      <c r="C852" s="76">
        <v>2007</v>
      </c>
      <c r="D852" s="76" t="str">
        <f t="shared" si="70"/>
        <v>A07S</v>
      </c>
      <c r="E852" s="76" t="s">
        <v>96</v>
      </c>
      <c r="F852" s="77" t="s">
        <v>1143</v>
      </c>
      <c r="G852" s="78">
        <v>0.84388533123241094</v>
      </c>
      <c r="H852" s="79"/>
      <c r="I852" s="79"/>
      <c r="J852" s="3" t="str">
        <f t="shared" si="69"/>
        <v/>
      </c>
      <c r="K852" s="10">
        <v>-3.1062124248496747E-2</v>
      </c>
      <c r="L852" s="10">
        <v>-3.5035035035035356E-2</v>
      </c>
      <c r="M852" s="10">
        <v>-3.7237237237237264E-2</v>
      </c>
      <c r="N852" s="10">
        <v>-3.6573146292584791E-2</v>
      </c>
      <c r="O852" s="10">
        <v>-3.100000000000025E-2</v>
      </c>
      <c r="P852" s="10">
        <v>-5.1689860834989498E-2</v>
      </c>
      <c r="Q852" s="10">
        <v>-0.16000000000000081</v>
      </c>
      <c r="R852" s="10">
        <v>-0.4379999999999995</v>
      </c>
      <c r="S852" s="10">
        <v>-1</v>
      </c>
      <c r="T852" s="10">
        <v>-1</v>
      </c>
    </row>
    <row r="853" spans="1:20" x14ac:dyDescent="0.25">
      <c r="A853" s="76">
        <v>3</v>
      </c>
      <c r="B853" s="76" t="s">
        <v>54</v>
      </c>
      <c r="C853" s="76">
        <v>2007</v>
      </c>
      <c r="D853" s="76" t="str">
        <f t="shared" si="70"/>
        <v>A07S</v>
      </c>
      <c r="E853" s="76" t="s">
        <v>96</v>
      </c>
      <c r="F853" s="77" t="s">
        <v>1144</v>
      </c>
      <c r="G853" s="78">
        <v>0.93770094506197255</v>
      </c>
      <c r="H853" s="79"/>
      <c r="I853" s="79"/>
      <c r="J853" s="3" t="str">
        <f t="shared" si="69"/>
        <v/>
      </c>
      <c r="K853" s="10">
        <v>2.1543086172344683E-2</v>
      </c>
      <c r="L853" s="10">
        <v>1.9419419419419492E-2</v>
      </c>
      <c r="M853" s="10">
        <v>1.9719719719719642E-2</v>
      </c>
      <c r="N853" s="10">
        <v>1.8336673346693422E-2</v>
      </c>
      <c r="O853" s="10">
        <v>3.5000000000002363E-2</v>
      </c>
      <c r="P853" s="10">
        <v>3.3797216699798849E-2</v>
      </c>
      <c r="Q853" s="10">
        <v>-1.0000000000002229E-2</v>
      </c>
      <c r="R853" s="10">
        <v>-9.6000000000003638E-2</v>
      </c>
      <c r="S853" s="10">
        <v>-0.98999999999999777</v>
      </c>
      <c r="T853" s="10">
        <v>-1</v>
      </c>
    </row>
    <row r="854" spans="1:20" x14ac:dyDescent="0.25">
      <c r="A854" s="76">
        <v>3</v>
      </c>
      <c r="B854" s="76" t="s">
        <v>54</v>
      </c>
      <c r="C854" s="76">
        <v>2007</v>
      </c>
      <c r="D854" s="76" t="str">
        <f t="shared" si="70"/>
        <v>A07S</v>
      </c>
      <c r="E854" s="76" t="s">
        <v>96</v>
      </c>
      <c r="F854" s="77" t="s">
        <v>1145</v>
      </c>
      <c r="G854" s="78">
        <v>0.87920616150376496</v>
      </c>
      <c r="H854" s="79"/>
      <c r="I854" s="79"/>
      <c r="J854" s="3" t="str">
        <f t="shared" si="69"/>
        <v/>
      </c>
      <c r="K854" s="10">
        <v>1.0020040080163106E-3</v>
      </c>
      <c r="L854" s="10">
        <v>-2.1021021021027098E-3</v>
      </c>
      <c r="M854" s="10">
        <v>-3.6036036036035668E-3</v>
      </c>
      <c r="N854" s="10">
        <v>-9.6192384769538952E-3</v>
      </c>
      <c r="O854" s="10">
        <v>-1.0000000000002229E-2</v>
      </c>
      <c r="P854" s="10">
        <v>-5.1689860834982393E-2</v>
      </c>
      <c r="Q854" s="10">
        <v>-0.15800000000000414</v>
      </c>
      <c r="R854" s="10">
        <v>-0.13400000000000323</v>
      </c>
      <c r="S854" s="10">
        <v>-1</v>
      </c>
      <c r="T854" s="10">
        <v>-1</v>
      </c>
    </row>
    <row r="855" spans="1:20" x14ac:dyDescent="0.25">
      <c r="A855" s="76">
        <v>3</v>
      </c>
      <c r="B855" s="76" t="s">
        <v>54</v>
      </c>
      <c r="C855" s="76">
        <v>2007</v>
      </c>
      <c r="D855" s="76" t="str">
        <f t="shared" si="70"/>
        <v>A07S</v>
      </c>
      <c r="E855" s="76" t="s">
        <v>96</v>
      </c>
      <c r="F855" s="77" t="s">
        <v>1146</v>
      </c>
      <c r="G855" s="78">
        <v>0.94522040199225343</v>
      </c>
      <c r="H855" s="79"/>
      <c r="I855" s="79"/>
      <c r="J855" s="3" t="str">
        <f t="shared" si="69"/>
        <v/>
      </c>
      <c r="K855" s="10">
        <v>-9.0180360721442421E-3</v>
      </c>
      <c r="L855" s="10">
        <v>-1.1411411411411554E-2</v>
      </c>
      <c r="M855" s="10">
        <v>-1.1411411411411554E-2</v>
      </c>
      <c r="N855" s="10">
        <v>-9.6192384769535622E-3</v>
      </c>
      <c r="O855" s="10">
        <v>1.2000000000000455E-2</v>
      </c>
      <c r="P855" s="10">
        <v>9.940357852879389E-3</v>
      </c>
      <c r="Q855" s="10">
        <v>-1.9999999999982254E-3</v>
      </c>
      <c r="R855" s="10">
        <v>-8.0000000000006843E-2</v>
      </c>
      <c r="S855" s="10">
        <v>-0.57799999999999729</v>
      </c>
      <c r="T855" s="10">
        <v>-1</v>
      </c>
    </row>
    <row r="856" spans="1:20" x14ac:dyDescent="0.25">
      <c r="A856" s="76">
        <v>3</v>
      </c>
      <c r="B856" s="76" t="s">
        <v>54</v>
      </c>
      <c r="C856" s="76">
        <v>2007</v>
      </c>
      <c r="D856" s="76" t="str">
        <f t="shared" ref="D856:D865" si="71">LEFT(F856,4)</f>
        <v>A07S</v>
      </c>
      <c r="E856" s="76" t="s">
        <v>96</v>
      </c>
      <c r="F856" s="77" t="s">
        <v>1147</v>
      </c>
      <c r="G856" s="78">
        <v>0.95092086605050918</v>
      </c>
      <c r="H856" s="79"/>
      <c r="I856" s="79"/>
      <c r="J856" s="3" t="str">
        <f t="shared" si="69"/>
        <v/>
      </c>
      <c r="K856" s="10">
        <v>-2.2022022022023524E-3</v>
      </c>
      <c r="L856" s="10">
        <v>0.13116232464929878</v>
      </c>
      <c r="M856" s="10">
        <v>-0.14058116232464946</v>
      </c>
      <c r="N856" s="10">
        <v>-3.8114343029088671E-3</v>
      </c>
      <c r="O856" s="10">
        <v>2.0000000000037765E-3</v>
      </c>
      <c r="P856" s="10">
        <v>3.9761431411440284E-3</v>
      </c>
      <c r="Q856" s="10">
        <v>-1.7928286852582409E-2</v>
      </c>
      <c r="R856" s="10">
        <v>-7.8000000000000069E-2</v>
      </c>
      <c r="S856" s="10">
        <v>-0.41800000000000015</v>
      </c>
      <c r="T856" s="10">
        <v>-1</v>
      </c>
    </row>
    <row r="857" spans="1:20" x14ac:dyDescent="0.25">
      <c r="A857" s="76">
        <v>3</v>
      </c>
      <c r="B857" s="76" t="s">
        <v>54</v>
      </c>
      <c r="C857" s="76">
        <v>2007</v>
      </c>
      <c r="D857" s="76" t="str">
        <f t="shared" si="71"/>
        <v>A07S</v>
      </c>
      <c r="E857" s="76" t="s">
        <v>96</v>
      </c>
      <c r="F857" s="77" t="s">
        <v>1148</v>
      </c>
      <c r="G857" s="78">
        <v>0.87023964688831101</v>
      </c>
      <c r="H857" s="79"/>
      <c r="I857" s="79"/>
      <c r="J857" s="3" t="str">
        <f t="shared" si="69"/>
        <v/>
      </c>
      <c r="K857" s="10">
        <v>1.3113113113113029E-2</v>
      </c>
      <c r="L857" s="10">
        <v>1.3226452905811703E-2</v>
      </c>
      <c r="M857" s="10">
        <v>1.4729458917835503E-2</v>
      </c>
      <c r="N857" s="10">
        <v>1.5245737211635246E-2</v>
      </c>
      <c r="O857" s="10">
        <v>1.8000000000000238E-2</v>
      </c>
      <c r="P857" s="10">
        <v>5.9642147117293653E-3</v>
      </c>
      <c r="Q857" s="10">
        <v>-0.13745019920318746</v>
      </c>
      <c r="R857" s="10">
        <v>-0.6359999999999999</v>
      </c>
      <c r="S857" s="10">
        <v>-0.99799999999999967</v>
      </c>
      <c r="T857" s="10">
        <v>-1</v>
      </c>
    </row>
    <row r="858" spans="1:20" x14ac:dyDescent="0.25">
      <c r="A858" s="76">
        <v>3</v>
      </c>
      <c r="B858" s="76" t="s">
        <v>54</v>
      </c>
      <c r="C858" s="76">
        <v>2007</v>
      </c>
      <c r="D858" s="76" t="str">
        <f t="shared" si="71"/>
        <v>A07S</v>
      </c>
      <c r="E858" s="76" t="s">
        <v>96</v>
      </c>
      <c r="F858" s="77" t="s">
        <v>1149</v>
      </c>
      <c r="G858" s="78">
        <v>0.78982641276049281</v>
      </c>
      <c r="H858" s="79"/>
      <c r="I858" s="79"/>
      <c r="J858" s="3" t="str">
        <f t="shared" si="69"/>
        <v/>
      </c>
      <c r="K858" s="10">
        <v>-2.2222222222222254E-2</v>
      </c>
      <c r="L858" s="10">
        <v>-2.5150300601201936E-2</v>
      </c>
      <c r="M858" s="10">
        <v>-3.0460921843687427E-2</v>
      </c>
      <c r="N858" s="10">
        <v>-2.7683049147442351E-2</v>
      </c>
      <c r="O858" s="10">
        <v>-2.4000000000000909E-2</v>
      </c>
      <c r="P858" s="10">
        <v>-7.5546719681901853E-2</v>
      </c>
      <c r="Q858" s="10">
        <v>-0.25498007968127301</v>
      </c>
      <c r="R858" s="10">
        <v>-0.99400000000000543</v>
      </c>
      <c r="S858" s="10">
        <v>-1</v>
      </c>
      <c r="T858" s="10">
        <v>-1</v>
      </c>
    </row>
    <row r="859" spans="1:20" x14ac:dyDescent="0.25">
      <c r="A859" s="76">
        <v>3</v>
      </c>
      <c r="B859" s="76" t="s">
        <v>54</v>
      </c>
      <c r="C859" s="76">
        <v>2007</v>
      </c>
      <c r="D859" s="76" t="str">
        <f t="shared" si="71"/>
        <v>A07S</v>
      </c>
      <c r="E859" s="76" t="s">
        <v>96</v>
      </c>
      <c r="F859" s="77" t="s">
        <v>1150</v>
      </c>
      <c r="G859" s="78">
        <v>0.86762439353316567</v>
      </c>
      <c r="H859" s="79"/>
      <c r="I859" s="79"/>
      <c r="J859" s="3" t="str">
        <f t="shared" si="69"/>
        <v/>
      </c>
      <c r="K859" s="10">
        <v>-1.1011011011012872E-3</v>
      </c>
      <c r="L859" s="10">
        <v>-4.20841683366735E-3</v>
      </c>
      <c r="M859" s="10">
        <v>-9.8196392785571129E-3</v>
      </c>
      <c r="N859" s="10">
        <v>-1.1534603811433786E-2</v>
      </c>
      <c r="O859" s="10">
        <v>-1.7000000000000126E-2</v>
      </c>
      <c r="P859" s="10">
        <v>-4.9701789264413376E-2</v>
      </c>
      <c r="Q859" s="10">
        <v>-0.11952191235059717</v>
      </c>
      <c r="R859" s="10">
        <v>-0.3340000000000003</v>
      </c>
      <c r="S859" s="10">
        <v>-0.99600000000000077</v>
      </c>
      <c r="T859" s="10">
        <v>-1</v>
      </c>
    </row>
    <row r="860" spans="1:20" x14ac:dyDescent="0.25">
      <c r="A860" s="76">
        <v>3</v>
      </c>
      <c r="B860" s="76" t="s">
        <v>54</v>
      </c>
      <c r="C860" s="76">
        <v>2007</v>
      </c>
      <c r="D860" s="76" t="str">
        <f t="shared" si="71"/>
        <v>A07S</v>
      </c>
      <c r="E860" s="76" t="s">
        <v>96</v>
      </c>
      <c r="F860" s="77" t="s">
        <v>1151</v>
      </c>
      <c r="G860" s="78">
        <v>0.90175542951778753</v>
      </c>
      <c r="H860" s="79"/>
      <c r="I860" s="79"/>
      <c r="J860" s="3" t="str">
        <f t="shared" si="69"/>
        <v/>
      </c>
      <c r="K860" s="10">
        <v>-1.34134134134134E-2</v>
      </c>
      <c r="L860" s="10">
        <v>-1.322645290581137E-2</v>
      </c>
      <c r="M860" s="10">
        <v>-1.3727454909819636E-2</v>
      </c>
      <c r="N860" s="10">
        <v>-1.4343029087261705E-2</v>
      </c>
      <c r="O860" s="10">
        <v>-9.0000000000003411E-3</v>
      </c>
      <c r="P860" s="10">
        <v>-2.1868787276344448E-2</v>
      </c>
      <c r="Q860" s="10">
        <v>-2.7888446215134644E-2</v>
      </c>
      <c r="R860" s="10">
        <v>-0.11400000000000432</v>
      </c>
      <c r="S860" s="10">
        <v>-0.995999999999998</v>
      </c>
      <c r="T860" s="10">
        <v>-1</v>
      </c>
    </row>
    <row r="861" spans="1:20" x14ac:dyDescent="0.25">
      <c r="A861" s="76">
        <v>3</v>
      </c>
      <c r="B861" s="76" t="s">
        <v>54</v>
      </c>
      <c r="C861" s="76">
        <v>2007</v>
      </c>
      <c r="D861" s="76" t="str">
        <f t="shared" si="71"/>
        <v>A07S</v>
      </c>
      <c r="E861" s="76" t="s">
        <v>96</v>
      </c>
      <c r="F861" s="77" t="s">
        <v>1152</v>
      </c>
      <c r="G861" s="78">
        <v>0.90364083880396728</v>
      </c>
      <c r="H861" s="79"/>
      <c r="I861" s="79"/>
      <c r="J861" s="3" t="str">
        <f t="shared" si="69"/>
        <v/>
      </c>
      <c r="K861" s="10">
        <v>-1.0810810810810811E-2</v>
      </c>
      <c r="L861" s="10">
        <v>-1.2324649298597223E-2</v>
      </c>
      <c r="M861" s="10">
        <v>-1.4228456913827681E-2</v>
      </c>
      <c r="N861" s="10">
        <v>-1.5546639919759575E-2</v>
      </c>
      <c r="O861" s="10">
        <v>-1.2999999999999567E-2</v>
      </c>
      <c r="P861" s="10">
        <v>-9.940357852879167E-3</v>
      </c>
      <c r="Q861" s="10">
        <v>-2.9880478087648044E-2</v>
      </c>
      <c r="R861" s="10">
        <v>-0.1120000000000001</v>
      </c>
      <c r="S861" s="10">
        <v>-0.99599999999999977</v>
      </c>
      <c r="T861" s="10">
        <v>-1</v>
      </c>
    </row>
    <row r="862" spans="1:20" x14ac:dyDescent="0.25">
      <c r="A862" s="76">
        <v>3</v>
      </c>
      <c r="B862" s="76" t="s">
        <v>54</v>
      </c>
      <c r="C862" s="76">
        <v>2007</v>
      </c>
      <c r="D862" s="76" t="str">
        <f t="shared" si="71"/>
        <v>A07S</v>
      </c>
      <c r="E862" s="76" t="s">
        <v>96</v>
      </c>
      <c r="F862" s="77" t="s">
        <v>1153</v>
      </c>
      <c r="G862" s="78">
        <v>0.88325532395031481</v>
      </c>
      <c r="H862" s="79"/>
      <c r="I862" s="79"/>
      <c r="J862" s="3" t="str">
        <f t="shared" si="69"/>
        <v/>
      </c>
      <c r="K862" s="10">
        <v>-6.0060060060055376E-3</v>
      </c>
      <c r="L862" s="10">
        <v>-6.0120240480963094E-3</v>
      </c>
      <c r="M862" s="10">
        <v>-5.3106212424851584E-3</v>
      </c>
      <c r="N862" s="10">
        <v>-8.2246740220657255E-3</v>
      </c>
      <c r="O862" s="10">
        <v>-1.7000000000001569E-2</v>
      </c>
      <c r="P862" s="10">
        <v>-3.3797216699798516E-2</v>
      </c>
      <c r="Q862" s="10">
        <v>-0.12151394422311379</v>
      </c>
      <c r="R862" s="10">
        <v>-0.17599999999999905</v>
      </c>
      <c r="S862" s="10">
        <v>-0.98999999999999777</v>
      </c>
      <c r="T862" s="10">
        <v>-1</v>
      </c>
    </row>
    <row r="863" spans="1:20" x14ac:dyDescent="0.25">
      <c r="A863" s="76">
        <v>3</v>
      </c>
      <c r="B863" s="76" t="s">
        <v>54</v>
      </c>
      <c r="C863" s="76">
        <v>2007</v>
      </c>
      <c r="D863" s="76" t="str">
        <f t="shared" si="71"/>
        <v>A07S</v>
      </c>
      <c r="E863" s="76" t="s">
        <v>96</v>
      </c>
      <c r="F863" s="77" t="s">
        <v>1154</v>
      </c>
      <c r="G863" s="78">
        <v>0.84164432313495474</v>
      </c>
      <c r="H863" s="79"/>
      <c r="I863" s="79"/>
      <c r="J863" s="3" t="str">
        <f t="shared" si="69"/>
        <v/>
      </c>
      <c r="K863" s="10">
        <v>-1.2912912912913077E-2</v>
      </c>
      <c r="L863" s="10">
        <v>-1.322645290581137E-2</v>
      </c>
      <c r="M863" s="10">
        <v>-1.6533066132264684E-2</v>
      </c>
      <c r="N863" s="10">
        <v>-2.0461384152457462E-2</v>
      </c>
      <c r="O863" s="10">
        <v>-2.8999999999999249E-2</v>
      </c>
      <c r="P863" s="10">
        <v>-4.3737574552683456E-2</v>
      </c>
      <c r="Q863" s="10">
        <v>-0.13545816733068217</v>
      </c>
      <c r="R863" s="10">
        <v>-0.61199999999999477</v>
      </c>
      <c r="S863" s="10">
        <v>-0.99800000000000177</v>
      </c>
      <c r="T863" s="10">
        <v>-1</v>
      </c>
    </row>
    <row r="864" spans="1:20" x14ac:dyDescent="0.25">
      <c r="A864" s="76">
        <v>3</v>
      </c>
      <c r="B864" s="76" t="s">
        <v>54</v>
      </c>
      <c r="C864" s="76">
        <v>2007</v>
      </c>
      <c r="D864" s="76" t="str">
        <f t="shared" si="71"/>
        <v>A07S</v>
      </c>
      <c r="E864" s="76" t="s">
        <v>96</v>
      </c>
      <c r="F864" s="77" t="s">
        <v>1155</v>
      </c>
      <c r="G864" s="78">
        <v>0.82659979067750045</v>
      </c>
      <c r="H864" s="79"/>
      <c r="I864" s="79"/>
      <c r="J864" s="3" t="str">
        <f t="shared" si="69"/>
        <v/>
      </c>
      <c r="K864" s="10">
        <v>-3.7037037037039866E-3</v>
      </c>
      <c r="L864" s="10">
        <v>-3.2064128256514834E-3</v>
      </c>
      <c r="M864" s="10">
        <v>-3.6072144288576968E-3</v>
      </c>
      <c r="N864" s="10">
        <v>-3.4102306920761327E-3</v>
      </c>
      <c r="O864" s="10">
        <v>9.9999999999900169E-4</v>
      </c>
      <c r="P864" s="10">
        <v>-9.940357852879167E-3</v>
      </c>
      <c r="Q864" s="10">
        <v>-0.18525896414343124</v>
      </c>
      <c r="R864" s="10">
        <v>-0.98400000000000321</v>
      </c>
      <c r="S864" s="10">
        <v>-1</v>
      </c>
      <c r="T864" s="10">
        <v>-1</v>
      </c>
    </row>
    <row r="865" spans="1:20" x14ac:dyDescent="0.25">
      <c r="A865" s="76">
        <v>3</v>
      </c>
      <c r="B865" s="76" t="s">
        <v>54</v>
      </c>
      <c r="C865" s="76">
        <v>2007</v>
      </c>
      <c r="D865" s="76" t="str">
        <f t="shared" si="71"/>
        <v>A07S</v>
      </c>
      <c r="E865" s="76" t="s">
        <v>96</v>
      </c>
      <c r="F865" s="77" t="s">
        <v>1156</v>
      </c>
      <c r="G865" s="78">
        <v>0.90501374043215799</v>
      </c>
      <c r="H865" s="79"/>
      <c r="I865" s="79"/>
      <c r="J865" s="3" t="str">
        <f t="shared" si="69"/>
        <v/>
      </c>
      <c r="K865" s="10">
        <v>1.1811811811812234E-2</v>
      </c>
      <c r="L865" s="10">
        <v>1.1222444889779748E-2</v>
      </c>
      <c r="M865" s="10">
        <v>1.2224448897795392E-2</v>
      </c>
      <c r="N865" s="10">
        <v>1.5947843530591976E-2</v>
      </c>
      <c r="O865" s="10">
        <v>2.0999999999997909E-2</v>
      </c>
      <c r="P865" s="10">
        <v>7.9522862823047102E-3</v>
      </c>
      <c r="Q865" s="10">
        <v>-9.9601593625490259E-2</v>
      </c>
      <c r="R865" s="10">
        <v>-0.23600000000000132</v>
      </c>
      <c r="S865" s="10">
        <v>-0.99600000000000366</v>
      </c>
      <c r="T865" s="10">
        <v>-1</v>
      </c>
    </row>
    <row r="866" spans="1:20" x14ac:dyDescent="0.25">
      <c r="A866" s="76">
        <v>3</v>
      </c>
      <c r="B866" s="76" t="s">
        <v>54</v>
      </c>
      <c r="C866" s="76">
        <v>2007</v>
      </c>
      <c r="D866" s="76" t="str">
        <f t="shared" ref="D866:D875" si="72">LEFT(F866,4)</f>
        <v>A07S</v>
      </c>
      <c r="E866" s="76" t="s">
        <v>96</v>
      </c>
      <c r="F866" s="77" t="s">
        <v>1157</v>
      </c>
      <c r="G866" s="78">
        <v>0.9107601334747093</v>
      </c>
      <c r="H866" s="79"/>
      <c r="I866" s="79"/>
      <c r="J866" s="3" t="str">
        <f t="shared" si="69"/>
        <v/>
      </c>
      <c r="K866" s="10">
        <v>4.68127490039838E-3</v>
      </c>
      <c r="L866" s="10">
        <v>3.493013972055703E-3</v>
      </c>
      <c r="M866" s="10">
        <v>3.5105315947845384E-3</v>
      </c>
      <c r="N866" s="10">
        <v>4.9049049049048055E-3</v>
      </c>
      <c r="O866" s="10">
        <v>1.2000000000000455E-2</v>
      </c>
      <c r="P866" s="10">
        <v>2.78884462151332E-2</v>
      </c>
      <c r="Q866" s="10">
        <v>-0.49399999999999411</v>
      </c>
      <c r="R866" s="10">
        <v>-5.1999999999998159E-2</v>
      </c>
      <c r="S866" s="10">
        <v>-0.30800000000000405</v>
      </c>
      <c r="T866" s="10">
        <v>-1</v>
      </c>
    </row>
    <row r="867" spans="1:20" x14ac:dyDescent="0.25">
      <c r="A867" s="76">
        <v>3</v>
      </c>
      <c r="B867" s="76" t="s">
        <v>54</v>
      </c>
      <c r="C867" s="76">
        <v>2007</v>
      </c>
      <c r="D867" s="76" t="str">
        <f t="shared" si="72"/>
        <v>A07S</v>
      </c>
      <c r="E867" s="76" t="s">
        <v>96</v>
      </c>
      <c r="F867" s="77" t="s">
        <v>1158</v>
      </c>
      <c r="G867" s="78">
        <v>0.84205253590213258</v>
      </c>
      <c r="H867" s="79"/>
      <c r="I867" s="79"/>
      <c r="J867" s="3" t="str">
        <f t="shared" si="69"/>
        <v/>
      </c>
      <c r="K867" s="10">
        <v>-9.661354581673276E-3</v>
      </c>
      <c r="L867" s="10">
        <v>-1.1277445109780793E-2</v>
      </c>
      <c r="M867" s="10">
        <v>-1.1233701103309568E-2</v>
      </c>
      <c r="N867" s="10">
        <v>-1.1811811811812123E-2</v>
      </c>
      <c r="O867" s="10">
        <v>-9.9999999999965672E-3</v>
      </c>
      <c r="P867" s="10">
        <v>-1.1952191235063747E-2</v>
      </c>
      <c r="Q867" s="10">
        <v>-0.52000000000000457</v>
      </c>
      <c r="R867" s="10">
        <v>-0.15599999999999459</v>
      </c>
      <c r="S867" s="10">
        <v>-0.97999999999999543</v>
      </c>
      <c r="T867" s="10">
        <v>-1</v>
      </c>
    </row>
    <row r="868" spans="1:20" x14ac:dyDescent="0.25">
      <c r="A868" s="76">
        <v>3</v>
      </c>
      <c r="B868" s="76" t="s">
        <v>54</v>
      </c>
      <c r="C868" s="76">
        <v>2007</v>
      </c>
      <c r="D868" s="76" t="str">
        <f t="shared" si="72"/>
        <v>A07S</v>
      </c>
      <c r="E868" s="76" t="s">
        <v>96</v>
      </c>
      <c r="F868" s="77" t="s">
        <v>1159</v>
      </c>
      <c r="G868" s="78">
        <v>0.79523087561722738</v>
      </c>
      <c r="H868" s="79"/>
      <c r="I868" s="79"/>
      <c r="J868" s="3" t="str">
        <f t="shared" si="69"/>
        <v/>
      </c>
      <c r="K868" s="10">
        <v>-3.1274900398406191E-2</v>
      </c>
      <c r="L868" s="10">
        <v>-3.2135728542914577E-2</v>
      </c>
      <c r="M868" s="10">
        <v>-3.1795386158475103E-2</v>
      </c>
      <c r="N868" s="10">
        <v>-3.5235235235235307E-2</v>
      </c>
      <c r="O868" s="10">
        <v>-2.9999999999998694E-2</v>
      </c>
      <c r="P868" s="10">
        <v>-2.9880478087649487E-2</v>
      </c>
      <c r="Q868" s="10">
        <v>-0.56000000000000016</v>
      </c>
      <c r="R868" s="10">
        <v>-0.51599999999999968</v>
      </c>
      <c r="S868" s="10">
        <v>-1</v>
      </c>
      <c r="T868" s="10">
        <v>-1</v>
      </c>
    </row>
    <row r="869" spans="1:20" x14ac:dyDescent="0.25">
      <c r="A869" s="76">
        <v>3</v>
      </c>
      <c r="B869" s="76" t="s">
        <v>54</v>
      </c>
      <c r="C869" s="76">
        <v>2007</v>
      </c>
      <c r="D869" s="76" t="str">
        <f t="shared" si="72"/>
        <v>A07S</v>
      </c>
      <c r="E869" s="76" t="s">
        <v>96</v>
      </c>
      <c r="F869" s="77" t="s">
        <v>1160</v>
      </c>
      <c r="G869" s="78">
        <v>0.8594304259026746</v>
      </c>
      <c r="H869" s="79"/>
      <c r="I869" s="79"/>
      <c r="J869" s="3" t="str">
        <f t="shared" si="69"/>
        <v/>
      </c>
      <c r="K869" s="10">
        <v>3.3864541832668849E-3</v>
      </c>
      <c r="L869" s="10">
        <v>1.1976047904191933E-3</v>
      </c>
      <c r="M869" s="10">
        <v>7.0210631895695208E-4</v>
      </c>
      <c r="N869" s="10">
        <v>1.1011011011006211E-3</v>
      </c>
      <c r="O869" s="10">
        <v>1.399999999999868E-2</v>
      </c>
      <c r="P869" s="10">
        <v>2.7888446215144524E-2</v>
      </c>
      <c r="Q869" s="10">
        <v>-0.51800000000000634</v>
      </c>
      <c r="R869" s="10">
        <v>-0.16599999999999682</v>
      </c>
      <c r="S869" s="10">
        <v>-0.98799999999999955</v>
      </c>
      <c r="T869" s="10">
        <v>-1</v>
      </c>
    </row>
    <row r="870" spans="1:20" x14ac:dyDescent="0.25">
      <c r="A870" s="76">
        <v>3</v>
      </c>
      <c r="B870" s="76" t="s">
        <v>54</v>
      </c>
      <c r="C870" s="76">
        <v>2007</v>
      </c>
      <c r="D870" s="76" t="str">
        <f t="shared" si="72"/>
        <v>A07S</v>
      </c>
      <c r="E870" s="76" t="s">
        <v>96</v>
      </c>
      <c r="F870" s="77" t="s">
        <v>1161</v>
      </c>
      <c r="G870" s="78">
        <v>0.90827306234623817</v>
      </c>
      <c r="H870" s="79"/>
      <c r="I870" s="79"/>
      <c r="J870" s="3" t="str">
        <f t="shared" si="69"/>
        <v/>
      </c>
      <c r="K870" s="10">
        <v>-3.7848605577690542E-3</v>
      </c>
      <c r="L870" s="10">
        <v>-5.289421157684604E-3</v>
      </c>
      <c r="M870" s="10">
        <v>-5.9177532597792792E-3</v>
      </c>
      <c r="N870" s="10">
        <v>-7.8078078078077651E-3</v>
      </c>
      <c r="O870" s="10">
        <v>-2.0000000000038876E-3</v>
      </c>
      <c r="P870" s="10">
        <v>1.3944223107576148E-2</v>
      </c>
      <c r="Q870" s="10">
        <v>-0.49400000000000543</v>
      </c>
      <c r="R870" s="10">
        <v>-3.6000000000001364E-2</v>
      </c>
      <c r="S870" s="10">
        <v>-0.21399999999999864</v>
      </c>
      <c r="T870" s="10">
        <v>-1</v>
      </c>
    </row>
    <row r="871" spans="1:20" x14ac:dyDescent="0.25">
      <c r="A871" s="76">
        <v>3</v>
      </c>
      <c r="B871" s="76" t="s">
        <v>54</v>
      </c>
      <c r="C871" s="76">
        <v>2007</v>
      </c>
      <c r="D871" s="76" t="str">
        <f t="shared" si="72"/>
        <v>A07S</v>
      </c>
      <c r="E871" s="76" t="s">
        <v>96</v>
      </c>
      <c r="F871" s="77" t="s">
        <v>1162</v>
      </c>
      <c r="G871" s="78">
        <v>0.84959618777018453</v>
      </c>
      <c r="H871" s="79"/>
      <c r="I871" s="79"/>
      <c r="J871" s="3" t="str">
        <f t="shared" si="69"/>
        <v/>
      </c>
      <c r="K871" s="10">
        <v>-3.8844621513943745E-3</v>
      </c>
      <c r="L871" s="10">
        <v>-2.7944111776448954E-3</v>
      </c>
      <c r="M871" s="10">
        <v>-3.0090270812437314E-3</v>
      </c>
      <c r="N871" s="10">
        <v>-6.0060060060059817E-3</v>
      </c>
      <c r="O871" s="10">
        <v>-6.9999999999993401E-3</v>
      </c>
      <c r="P871" s="10">
        <v>-1.9920318725117347E-3</v>
      </c>
      <c r="Q871" s="10">
        <v>-0.51599999999999679</v>
      </c>
      <c r="R871" s="10">
        <v>-0.13000000000000678</v>
      </c>
      <c r="S871" s="10">
        <v>-0.97599999999999909</v>
      </c>
      <c r="T871" s="10">
        <v>-1</v>
      </c>
    </row>
    <row r="872" spans="1:20" x14ac:dyDescent="0.25">
      <c r="A872" s="76">
        <v>3</v>
      </c>
      <c r="B872" s="76" t="s">
        <v>54</v>
      </c>
      <c r="C872" s="76">
        <v>2007</v>
      </c>
      <c r="D872" s="76" t="str">
        <f t="shared" si="72"/>
        <v>A07S</v>
      </c>
      <c r="E872" s="76" t="s">
        <v>96</v>
      </c>
      <c r="F872" s="77" t="s">
        <v>1163</v>
      </c>
      <c r="G872" s="78">
        <v>0.90904814401380163</v>
      </c>
      <c r="H872" s="79"/>
      <c r="I872" s="79"/>
      <c r="J872" s="3" t="str">
        <f t="shared" si="69"/>
        <v/>
      </c>
      <c r="K872" s="10">
        <v>3.2868525896414535E-3</v>
      </c>
      <c r="L872" s="10">
        <v>3.2934131736526151E-3</v>
      </c>
      <c r="M872" s="10">
        <v>5.5165496489464338E-3</v>
      </c>
      <c r="N872" s="10">
        <v>7.1071071071071579E-3</v>
      </c>
      <c r="O872" s="10">
        <v>1.399999999999868E-2</v>
      </c>
      <c r="P872" s="10">
        <v>-3.9840637450198058E-3</v>
      </c>
      <c r="Q872" s="10">
        <v>-0.4600000000000023</v>
      </c>
      <c r="R872" s="10">
        <v>-5.1999999999998159E-2</v>
      </c>
      <c r="S872" s="10">
        <v>-0.2899999999999977</v>
      </c>
      <c r="T872" s="10">
        <v>-1</v>
      </c>
    </row>
    <row r="873" spans="1:20" x14ac:dyDescent="0.25">
      <c r="A873" s="76">
        <v>3</v>
      </c>
      <c r="B873" s="76" t="s">
        <v>54</v>
      </c>
      <c r="C873" s="76">
        <v>2007</v>
      </c>
      <c r="D873" s="76" t="str">
        <f t="shared" si="72"/>
        <v>A07S</v>
      </c>
      <c r="E873" s="76" t="s">
        <v>96</v>
      </c>
      <c r="F873" s="77" t="s">
        <v>1164</v>
      </c>
      <c r="G873" s="78">
        <v>0.82728923208625782</v>
      </c>
      <c r="H873" s="79"/>
      <c r="I873" s="79"/>
      <c r="J873" s="3" t="str">
        <f t="shared" si="69"/>
        <v/>
      </c>
      <c r="K873" s="10">
        <v>-4.1832669322711125E-3</v>
      </c>
      <c r="L873" s="10">
        <v>-8.0838323353292774E-3</v>
      </c>
      <c r="M873" s="10">
        <v>-7.422266800401478E-3</v>
      </c>
      <c r="N873" s="10">
        <v>-1.4114114114114118E-2</v>
      </c>
      <c r="O873" s="10">
        <v>-1.6000000000002457E-2</v>
      </c>
      <c r="P873" s="10">
        <v>-2.1912350597604546E-2</v>
      </c>
      <c r="Q873" s="10">
        <v>-0.54400000000000548</v>
      </c>
      <c r="R873" s="10">
        <v>-0.25799999999999268</v>
      </c>
      <c r="S873" s="10">
        <v>-1</v>
      </c>
      <c r="T873" s="10">
        <v>-1</v>
      </c>
    </row>
    <row r="874" spans="1:20" x14ac:dyDescent="0.25">
      <c r="A874" s="76">
        <v>3</v>
      </c>
      <c r="B874" s="76" t="s">
        <v>54</v>
      </c>
      <c r="C874" s="76">
        <v>2007</v>
      </c>
      <c r="D874" s="76" t="str">
        <f t="shared" si="72"/>
        <v>A07S</v>
      </c>
      <c r="E874" s="76" t="s">
        <v>96</v>
      </c>
      <c r="F874" s="77" t="s">
        <v>1165</v>
      </c>
      <c r="G874" s="78">
        <v>0.80258150899869252</v>
      </c>
      <c r="H874" s="79"/>
      <c r="I874" s="79"/>
      <c r="J874" s="3" t="str">
        <f t="shared" si="69"/>
        <v/>
      </c>
      <c r="K874" s="10">
        <v>-1.7231075697211384E-2</v>
      </c>
      <c r="L874" s="10">
        <v>-1.9361277445109848E-2</v>
      </c>
      <c r="M874" s="10">
        <v>-1.9057171514543558E-2</v>
      </c>
      <c r="N874" s="10">
        <v>-2.6226226226225946E-2</v>
      </c>
      <c r="O874" s="10">
        <v>-3.2999999999999807E-2</v>
      </c>
      <c r="P874" s="10">
        <v>-6.9721115537848211E-2</v>
      </c>
      <c r="Q874" s="10">
        <v>-0.57599999999999907</v>
      </c>
      <c r="R874" s="10">
        <v>-0.29000000000000059</v>
      </c>
      <c r="S874" s="10">
        <v>-1</v>
      </c>
      <c r="T874" s="10">
        <v>-1</v>
      </c>
    </row>
    <row r="875" spans="1:20" x14ac:dyDescent="0.25">
      <c r="A875" s="76">
        <v>3</v>
      </c>
      <c r="B875" s="76" t="s">
        <v>54</v>
      </c>
      <c r="C875" s="76">
        <v>2007</v>
      </c>
      <c r="D875" s="76" t="str">
        <f t="shared" si="72"/>
        <v>A07S</v>
      </c>
      <c r="E875" s="76" t="s">
        <v>96</v>
      </c>
      <c r="F875" s="77" t="s">
        <v>1166</v>
      </c>
      <c r="G875" s="78">
        <v>0.90343111474223237</v>
      </c>
      <c r="H875" s="79"/>
      <c r="I875" s="79"/>
      <c r="J875" s="3" t="str">
        <f t="shared" si="69"/>
        <v/>
      </c>
      <c r="K875" s="10">
        <v>-6.4741035856574758E-3</v>
      </c>
      <c r="L875" s="10">
        <v>-6.98602794411185E-3</v>
      </c>
      <c r="M875" s="10">
        <v>-7.0210631895689657E-3</v>
      </c>
      <c r="N875" s="10">
        <v>-7.3073073073072203E-3</v>
      </c>
      <c r="O875" s="10">
        <v>0</v>
      </c>
      <c r="P875" s="10">
        <v>1.593625498008433E-2</v>
      </c>
      <c r="Q875" s="10">
        <v>-0.49400000000000543</v>
      </c>
      <c r="R875" s="10">
        <v>-5.1999999999998159E-2</v>
      </c>
      <c r="S875" s="10">
        <v>-0.28799999999999959</v>
      </c>
      <c r="T875" s="10">
        <v>-1</v>
      </c>
    </row>
    <row r="876" spans="1:20" x14ac:dyDescent="0.25">
      <c r="A876" s="76">
        <v>3</v>
      </c>
      <c r="B876" s="76" t="s">
        <v>54</v>
      </c>
      <c r="C876" s="76">
        <v>2007</v>
      </c>
      <c r="D876" s="76" t="str">
        <f t="shared" ref="D876:D885" si="73">LEFT(F876,4)</f>
        <v>A07S</v>
      </c>
      <c r="E876" s="76" t="s">
        <v>96</v>
      </c>
      <c r="F876" s="77" t="s">
        <v>1167</v>
      </c>
      <c r="G876" s="78">
        <v>0.88524998322053505</v>
      </c>
      <c r="H876" s="79"/>
      <c r="I876" s="79"/>
      <c r="J876" s="3" t="str">
        <f t="shared" si="69"/>
        <v/>
      </c>
      <c r="K876" s="10">
        <v>-7.8156312625251578E-3</v>
      </c>
      <c r="L876" s="10">
        <v>-9.1999999999995419E-3</v>
      </c>
      <c r="M876" s="10">
        <v>-1.2212212212212248E-2</v>
      </c>
      <c r="N876" s="10">
        <v>-1.3827655310621356E-2</v>
      </c>
      <c r="O876" s="10">
        <v>-1.6999999999998794E-2</v>
      </c>
      <c r="P876" s="10">
        <v>-4.0999999999999703E-2</v>
      </c>
      <c r="Q876" s="10">
        <v>-8.2000000000004958E-2</v>
      </c>
      <c r="R876" s="10">
        <v>-0.17200000000000271</v>
      </c>
      <c r="S876" s="10">
        <v>-0.99399999999999411</v>
      </c>
      <c r="T876" s="10">
        <v>-1</v>
      </c>
    </row>
    <row r="877" spans="1:20" x14ac:dyDescent="0.25">
      <c r="A877" s="76">
        <v>3</v>
      </c>
      <c r="B877" s="76" t="s">
        <v>54</v>
      </c>
      <c r="C877" s="76">
        <v>2007</v>
      </c>
      <c r="D877" s="76" t="str">
        <f t="shared" si="73"/>
        <v>A07S</v>
      </c>
      <c r="E877" s="76" t="s">
        <v>96</v>
      </c>
      <c r="F877" s="77" t="s">
        <v>1168</v>
      </c>
      <c r="G877" s="78">
        <v>0.87550971163644598</v>
      </c>
      <c r="H877" s="79"/>
      <c r="I877" s="79"/>
      <c r="J877" s="3" t="str">
        <f t="shared" si="69"/>
        <v/>
      </c>
      <c r="K877" s="10">
        <v>-1.1322645290581246E-2</v>
      </c>
      <c r="L877" s="10">
        <v>-1.079999999999981E-2</v>
      </c>
      <c r="M877" s="10">
        <v>-9.7097097097097462E-3</v>
      </c>
      <c r="N877" s="10">
        <v>-6.0120240480963094E-3</v>
      </c>
      <c r="O877" s="10">
        <v>-1.2000000000000455E-2</v>
      </c>
      <c r="P877" s="10">
        <v>-4.6000000000000041E-2</v>
      </c>
      <c r="Q877" s="10">
        <v>-0.10600000000000021</v>
      </c>
      <c r="R877" s="10">
        <v>-0.2679999999999978</v>
      </c>
      <c r="S877" s="10">
        <v>-0.99800000000000177</v>
      </c>
      <c r="T877" s="10">
        <v>-1</v>
      </c>
    </row>
    <row r="878" spans="1:20" x14ac:dyDescent="0.25">
      <c r="A878" s="76">
        <v>3</v>
      </c>
      <c r="B878" s="76" t="s">
        <v>54</v>
      </c>
      <c r="C878" s="76">
        <v>2007</v>
      </c>
      <c r="D878" s="76" t="str">
        <f t="shared" si="73"/>
        <v>A07S</v>
      </c>
      <c r="E878" s="76" t="s">
        <v>96</v>
      </c>
      <c r="F878" s="77" t="s">
        <v>1169</v>
      </c>
      <c r="G878" s="78">
        <v>0.86980315025103228</v>
      </c>
      <c r="H878" s="79"/>
      <c r="I878" s="79"/>
      <c r="J878" s="3" t="str">
        <f t="shared" si="69"/>
        <v/>
      </c>
      <c r="K878" s="10">
        <v>-1.5831663326652978E-2</v>
      </c>
      <c r="L878" s="10">
        <v>-1.7900000000000027E-2</v>
      </c>
      <c r="M878" s="10">
        <v>-1.9919919919920037E-2</v>
      </c>
      <c r="N878" s="10">
        <v>-1.8837675350701244E-2</v>
      </c>
      <c r="O878" s="10">
        <v>-1.7000000000001569E-2</v>
      </c>
      <c r="P878" s="10">
        <v>-4.5999999999997931E-2</v>
      </c>
      <c r="Q878" s="10">
        <v>-0.13799999999999957</v>
      </c>
      <c r="R878" s="10">
        <v>-0.24600000000000366</v>
      </c>
      <c r="S878" s="10">
        <v>-0.99600000000000366</v>
      </c>
      <c r="T878" s="10">
        <v>-1</v>
      </c>
    </row>
    <row r="879" spans="1:20" x14ac:dyDescent="0.25">
      <c r="A879" s="76">
        <v>3</v>
      </c>
      <c r="B879" s="76" t="s">
        <v>54</v>
      </c>
      <c r="C879" s="76">
        <v>2007</v>
      </c>
      <c r="D879" s="76" t="str">
        <f t="shared" si="73"/>
        <v>A07S</v>
      </c>
      <c r="E879" s="76" t="s">
        <v>96</v>
      </c>
      <c r="F879" s="77" t="s">
        <v>1170</v>
      </c>
      <c r="G879" s="78">
        <v>0.90615923738467941</v>
      </c>
      <c r="H879" s="79"/>
      <c r="I879" s="79"/>
      <c r="J879" s="3" t="str">
        <f t="shared" si="69"/>
        <v/>
      </c>
      <c r="K879" s="10">
        <v>-5.8116232464929807E-3</v>
      </c>
      <c r="L879" s="10">
        <v>-1.0000000000000009E-2</v>
      </c>
      <c r="M879" s="10">
        <v>-1.1711711711711592E-2</v>
      </c>
      <c r="N879" s="10">
        <v>-9.4188376753507885E-3</v>
      </c>
      <c r="O879" s="10">
        <v>-2.0999999999999353E-2</v>
      </c>
      <c r="P879" s="10">
        <v>-2.8000000000000136E-2</v>
      </c>
      <c r="Q879" s="10">
        <v>-1.399999999999868E-2</v>
      </c>
      <c r="R879" s="10">
        <v>-8.800000000000241E-2</v>
      </c>
      <c r="S879" s="10">
        <v>-0.92800000000000016</v>
      </c>
      <c r="T879" s="10">
        <v>-1</v>
      </c>
    </row>
    <row r="880" spans="1:20" x14ac:dyDescent="0.25">
      <c r="A880" s="76">
        <v>3</v>
      </c>
      <c r="B880" s="76" t="s">
        <v>54</v>
      </c>
      <c r="C880" s="76">
        <v>2007</v>
      </c>
      <c r="D880" s="76" t="str">
        <f t="shared" si="73"/>
        <v>A07S</v>
      </c>
      <c r="E880" s="76" t="s">
        <v>96</v>
      </c>
      <c r="F880" s="77" t="s">
        <v>1171</v>
      </c>
      <c r="G880" s="78">
        <v>0.8890200578455002</v>
      </c>
      <c r="H880" s="79"/>
      <c r="I880" s="79"/>
      <c r="J880" s="3" t="str">
        <f t="shared" si="69"/>
        <v/>
      </c>
      <c r="K880" s="10">
        <v>-1.0120240480961828E-2</v>
      </c>
      <c r="L880" s="10">
        <v>-1.3400000000000301E-2</v>
      </c>
      <c r="M880" s="10">
        <v>-1.3613613613613462E-2</v>
      </c>
      <c r="N880" s="10">
        <v>-1.573146292585148E-2</v>
      </c>
      <c r="O880" s="10">
        <v>-1.1000000000001342E-2</v>
      </c>
      <c r="P880" s="10">
        <v>-2.3000000000001464E-2</v>
      </c>
      <c r="Q880" s="10">
        <v>-7.3999999999999844E-2</v>
      </c>
      <c r="R880" s="10">
        <v>-0.19999999999999996</v>
      </c>
      <c r="S880" s="10">
        <v>-0.998</v>
      </c>
      <c r="T880" s="10">
        <v>-1</v>
      </c>
    </row>
    <row r="881" spans="1:23" x14ac:dyDescent="0.25">
      <c r="A881" s="76">
        <v>3</v>
      </c>
      <c r="B881" s="76" t="s">
        <v>54</v>
      </c>
      <c r="C881" s="76">
        <v>2007</v>
      </c>
      <c r="D881" s="76" t="str">
        <f t="shared" si="73"/>
        <v>A07S</v>
      </c>
      <c r="E881" s="76" t="s">
        <v>96</v>
      </c>
      <c r="F881" s="77" t="s">
        <v>1172</v>
      </c>
      <c r="G881" s="78">
        <v>0.98596117761850022</v>
      </c>
      <c r="H881" s="79"/>
      <c r="I881" s="79"/>
      <c r="J881" s="3" t="str">
        <f t="shared" si="69"/>
        <v/>
      </c>
      <c r="K881" s="10">
        <v>2.3046092184368927E-3</v>
      </c>
      <c r="L881" s="10">
        <v>1.9999999999997797E-3</v>
      </c>
      <c r="M881" s="10">
        <v>2.0020020020021789E-3</v>
      </c>
      <c r="N881" s="10">
        <v>3.2064128256514834E-3</v>
      </c>
      <c r="O881" s="10">
        <v>1.2000000000000455E-2</v>
      </c>
      <c r="P881" s="10">
        <v>1.8999999999998352E-2</v>
      </c>
      <c r="Q881" s="10">
        <v>1.6000000000002457E-2</v>
      </c>
      <c r="R881" s="10">
        <v>-6.0000000000002274E-3</v>
      </c>
      <c r="S881" s="10">
        <v>-0.10600000000000021</v>
      </c>
      <c r="T881" s="10">
        <v>-1</v>
      </c>
    </row>
    <row r="882" spans="1:23" x14ac:dyDescent="0.25">
      <c r="A882" s="76">
        <v>3</v>
      </c>
      <c r="B882" s="76" t="s">
        <v>54</v>
      </c>
      <c r="C882" s="76">
        <v>2007</v>
      </c>
      <c r="D882" s="76" t="str">
        <f t="shared" si="73"/>
        <v>A07S</v>
      </c>
      <c r="E882" s="76" t="s">
        <v>96</v>
      </c>
      <c r="F882" s="77" t="s">
        <v>1173</v>
      </c>
      <c r="G882" s="78">
        <v>0.87547574634638625</v>
      </c>
      <c r="H882" s="79"/>
      <c r="I882" s="79"/>
      <c r="J882" s="3" t="str">
        <f t="shared" si="69"/>
        <v/>
      </c>
      <c r="K882" s="10">
        <v>-1.3927855711423187E-2</v>
      </c>
      <c r="L882" s="10">
        <v>-1.719999999999966E-2</v>
      </c>
      <c r="M882" s="10">
        <v>-1.9819819819819839E-2</v>
      </c>
      <c r="N882" s="10">
        <v>-2.595190380761514E-2</v>
      </c>
      <c r="O882" s="10">
        <v>-2.9000000000002024E-2</v>
      </c>
      <c r="P882" s="10">
        <v>-5.399999999999916E-2</v>
      </c>
      <c r="Q882" s="10">
        <v>-9.5999999999997976E-2</v>
      </c>
      <c r="R882" s="10">
        <v>-0.16600000000000248</v>
      </c>
      <c r="S882" s="10">
        <v>-1</v>
      </c>
      <c r="T882" s="10">
        <v>-1</v>
      </c>
    </row>
    <row r="883" spans="1:23" x14ac:dyDescent="0.25">
      <c r="A883" s="76">
        <v>3</v>
      </c>
      <c r="B883" s="76" t="s">
        <v>54</v>
      </c>
      <c r="C883" s="76">
        <v>2007</v>
      </c>
      <c r="D883" s="76" t="str">
        <f t="shared" si="73"/>
        <v>A07S</v>
      </c>
      <c r="E883" s="76" t="s">
        <v>96</v>
      </c>
      <c r="F883" s="77" t="s">
        <v>1174</v>
      </c>
      <c r="G883" s="78">
        <v>0.95188041395628098</v>
      </c>
      <c r="H883" s="79"/>
      <c r="I883" s="79"/>
      <c r="J883" s="3" t="str">
        <f t="shared" si="69"/>
        <v/>
      </c>
      <c r="K883" s="10">
        <v>2.805611222445048E-3</v>
      </c>
      <c r="L883" s="10">
        <v>-1.9999999999986695E-4</v>
      </c>
      <c r="M883" s="10">
        <v>-1.0010010010015336E-3</v>
      </c>
      <c r="N883" s="10">
        <v>-5.0100200400793327E-4</v>
      </c>
      <c r="O883" s="10">
        <v>8.0000000000002292E-3</v>
      </c>
      <c r="P883" s="10">
        <v>8.0000000000000071E-3</v>
      </c>
      <c r="Q883" s="10">
        <v>-2.000000000000024E-2</v>
      </c>
      <c r="R883" s="10">
        <v>-7.5999999999999845E-2</v>
      </c>
      <c r="S883" s="10">
        <v>-0.45399999999999996</v>
      </c>
      <c r="T883" s="10">
        <v>-1</v>
      </c>
    </row>
    <row r="884" spans="1:23" x14ac:dyDescent="0.25">
      <c r="A884" s="76">
        <v>3</v>
      </c>
      <c r="B884" s="76" t="s">
        <v>54</v>
      </c>
      <c r="C884" s="76">
        <v>2007</v>
      </c>
      <c r="D884" s="76" t="str">
        <f t="shared" si="73"/>
        <v>A07S</v>
      </c>
      <c r="E884" s="76" t="s">
        <v>96</v>
      </c>
      <c r="F884" s="77" t="s">
        <v>1175</v>
      </c>
      <c r="G884" s="78">
        <v>0.85886391867011302</v>
      </c>
      <c r="H884" s="79"/>
      <c r="I884" s="79"/>
      <c r="J884" s="3" t="str">
        <f t="shared" si="69"/>
        <v/>
      </c>
      <c r="K884" s="10">
        <v>-1.6733466933867791E-2</v>
      </c>
      <c r="L884" s="10">
        <v>-1.5699999999999936E-2</v>
      </c>
      <c r="M884" s="10">
        <v>-1.7317317317317449E-2</v>
      </c>
      <c r="N884" s="10">
        <v>-1.9839679358717222E-2</v>
      </c>
      <c r="O884" s="10">
        <v>-2.2000000000002684E-2</v>
      </c>
      <c r="P884" s="10">
        <v>-5.2999999999997272E-2</v>
      </c>
      <c r="Q884" s="10">
        <v>-0.15399999999999636</v>
      </c>
      <c r="R884" s="10">
        <v>-0.33000000000000684</v>
      </c>
      <c r="S884" s="10">
        <v>-1</v>
      </c>
      <c r="T884" s="10">
        <v>-1</v>
      </c>
    </row>
    <row r="885" spans="1:23" x14ac:dyDescent="0.25">
      <c r="A885" s="76">
        <v>3</v>
      </c>
      <c r="B885" s="76" t="s">
        <v>54</v>
      </c>
      <c r="C885" s="76">
        <v>2007</v>
      </c>
      <c r="D885" s="76" t="str">
        <f t="shared" si="73"/>
        <v>A07S</v>
      </c>
      <c r="E885" s="76" t="s">
        <v>96</v>
      </c>
      <c r="F885" s="77" t="s">
        <v>1176</v>
      </c>
      <c r="G885" s="78">
        <v>0.79002806905526779</v>
      </c>
      <c r="H885" s="79"/>
      <c r="I885" s="79"/>
      <c r="J885" s="3" t="str">
        <f t="shared" si="69"/>
        <v/>
      </c>
      <c r="K885" s="10">
        <v>-3.8076152304613586E-3</v>
      </c>
      <c r="L885" s="10">
        <v>-8.1999999999999851E-3</v>
      </c>
      <c r="M885" s="10">
        <v>-1.4014014014013809E-2</v>
      </c>
      <c r="N885" s="10">
        <v>-1.8436873747495031E-2</v>
      </c>
      <c r="O885" s="10">
        <v>-2.2999999999999021E-2</v>
      </c>
      <c r="P885" s="10">
        <v>-7.100000000000084E-2</v>
      </c>
      <c r="Q885" s="10">
        <v>-0.29599999999999793</v>
      </c>
      <c r="R885" s="10">
        <v>-0.99600000000000366</v>
      </c>
      <c r="S885" s="10">
        <v>-0.995999999999998</v>
      </c>
      <c r="T885" s="10">
        <v>-1</v>
      </c>
    </row>
    <row r="886" spans="1:23" x14ac:dyDescent="0.25">
      <c r="A886" s="76">
        <v>3</v>
      </c>
      <c r="B886" s="76" t="s">
        <v>54</v>
      </c>
      <c r="C886" s="76">
        <v>1978</v>
      </c>
      <c r="D886" s="76" t="str">
        <f t="shared" ref="D886:D916" si="74">LEFT(F886,4)</f>
        <v>A78S</v>
      </c>
      <c r="E886" s="76" t="s">
        <v>1296</v>
      </c>
      <c r="F886" s="77" t="s">
        <v>262</v>
      </c>
      <c r="G886" s="78">
        <v>0.9273770883357989</v>
      </c>
      <c r="H886" s="79"/>
      <c r="I886" s="79"/>
      <c r="J886" s="3" t="str">
        <f t="shared" si="69"/>
        <v/>
      </c>
    </row>
    <row r="887" spans="1:23" x14ac:dyDescent="0.25">
      <c r="A887" s="76">
        <v>3</v>
      </c>
      <c r="B887" s="76" t="s">
        <v>54</v>
      </c>
      <c r="C887" s="76">
        <v>1978</v>
      </c>
      <c r="D887" s="76" t="str">
        <f t="shared" si="74"/>
        <v>A78S</v>
      </c>
      <c r="E887" s="76" t="s">
        <v>1296</v>
      </c>
      <c r="F887" s="77" t="s">
        <v>263</v>
      </c>
      <c r="G887" s="78">
        <v>0.70551289110127047</v>
      </c>
      <c r="H887" s="79">
        <v>38177</v>
      </c>
      <c r="I887" s="79">
        <v>38999</v>
      </c>
      <c r="J887" s="3">
        <f t="shared" si="69"/>
        <v>2</v>
      </c>
    </row>
    <row r="888" spans="1:23" x14ac:dyDescent="0.25">
      <c r="A888" s="76">
        <v>3</v>
      </c>
      <c r="B888" s="76" t="s">
        <v>54</v>
      </c>
      <c r="C888" s="76">
        <v>1978</v>
      </c>
      <c r="D888" s="76" t="str">
        <f t="shared" si="74"/>
        <v>A78S</v>
      </c>
      <c r="E888" s="76" t="s">
        <v>1296</v>
      </c>
      <c r="F888" s="77" t="s">
        <v>264</v>
      </c>
      <c r="G888" s="78">
        <v>0.67535002666284683</v>
      </c>
      <c r="H888" s="79">
        <v>34989</v>
      </c>
      <c r="I888" s="79">
        <v>41645</v>
      </c>
      <c r="J888" s="3">
        <f t="shared" si="69"/>
        <v>19</v>
      </c>
    </row>
    <row r="889" spans="1:23" x14ac:dyDescent="0.25">
      <c r="A889" s="76">
        <v>3</v>
      </c>
      <c r="B889" s="76" t="s">
        <v>54</v>
      </c>
      <c r="C889" s="76">
        <v>1978</v>
      </c>
      <c r="D889" s="76" t="str">
        <f t="shared" si="74"/>
        <v>A78S</v>
      </c>
      <c r="E889" s="76" t="s">
        <v>1296</v>
      </c>
      <c r="F889" s="77" t="s">
        <v>270</v>
      </c>
      <c r="G889" s="78">
        <v>0.89918720340200742</v>
      </c>
      <c r="H889" s="79">
        <v>34124</v>
      </c>
      <c r="I889" s="79">
        <v>41645</v>
      </c>
      <c r="J889" s="3">
        <f t="shared" si="69"/>
        <v>21</v>
      </c>
    </row>
    <row r="890" spans="1:23" x14ac:dyDescent="0.25">
      <c r="A890" s="76">
        <v>3</v>
      </c>
      <c r="B890" s="76" t="s">
        <v>54</v>
      </c>
      <c r="C890" s="76">
        <v>1978</v>
      </c>
      <c r="D890" s="76" t="str">
        <f t="shared" si="74"/>
        <v>A78S</v>
      </c>
      <c r="E890" s="76" t="s">
        <v>1296</v>
      </c>
      <c r="F890" s="77" t="s">
        <v>271</v>
      </c>
      <c r="G890" s="78">
        <v>0.84775050111483641</v>
      </c>
      <c r="H890" s="79">
        <v>34172</v>
      </c>
      <c r="I890" s="79">
        <v>41744</v>
      </c>
      <c r="J890" s="3">
        <f t="shared" si="69"/>
        <v>21</v>
      </c>
    </row>
    <row r="891" spans="1:23" x14ac:dyDescent="0.25">
      <c r="A891" s="76">
        <v>3</v>
      </c>
      <c r="B891" s="76" t="s">
        <v>54</v>
      </c>
      <c r="C891" s="76">
        <v>1978</v>
      </c>
      <c r="D891" s="76" t="str">
        <f t="shared" si="74"/>
        <v>A78S</v>
      </c>
      <c r="E891" s="76" t="s">
        <v>1296</v>
      </c>
      <c r="F891" s="77" t="s">
        <v>272</v>
      </c>
      <c r="G891" s="78">
        <v>0.87917457383341868</v>
      </c>
      <c r="H891" s="79">
        <v>35003</v>
      </c>
      <c r="I891" s="79">
        <v>41654</v>
      </c>
      <c r="J891" s="3">
        <f t="shared" si="69"/>
        <v>19</v>
      </c>
    </row>
    <row r="892" spans="1:23" x14ac:dyDescent="0.25">
      <c r="A892" s="76">
        <v>3</v>
      </c>
      <c r="B892" s="76" t="s">
        <v>54</v>
      </c>
      <c r="C892" s="76">
        <v>1978</v>
      </c>
      <c r="D892" s="76" t="str">
        <f t="shared" si="74"/>
        <v>A78S</v>
      </c>
      <c r="E892" s="76" t="s">
        <v>1296</v>
      </c>
      <c r="F892" s="77" t="s">
        <v>273</v>
      </c>
      <c r="G892" s="78">
        <v>0.73405509852970929</v>
      </c>
      <c r="H892" s="79">
        <v>35800</v>
      </c>
      <c r="I892" s="79">
        <v>41646</v>
      </c>
      <c r="J892" s="3">
        <f t="shared" si="69"/>
        <v>16</v>
      </c>
    </row>
    <row r="893" spans="1:23" x14ac:dyDescent="0.25">
      <c r="A893" s="76">
        <v>3</v>
      </c>
      <c r="B893" s="76" t="s">
        <v>54</v>
      </c>
      <c r="C893" s="76">
        <v>1978</v>
      </c>
      <c r="D893" s="76" t="str">
        <f t="shared" si="74"/>
        <v>A78S</v>
      </c>
      <c r="E893" s="76" t="s">
        <v>1296</v>
      </c>
      <c r="F893" s="77" t="s">
        <v>274</v>
      </c>
      <c r="G893" s="78">
        <v>0.85624559011288504</v>
      </c>
      <c r="H893" s="79">
        <v>35660</v>
      </c>
      <c r="I893" s="79">
        <v>41646</v>
      </c>
      <c r="J893" s="3">
        <f t="shared" si="69"/>
        <v>17</v>
      </c>
      <c r="K893" s="10"/>
      <c r="L893" s="10"/>
      <c r="M893" s="10"/>
      <c r="N893" s="10"/>
      <c r="O893" s="10"/>
      <c r="P893" s="10"/>
      <c r="Q893" s="10"/>
      <c r="R893" s="10"/>
      <c r="S893" s="10"/>
      <c r="T893" s="10"/>
    </row>
    <row r="894" spans="1:23" x14ac:dyDescent="0.25">
      <c r="A894" s="76">
        <v>3</v>
      </c>
      <c r="B894" s="76" t="s">
        <v>54</v>
      </c>
      <c r="C894" s="76">
        <v>1978</v>
      </c>
      <c r="D894" s="76" t="str">
        <f t="shared" si="74"/>
        <v>A78S</v>
      </c>
      <c r="E894" s="76" t="s">
        <v>1296</v>
      </c>
      <c r="F894" s="77" t="s">
        <v>808</v>
      </c>
      <c r="G894" s="78">
        <v>0.92751522188667535</v>
      </c>
      <c r="H894" s="79"/>
      <c r="I894" s="79"/>
      <c r="J894" s="3" t="str">
        <f t="shared" si="69"/>
        <v/>
      </c>
      <c r="K894" s="10">
        <v>-7.515030060118999E-4</v>
      </c>
      <c r="L894" s="10">
        <v>-7.5150300601234399E-4</v>
      </c>
      <c r="M894" s="10">
        <v>4.4408920985006262E-16</v>
      </c>
      <c r="N894" s="10">
        <v>-1.7500000000001403E-3</v>
      </c>
      <c r="O894" s="10">
        <v>5.0000000000000266E-2</v>
      </c>
      <c r="P894" s="10">
        <v>-3.9840637450198058E-3</v>
      </c>
      <c r="Q894" s="10">
        <v>-0.31772908366533914</v>
      </c>
      <c r="R894" s="10">
        <v>-0.20477137176938376</v>
      </c>
      <c r="S894" s="10">
        <v>-0.19980119284294262</v>
      </c>
      <c r="T894" s="10">
        <v>-1</v>
      </c>
    </row>
    <row r="895" spans="1:23" x14ac:dyDescent="0.25">
      <c r="A895" s="76">
        <v>3</v>
      </c>
      <c r="B895" s="76" t="s">
        <v>54</v>
      </c>
      <c r="C895" s="76">
        <v>1978</v>
      </c>
      <c r="D895" s="76" t="str">
        <f t="shared" si="74"/>
        <v>A78S</v>
      </c>
      <c r="E895" s="76" t="s">
        <v>1296</v>
      </c>
      <c r="F895" s="77" t="s">
        <v>809</v>
      </c>
      <c r="G895" s="78">
        <v>0.79704359903725686</v>
      </c>
      <c r="H895" s="79">
        <v>36838</v>
      </c>
      <c r="I895" s="79">
        <v>42202</v>
      </c>
      <c r="J895" s="3">
        <f t="shared" si="69"/>
        <v>15</v>
      </c>
      <c r="K895" s="10">
        <v>4.0080160320639102E-3</v>
      </c>
      <c r="L895" s="10">
        <v>1.2525050100200552E-3</v>
      </c>
      <c r="M895" s="10">
        <v>7.5225677031094396E-3</v>
      </c>
      <c r="N895" s="10">
        <v>1.4999999999999902E-2</v>
      </c>
      <c r="O895" s="10">
        <v>1.5000000000003455E-2</v>
      </c>
      <c r="P895" s="10">
        <v>9.960159362505383E-4</v>
      </c>
      <c r="Q895" s="10">
        <v>-0.48705179282868749</v>
      </c>
      <c r="R895" s="10">
        <v>-1</v>
      </c>
      <c r="S895" s="10">
        <v>-1</v>
      </c>
      <c r="T895" s="10">
        <v>-1</v>
      </c>
      <c r="U895" s="1">
        <v>3157</v>
      </c>
      <c r="W895" s="1">
        <v>2201941</v>
      </c>
    </row>
    <row r="896" spans="1:23" x14ac:dyDescent="0.25">
      <c r="A896" s="76">
        <v>3</v>
      </c>
      <c r="B896" s="76" t="s">
        <v>54</v>
      </c>
      <c r="C896" s="76">
        <v>1978</v>
      </c>
      <c r="D896" s="76" t="str">
        <f t="shared" si="74"/>
        <v>A78S</v>
      </c>
      <c r="E896" s="76" t="s">
        <v>1296</v>
      </c>
      <c r="F896" s="77" t="s">
        <v>810</v>
      </c>
      <c r="G896" s="78">
        <v>0.94730607781247445</v>
      </c>
      <c r="H896" s="79">
        <v>35871</v>
      </c>
      <c r="I896" s="79">
        <v>42201</v>
      </c>
      <c r="J896" s="3">
        <f t="shared" si="69"/>
        <v>17</v>
      </c>
      <c r="K896" s="10">
        <v>-8.1162324649298512E-2</v>
      </c>
      <c r="L896" s="10">
        <v>-7.064128256513047E-2</v>
      </c>
      <c r="M896" s="10">
        <v>-6.9709127382146518E-2</v>
      </c>
      <c r="N896" s="10">
        <v>-6.6499999999999782E-2</v>
      </c>
      <c r="O896" s="10">
        <v>-5.0000000000011147E-3</v>
      </c>
      <c r="P896" s="10">
        <v>2.5896414342625018E-2</v>
      </c>
      <c r="Q896" s="10">
        <v>-0.11354581673306996</v>
      </c>
      <c r="R896" s="10">
        <v>3.9761431411553527E-3</v>
      </c>
      <c r="S896" s="10">
        <v>-0.14512922465208988</v>
      </c>
      <c r="T896" s="10">
        <v>-1</v>
      </c>
      <c r="U896" s="1">
        <v>1869</v>
      </c>
      <c r="W896" s="1">
        <v>2201275</v>
      </c>
    </row>
    <row r="897" spans="1:23" x14ac:dyDescent="0.25">
      <c r="A897" s="76">
        <v>3</v>
      </c>
      <c r="B897" s="76" t="s">
        <v>54</v>
      </c>
      <c r="C897" s="76">
        <v>1978</v>
      </c>
      <c r="D897" s="76" t="str">
        <f t="shared" si="74"/>
        <v>A78S</v>
      </c>
      <c r="E897" s="76" t="s">
        <v>1296</v>
      </c>
      <c r="F897" s="77" t="s">
        <v>811</v>
      </c>
      <c r="G897" s="78">
        <v>1.0187167620165261</v>
      </c>
      <c r="H897" s="79">
        <v>34225</v>
      </c>
      <c r="I897" s="79">
        <v>42201</v>
      </c>
      <c r="J897" s="3">
        <f t="shared" si="69"/>
        <v>22</v>
      </c>
      <c r="K897" s="10">
        <v>5.8116232464929807E-2</v>
      </c>
      <c r="L897" s="10">
        <v>5.8116232464929807E-2</v>
      </c>
      <c r="M897" s="10">
        <v>4.6138415245737363E-2</v>
      </c>
      <c r="N897" s="10">
        <v>7.600000000000029E-2</v>
      </c>
      <c r="O897" s="10">
        <v>7.9999999999999627E-2</v>
      </c>
      <c r="P897" s="10">
        <v>5.9760956175294311E-3</v>
      </c>
      <c r="Q897" s="10">
        <v>9.5617529880478225E-2</v>
      </c>
      <c r="R897" s="10">
        <v>8.3499005964215334E-2</v>
      </c>
      <c r="S897" s="10">
        <v>-0.29423459244532868</v>
      </c>
      <c r="T897" s="10">
        <v>-1</v>
      </c>
      <c r="U897" s="1">
        <v>7285</v>
      </c>
      <c r="W897" s="1">
        <v>2197367</v>
      </c>
    </row>
    <row r="898" spans="1:23" x14ac:dyDescent="0.25">
      <c r="A898" s="76">
        <v>3</v>
      </c>
      <c r="B898" s="76" t="s">
        <v>54</v>
      </c>
      <c r="C898" s="76">
        <v>1978</v>
      </c>
      <c r="D898" s="76" t="str">
        <f t="shared" si="74"/>
        <v>A78T</v>
      </c>
      <c r="E898" s="76" t="s">
        <v>374</v>
      </c>
      <c r="F898" s="77" t="s">
        <v>260</v>
      </c>
      <c r="G898" s="78">
        <v>0.44791150850074979</v>
      </c>
      <c r="H898" s="79">
        <v>36572</v>
      </c>
      <c r="I898" s="79">
        <v>41647</v>
      </c>
      <c r="J898" s="3">
        <f t="shared" si="69"/>
        <v>14</v>
      </c>
    </row>
    <row r="899" spans="1:23" x14ac:dyDescent="0.25">
      <c r="A899" s="76">
        <v>3</v>
      </c>
      <c r="B899" s="76" t="s">
        <v>54</v>
      </c>
      <c r="C899" s="76">
        <v>1978</v>
      </c>
      <c r="D899" s="76" t="str">
        <f t="shared" si="74"/>
        <v>A78T</v>
      </c>
      <c r="E899" s="76" t="s">
        <v>374</v>
      </c>
      <c r="F899" s="77" t="s">
        <v>261</v>
      </c>
      <c r="G899" s="78">
        <v>0.78187501636306012</v>
      </c>
      <c r="H899" s="79">
        <v>35884</v>
      </c>
      <c r="I899" s="79">
        <v>41643</v>
      </c>
      <c r="J899" s="3">
        <f t="shared" si="69"/>
        <v>16</v>
      </c>
    </row>
    <row r="900" spans="1:23" x14ac:dyDescent="0.25">
      <c r="A900" s="76">
        <v>3</v>
      </c>
      <c r="B900" s="76" t="s">
        <v>54</v>
      </c>
      <c r="C900" s="76">
        <v>1978</v>
      </c>
      <c r="D900" s="76" t="str">
        <f t="shared" si="74"/>
        <v>A78T</v>
      </c>
      <c r="E900" s="76" t="s">
        <v>374</v>
      </c>
      <c r="F900" s="77" t="s">
        <v>265</v>
      </c>
      <c r="G900" s="78">
        <v>0.76598584757565058</v>
      </c>
      <c r="H900" s="79">
        <v>36728</v>
      </c>
      <c r="I900" s="79">
        <v>41648</v>
      </c>
      <c r="J900" s="3">
        <f t="shared" si="69"/>
        <v>14</v>
      </c>
    </row>
    <row r="901" spans="1:23" x14ac:dyDescent="0.25">
      <c r="A901" s="76">
        <v>3</v>
      </c>
      <c r="B901" s="76" t="s">
        <v>54</v>
      </c>
      <c r="C901" s="76">
        <v>1978</v>
      </c>
      <c r="D901" s="76" t="str">
        <f t="shared" si="74"/>
        <v>A78T</v>
      </c>
      <c r="E901" s="76" t="s">
        <v>374</v>
      </c>
      <c r="F901" s="77" t="s">
        <v>266</v>
      </c>
      <c r="G901" s="78">
        <v>0.58992760590897508</v>
      </c>
      <c r="H901" s="79">
        <v>36140</v>
      </c>
      <c r="I901" s="79">
        <v>41641</v>
      </c>
      <c r="J901" s="3">
        <f t="shared" ref="J901:J964" si="75">IF(YEAR(I901)-YEAR(H901)=0,"",YEAR(I901)-YEAR(H901))</f>
        <v>16</v>
      </c>
    </row>
    <row r="902" spans="1:23" x14ac:dyDescent="0.25">
      <c r="A902" s="76">
        <v>3</v>
      </c>
      <c r="B902" s="76" t="s">
        <v>54</v>
      </c>
      <c r="C902" s="76">
        <v>1978</v>
      </c>
      <c r="D902" s="76" t="str">
        <f t="shared" si="74"/>
        <v>A78T</v>
      </c>
      <c r="E902" s="76" t="s">
        <v>374</v>
      </c>
      <c r="F902" s="77" t="s">
        <v>267</v>
      </c>
      <c r="G902" s="78">
        <v>0.49338197065966993</v>
      </c>
      <c r="H902" s="79">
        <v>36490</v>
      </c>
      <c r="I902" s="79">
        <v>41645</v>
      </c>
      <c r="J902" s="3">
        <f t="shared" si="75"/>
        <v>15</v>
      </c>
    </row>
    <row r="903" spans="1:23" x14ac:dyDescent="0.25">
      <c r="A903" s="76">
        <v>3</v>
      </c>
      <c r="B903" s="76" t="s">
        <v>54</v>
      </c>
      <c r="C903" s="76">
        <v>1978</v>
      </c>
      <c r="D903" s="76" t="str">
        <f t="shared" si="74"/>
        <v>A78T</v>
      </c>
      <c r="E903" s="76" t="s">
        <v>374</v>
      </c>
      <c r="F903" s="77" t="s">
        <v>268</v>
      </c>
      <c r="G903" s="78">
        <v>0.83123386656012088</v>
      </c>
      <c r="H903" s="79">
        <v>35741</v>
      </c>
      <c r="I903" s="79">
        <v>41646</v>
      </c>
      <c r="J903" s="3">
        <f t="shared" si="75"/>
        <v>17</v>
      </c>
    </row>
    <row r="904" spans="1:23" x14ac:dyDescent="0.25">
      <c r="A904" s="76">
        <v>3</v>
      </c>
      <c r="B904" s="76" t="s">
        <v>54</v>
      </c>
      <c r="C904" s="76">
        <v>1978</v>
      </c>
      <c r="D904" s="76" t="str">
        <f t="shared" si="74"/>
        <v>A78T</v>
      </c>
      <c r="E904" s="76" t="s">
        <v>374</v>
      </c>
      <c r="F904" s="77" t="s">
        <v>269</v>
      </c>
      <c r="G904" s="78">
        <v>0.57829180462081209</v>
      </c>
      <c r="H904" s="79">
        <v>36557</v>
      </c>
      <c r="I904" s="79">
        <v>41645</v>
      </c>
      <c r="J904" s="3">
        <f t="shared" si="75"/>
        <v>14</v>
      </c>
    </row>
    <row r="905" spans="1:23" x14ac:dyDescent="0.25">
      <c r="A905" s="76">
        <v>3</v>
      </c>
      <c r="B905" s="76" t="s">
        <v>54</v>
      </c>
      <c r="C905" s="76">
        <v>1978</v>
      </c>
      <c r="D905" s="76" t="str">
        <f t="shared" si="74"/>
        <v>A78T</v>
      </c>
      <c r="E905" s="76" t="s">
        <v>374</v>
      </c>
      <c r="F905" s="77" t="s">
        <v>275</v>
      </c>
      <c r="G905" s="78">
        <v>0.87408049117252185</v>
      </c>
      <c r="H905" s="79">
        <v>35082</v>
      </c>
      <c r="I905" s="79">
        <v>41646</v>
      </c>
      <c r="J905" s="3">
        <f t="shared" si="75"/>
        <v>18</v>
      </c>
    </row>
    <row r="906" spans="1:23" x14ac:dyDescent="0.25">
      <c r="A906" s="76">
        <v>3</v>
      </c>
      <c r="B906" s="76" t="s">
        <v>54</v>
      </c>
      <c r="C906" s="76">
        <v>1978</v>
      </c>
      <c r="D906" s="76" t="str">
        <f t="shared" si="74"/>
        <v>A78T</v>
      </c>
      <c r="E906" s="76" t="s">
        <v>374</v>
      </c>
      <c r="F906" s="77" t="s">
        <v>276</v>
      </c>
      <c r="G906" s="78">
        <v>0.79831788904061785</v>
      </c>
      <c r="H906" s="79">
        <v>36110</v>
      </c>
      <c r="I906" s="79">
        <v>41654</v>
      </c>
      <c r="J906" s="3">
        <f t="shared" si="75"/>
        <v>16</v>
      </c>
    </row>
    <row r="907" spans="1:23" x14ac:dyDescent="0.25">
      <c r="A907" s="76">
        <v>1.5</v>
      </c>
      <c r="B907" s="76" t="s">
        <v>54</v>
      </c>
      <c r="C907" s="76">
        <v>2012</v>
      </c>
      <c r="D907" s="76" t="str">
        <f t="shared" si="74"/>
        <v>Y12K</v>
      </c>
      <c r="E907" s="76" t="s">
        <v>375</v>
      </c>
      <c r="F907" s="77" t="s">
        <v>364</v>
      </c>
      <c r="G907" s="78">
        <v>0.92355154165530273</v>
      </c>
      <c r="H907" s="79">
        <v>41186</v>
      </c>
      <c r="I907" s="79">
        <v>41565</v>
      </c>
      <c r="J907" s="3">
        <f t="shared" si="75"/>
        <v>1</v>
      </c>
    </row>
    <row r="908" spans="1:23" x14ac:dyDescent="0.25">
      <c r="A908" s="76">
        <v>1.5</v>
      </c>
      <c r="B908" s="76" t="s">
        <v>54</v>
      </c>
      <c r="C908" s="76">
        <v>2012</v>
      </c>
      <c r="D908" s="76" t="str">
        <f t="shared" si="74"/>
        <v>Y12K</v>
      </c>
      <c r="E908" s="76" t="s">
        <v>375</v>
      </c>
      <c r="F908" s="77" t="s">
        <v>365</v>
      </c>
      <c r="G908" s="78">
        <v>1.0112590661976057</v>
      </c>
      <c r="H908" s="79">
        <v>41263</v>
      </c>
      <c r="I908" s="79">
        <v>41565</v>
      </c>
      <c r="J908" s="3">
        <f t="shared" si="75"/>
        <v>1</v>
      </c>
    </row>
    <row r="909" spans="1:23" x14ac:dyDescent="0.25">
      <c r="A909" s="76">
        <v>1.5</v>
      </c>
      <c r="B909" s="76" t="s">
        <v>54</v>
      </c>
      <c r="C909" s="76">
        <v>2012</v>
      </c>
      <c r="D909" s="76" t="str">
        <f t="shared" si="74"/>
        <v>Y12K</v>
      </c>
      <c r="E909" s="76" t="s">
        <v>375</v>
      </c>
      <c r="F909" s="77" t="s">
        <v>366</v>
      </c>
      <c r="G909" s="78">
        <v>0.98356949799042126</v>
      </c>
      <c r="H909" s="79">
        <v>41226</v>
      </c>
      <c r="I909" s="79">
        <v>41565</v>
      </c>
      <c r="J909" s="3">
        <f t="shared" si="75"/>
        <v>1</v>
      </c>
    </row>
    <row r="910" spans="1:23" x14ac:dyDescent="0.25">
      <c r="A910" s="76">
        <v>1.5</v>
      </c>
      <c r="B910" s="76" t="s">
        <v>54</v>
      </c>
      <c r="C910" s="76">
        <v>2012</v>
      </c>
      <c r="D910" s="76" t="str">
        <f t="shared" si="74"/>
        <v>Y12K</v>
      </c>
      <c r="E910" s="76" t="s">
        <v>375</v>
      </c>
      <c r="F910" s="77" t="s">
        <v>367</v>
      </c>
      <c r="G910" s="78">
        <v>0.99037069610121164</v>
      </c>
      <c r="H910" s="79">
        <v>41176</v>
      </c>
      <c r="I910" s="79">
        <v>41565</v>
      </c>
      <c r="J910" s="3">
        <f t="shared" si="75"/>
        <v>1</v>
      </c>
    </row>
    <row r="911" spans="1:23" x14ac:dyDescent="0.25">
      <c r="A911" s="76">
        <v>1.5</v>
      </c>
      <c r="B911" s="76" t="s">
        <v>54</v>
      </c>
      <c r="C911" s="76">
        <v>2012</v>
      </c>
      <c r="D911" s="76" t="str">
        <f t="shared" si="74"/>
        <v>Y12K</v>
      </c>
      <c r="E911" s="76" t="s">
        <v>375</v>
      </c>
      <c r="F911" s="77" t="s">
        <v>368</v>
      </c>
      <c r="G911" s="78">
        <v>1.0050928143401565</v>
      </c>
      <c r="H911" s="79">
        <v>41183</v>
      </c>
      <c r="I911" s="79">
        <v>41565</v>
      </c>
      <c r="J911" s="3">
        <f t="shared" si="75"/>
        <v>1</v>
      </c>
    </row>
    <row r="912" spans="1:23" x14ac:dyDescent="0.25">
      <c r="A912" s="76">
        <v>1.5</v>
      </c>
      <c r="B912" s="76" t="s">
        <v>54</v>
      </c>
      <c r="C912" s="76">
        <v>2012</v>
      </c>
      <c r="D912" s="76" t="str">
        <f t="shared" si="74"/>
        <v>Y12K</v>
      </c>
      <c r="E912" s="76" t="s">
        <v>375</v>
      </c>
      <c r="F912" s="77" t="s">
        <v>369</v>
      </c>
      <c r="G912" s="78">
        <v>0.99804014148040088</v>
      </c>
      <c r="H912" s="79">
        <v>41255</v>
      </c>
      <c r="I912" s="79">
        <v>41569</v>
      </c>
      <c r="J912" s="3">
        <f t="shared" si="75"/>
        <v>1</v>
      </c>
    </row>
    <row r="913" spans="1:23" x14ac:dyDescent="0.25">
      <c r="A913" s="76">
        <v>1.5</v>
      </c>
      <c r="B913" s="76" t="s">
        <v>54</v>
      </c>
      <c r="C913" s="76">
        <v>2012</v>
      </c>
      <c r="D913" s="76" t="str">
        <f t="shared" si="74"/>
        <v>Y12K</v>
      </c>
      <c r="E913" s="76" t="s">
        <v>375</v>
      </c>
      <c r="F913" s="77" t="s">
        <v>370</v>
      </c>
      <c r="G913" s="78">
        <v>0.98544450859857846</v>
      </c>
      <c r="H913" s="79">
        <v>41264</v>
      </c>
      <c r="I913" s="79">
        <v>41569</v>
      </c>
      <c r="J913" s="3">
        <f t="shared" si="75"/>
        <v>1</v>
      </c>
    </row>
    <row r="914" spans="1:23" x14ac:dyDescent="0.25">
      <c r="A914" s="76">
        <v>1.5</v>
      </c>
      <c r="B914" s="76" t="s">
        <v>54</v>
      </c>
      <c r="C914" s="76">
        <v>2012</v>
      </c>
      <c r="D914" s="76" t="str">
        <f t="shared" si="74"/>
        <v>Y12K</v>
      </c>
      <c r="E914" s="76" t="s">
        <v>375</v>
      </c>
      <c r="F914" s="77" t="s">
        <v>371</v>
      </c>
      <c r="G914" s="78">
        <v>1.0033637070052355</v>
      </c>
      <c r="H914" s="79">
        <v>41204</v>
      </c>
      <c r="I914" s="79">
        <v>41569</v>
      </c>
      <c r="J914" s="3">
        <f t="shared" si="75"/>
        <v>1</v>
      </c>
    </row>
    <row r="915" spans="1:23" x14ac:dyDescent="0.25">
      <c r="A915" s="76">
        <v>1.5</v>
      </c>
      <c r="B915" s="76" t="s">
        <v>54</v>
      </c>
      <c r="C915" s="76">
        <v>2012</v>
      </c>
      <c r="D915" s="76" t="str">
        <f t="shared" si="74"/>
        <v>Y12K</v>
      </c>
      <c r="E915" s="76" t="s">
        <v>375</v>
      </c>
      <c r="F915" s="77" t="s">
        <v>372</v>
      </c>
      <c r="G915" s="78">
        <v>0.69008985301429648</v>
      </c>
      <c r="H915" s="79" t="s">
        <v>380</v>
      </c>
      <c r="I915" s="79">
        <v>41569</v>
      </c>
      <c r="J915" s="3" t="e">
        <f t="shared" si="75"/>
        <v>#VALUE!</v>
      </c>
    </row>
    <row r="916" spans="1:23" x14ac:dyDescent="0.25">
      <c r="A916" s="76">
        <v>1.5</v>
      </c>
      <c r="B916" s="76" t="s">
        <v>54</v>
      </c>
      <c r="C916" s="76">
        <v>2012</v>
      </c>
      <c r="D916" s="76" t="str">
        <f t="shared" si="74"/>
        <v>Y12K</v>
      </c>
      <c r="E916" s="76" t="s">
        <v>375</v>
      </c>
      <c r="F916" s="77" t="s">
        <v>373</v>
      </c>
      <c r="G916" s="78">
        <v>0.99420096302870586</v>
      </c>
      <c r="H916" s="79">
        <v>41264</v>
      </c>
      <c r="I916" s="79">
        <v>41569</v>
      </c>
      <c r="J916" s="3">
        <f t="shared" si="75"/>
        <v>1</v>
      </c>
      <c r="K916" s="10"/>
      <c r="L916" s="10"/>
      <c r="M916" s="10"/>
      <c r="N916" s="10"/>
      <c r="O916" s="10"/>
      <c r="P916" s="10"/>
      <c r="Q916" s="10"/>
      <c r="R916" s="10"/>
      <c r="S916" s="10"/>
      <c r="T916" s="10"/>
    </row>
    <row r="917" spans="1:23" x14ac:dyDescent="0.25">
      <c r="A917" s="76">
        <v>1.5</v>
      </c>
      <c r="B917" s="76" t="s">
        <v>54</v>
      </c>
      <c r="C917" s="76">
        <v>2012</v>
      </c>
      <c r="D917" s="76" t="str">
        <f t="shared" ref="D917:D930" si="76">LEFT(F917,4)</f>
        <v>Y12K</v>
      </c>
      <c r="E917" s="81" t="s">
        <v>375</v>
      </c>
      <c r="F917" s="82" t="s">
        <v>582</v>
      </c>
      <c r="G917" s="83">
        <v>0.71645528142161652</v>
      </c>
      <c r="H917" s="84">
        <v>41197</v>
      </c>
      <c r="I917" s="84">
        <v>41558</v>
      </c>
      <c r="J917" s="3">
        <f t="shared" si="75"/>
        <v>1</v>
      </c>
      <c r="K917" s="10">
        <v>-0.99129999999999996</v>
      </c>
      <c r="L917" s="10">
        <v>-0.4218671992011982</v>
      </c>
      <c r="M917" s="10">
        <v>-0.99400000000000011</v>
      </c>
      <c r="N917" s="10">
        <v>-0.85022466300549171</v>
      </c>
      <c r="O917" s="10">
        <v>0.10330992978936804</v>
      </c>
      <c r="P917" s="10">
        <v>-0.37800000000000011</v>
      </c>
      <c r="Q917" s="10">
        <v>0.13060817547357662</v>
      </c>
      <c r="R917" s="10">
        <v>0.11066799601196275</v>
      </c>
      <c r="S917" s="10">
        <v>-2.9850746268619277E-3</v>
      </c>
      <c r="T917" s="10">
        <v>-0.41235059760956394</v>
      </c>
      <c r="U917" s="13">
        <v>1300</v>
      </c>
      <c r="V917" s="13"/>
      <c r="W917" s="1">
        <v>843644</v>
      </c>
    </row>
    <row r="918" spans="1:23" x14ac:dyDescent="0.25">
      <c r="A918" s="76">
        <v>1.5</v>
      </c>
      <c r="B918" s="76" t="s">
        <v>54</v>
      </c>
      <c r="C918" s="76">
        <v>2012</v>
      </c>
      <c r="D918" s="76" t="str">
        <f t="shared" si="76"/>
        <v>Y12K</v>
      </c>
      <c r="E918" s="81" t="s">
        <v>375</v>
      </c>
      <c r="F918" s="82" t="s">
        <v>583</v>
      </c>
      <c r="G918" s="83">
        <v>0.9317369239673069</v>
      </c>
      <c r="H918" s="84">
        <v>41199</v>
      </c>
      <c r="I918" s="84">
        <v>41558</v>
      </c>
      <c r="J918" s="3">
        <f t="shared" si="75"/>
        <v>1</v>
      </c>
      <c r="K918" s="10">
        <v>2.4999999999999911E-2</v>
      </c>
      <c r="L918" s="10">
        <v>-0.43584623065401895</v>
      </c>
      <c r="M918" s="10">
        <v>9.0999999999996639E-3</v>
      </c>
      <c r="N918" s="10">
        <v>1.3479780329503477E-2</v>
      </c>
      <c r="O918" s="10">
        <v>1.7051153460379664E-2</v>
      </c>
      <c r="P918" s="10">
        <v>1.0000000000047748E-3</v>
      </c>
      <c r="Q918" s="10">
        <v>1.6949152542365953E-2</v>
      </c>
      <c r="R918" s="10">
        <v>1.4955134596217778E-2</v>
      </c>
      <c r="S918" s="10">
        <v>-0.11044776119403577</v>
      </c>
      <c r="T918" s="10">
        <v>-0.97211155378486325</v>
      </c>
      <c r="U918" s="1">
        <v>955</v>
      </c>
      <c r="W918" s="1">
        <v>2782863</v>
      </c>
    </row>
    <row r="919" spans="1:23" x14ac:dyDescent="0.25">
      <c r="A919" s="76">
        <v>1.5</v>
      </c>
      <c r="B919" s="76" t="s">
        <v>54</v>
      </c>
      <c r="C919" s="76">
        <v>2012</v>
      </c>
      <c r="D919" s="76" t="str">
        <f t="shared" si="76"/>
        <v>Y12K</v>
      </c>
      <c r="E919" s="81" t="s">
        <v>375</v>
      </c>
      <c r="F919" s="82" t="s">
        <v>584</v>
      </c>
      <c r="G919" s="83">
        <v>0.36483285425291201</v>
      </c>
      <c r="H919" s="84">
        <v>41253</v>
      </c>
      <c r="I919" s="84">
        <v>41558</v>
      </c>
      <c r="J919" s="3">
        <f t="shared" si="75"/>
        <v>1</v>
      </c>
      <c r="K919" s="10">
        <v>-0.99809999999999999</v>
      </c>
      <c r="L919" s="10">
        <v>-0.99500748876684975</v>
      </c>
      <c r="M919" s="10">
        <v>-0.93120000000000003</v>
      </c>
      <c r="N919" s="10">
        <v>-0.86620069895157514</v>
      </c>
      <c r="O919" s="10">
        <v>-0.47743229689066835</v>
      </c>
      <c r="P919" s="10">
        <v>-0.49900000000000089</v>
      </c>
      <c r="Q919" s="10">
        <v>-0.4855433698903322</v>
      </c>
      <c r="R919" s="10">
        <v>-0.48354935194417248</v>
      </c>
      <c r="S919" s="10">
        <v>-0.73930348258706424</v>
      </c>
      <c r="T919" s="10">
        <v>-0.76892430278883961</v>
      </c>
      <c r="U919" s="1">
        <v>1135</v>
      </c>
      <c r="W919" s="1">
        <v>3623645</v>
      </c>
    </row>
    <row r="920" spans="1:23" x14ac:dyDescent="0.25">
      <c r="A920" s="76">
        <v>1.5</v>
      </c>
      <c r="B920" s="76" t="s">
        <v>54</v>
      </c>
      <c r="C920" s="76">
        <v>2012</v>
      </c>
      <c r="D920" s="76" t="str">
        <f t="shared" si="76"/>
        <v>Y12K</v>
      </c>
      <c r="E920" s="81" t="s">
        <v>375</v>
      </c>
      <c r="F920" s="82" t="s">
        <v>585</v>
      </c>
      <c r="G920" s="83">
        <v>0.99440673095862853</v>
      </c>
      <c r="H920" s="84">
        <v>41253</v>
      </c>
      <c r="I920" s="84">
        <v>41558</v>
      </c>
      <c r="J920" s="3">
        <f t="shared" si="75"/>
        <v>1</v>
      </c>
      <c r="K920" s="10">
        <v>2.4000000000000021E-2</v>
      </c>
      <c r="L920" s="10">
        <v>1.937094358462299E-2</v>
      </c>
      <c r="M920" s="10">
        <v>1.18999999999998E-2</v>
      </c>
      <c r="N920" s="10">
        <v>1.3479780329504809E-2</v>
      </c>
      <c r="O920" s="10">
        <v>3.0090270812437314E-3</v>
      </c>
      <c r="P920" s="10">
        <v>0</v>
      </c>
      <c r="Q920" s="10">
        <v>1.6949152542371726E-2</v>
      </c>
      <c r="R920" s="10">
        <v>6.9790628115675712E-3</v>
      </c>
      <c r="S920" s="10">
        <v>-3.2835820895525392E-2</v>
      </c>
      <c r="T920" s="10">
        <v>-0.21513944223107606</v>
      </c>
      <c r="U920" s="1">
        <v>1205</v>
      </c>
      <c r="W920" s="1">
        <v>3616355</v>
      </c>
    </row>
    <row r="921" spans="1:23" x14ac:dyDescent="0.25">
      <c r="A921" s="76">
        <v>1.5</v>
      </c>
      <c r="B921" s="76" t="s">
        <v>54</v>
      </c>
      <c r="C921" s="76">
        <v>2012</v>
      </c>
      <c r="D921" s="76" t="str">
        <f t="shared" si="76"/>
        <v>Y12K</v>
      </c>
      <c r="E921" s="81" t="s">
        <v>375</v>
      </c>
      <c r="F921" s="82" t="s">
        <v>586</v>
      </c>
      <c r="G921" s="83">
        <v>0.93128961602659688</v>
      </c>
      <c r="H921" s="84">
        <v>41236</v>
      </c>
      <c r="I921" s="84">
        <v>41758</v>
      </c>
      <c r="J921" s="3">
        <f t="shared" si="75"/>
        <v>2</v>
      </c>
      <c r="K921" s="10">
        <v>-4.9624060150375793E-2</v>
      </c>
      <c r="L921" s="10">
        <v>-5.090180360721408E-2</v>
      </c>
      <c r="M921" s="10">
        <v>-5.0825412706353434E-2</v>
      </c>
      <c r="N921" s="10">
        <v>-5.0950950950951035E-2</v>
      </c>
      <c r="O921" s="10">
        <v>-2.6191070092293378E-2</v>
      </c>
      <c r="P921" s="10">
        <v>-1.7892644135189317E-2</v>
      </c>
      <c r="Q921" s="10">
        <v>8.9910089910112401E-3</v>
      </c>
      <c r="R921" s="10">
        <v>6.0120240480925347E-3</v>
      </c>
      <c r="S921" s="10">
        <v>5.0125313283366779E-4</v>
      </c>
      <c r="T921" s="10">
        <v>-1</v>
      </c>
      <c r="U921" s="1">
        <v>353</v>
      </c>
      <c r="W921" s="1">
        <v>853011</v>
      </c>
    </row>
    <row r="922" spans="1:23" x14ac:dyDescent="0.25">
      <c r="A922" s="76">
        <v>1.5</v>
      </c>
      <c r="B922" s="76" t="s">
        <v>54</v>
      </c>
      <c r="C922" s="76">
        <v>2012</v>
      </c>
      <c r="D922" s="76" t="str">
        <f t="shared" si="76"/>
        <v>Y12K</v>
      </c>
      <c r="E922" s="81" t="s">
        <v>375</v>
      </c>
      <c r="F922" s="82" t="s">
        <v>587</v>
      </c>
      <c r="G922" s="83">
        <v>0.89141972004526004</v>
      </c>
      <c r="H922" s="84">
        <v>41390</v>
      </c>
      <c r="I922" s="84">
        <v>41899</v>
      </c>
      <c r="J922" s="3">
        <f t="shared" si="75"/>
        <v>1</v>
      </c>
      <c r="K922" s="10">
        <v>-9.8245614035088469E-3</v>
      </c>
      <c r="L922" s="10">
        <v>-1.0521042084168153E-2</v>
      </c>
      <c r="M922" s="10">
        <v>-1.0305152576288057E-2</v>
      </c>
      <c r="N922" s="10">
        <v>-9.2092092092096456E-3</v>
      </c>
      <c r="O922" s="10">
        <v>-6.2359690695955594E-3</v>
      </c>
      <c r="P922" s="10">
        <v>-3.9761431411549086E-3</v>
      </c>
      <c r="Q922" s="10">
        <v>-0.13686313686313822</v>
      </c>
      <c r="R922" s="10">
        <v>-0.19839679358717444</v>
      </c>
      <c r="S922" s="10">
        <v>-0.49072681704260246</v>
      </c>
      <c r="T922" s="10">
        <v>-1</v>
      </c>
      <c r="U922" s="1">
        <v>977</v>
      </c>
      <c r="W922" s="14">
        <v>1276115</v>
      </c>
    </row>
    <row r="923" spans="1:23" x14ac:dyDescent="0.25">
      <c r="A923" s="76">
        <v>1.5</v>
      </c>
      <c r="B923" s="76" t="s">
        <v>54</v>
      </c>
      <c r="C923" s="76">
        <v>2012</v>
      </c>
      <c r="D923" s="76" t="str">
        <f t="shared" si="76"/>
        <v>Y12K</v>
      </c>
      <c r="E923" s="81" t="s">
        <v>375</v>
      </c>
      <c r="F923" s="82" t="s">
        <v>588</v>
      </c>
      <c r="G923" s="83">
        <v>0.95280563104204685</v>
      </c>
      <c r="H923" s="84">
        <v>42044</v>
      </c>
      <c r="I923" s="84">
        <v>42044</v>
      </c>
      <c r="J923" s="3" t="str">
        <f t="shared" si="75"/>
        <v/>
      </c>
      <c r="K923" s="10">
        <v>1.0526315789473717E-2</v>
      </c>
      <c r="L923" s="10">
        <v>9.6192384769540062E-3</v>
      </c>
      <c r="M923" s="10">
        <v>5.0025012506251798E-3</v>
      </c>
      <c r="N923" s="10">
        <v>5.5055055055053259E-3</v>
      </c>
      <c r="O923" s="10">
        <v>-3.2427039161877502E-3</v>
      </c>
      <c r="P923" s="10">
        <v>1.9880715705804519E-3</v>
      </c>
      <c r="Q923" s="10">
        <v>8.9910089910112401E-3</v>
      </c>
      <c r="R923" s="10">
        <v>-1.4028056112209919E-2</v>
      </c>
      <c r="S923" s="10">
        <v>-3.9598997493741739E-2</v>
      </c>
      <c r="T923" s="10">
        <v>-1</v>
      </c>
      <c r="U923" s="1">
        <v>740</v>
      </c>
      <c r="W923" s="1">
        <v>3832627</v>
      </c>
    </row>
    <row r="924" spans="1:23" x14ac:dyDescent="0.25">
      <c r="A924" s="76">
        <v>1.5</v>
      </c>
      <c r="B924" s="76" t="s">
        <v>54</v>
      </c>
      <c r="C924" s="76">
        <v>2012</v>
      </c>
      <c r="D924" s="76" t="str">
        <f t="shared" si="76"/>
        <v>Y12K</v>
      </c>
      <c r="E924" s="81" t="s">
        <v>375</v>
      </c>
      <c r="F924" s="82" t="s">
        <v>589</v>
      </c>
      <c r="G924" s="83">
        <v>0.92324454197303452</v>
      </c>
      <c r="H924" s="84">
        <v>41443</v>
      </c>
      <c r="I924" s="84">
        <v>41883</v>
      </c>
      <c r="J924" s="3">
        <f t="shared" si="75"/>
        <v>1</v>
      </c>
      <c r="K924" s="10">
        <v>-7.5187969924812581E-3</v>
      </c>
      <c r="L924" s="10">
        <v>-7.71543086172366E-3</v>
      </c>
      <c r="M924" s="10">
        <v>-8.3041520760379628E-3</v>
      </c>
      <c r="N924" s="10">
        <v>-0.10790790790790805</v>
      </c>
      <c r="O924" s="10">
        <v>-1.920678473434656E-2</v>
      </c>
      <c r="P924" s="10">
        <v>-1.3916500994034298E-2</v>
      </c>
      <c r="Q924" s="10">
        <v>-2.0979020979025487E-2</v>
      </c>
      <c r="R924" s="10">
        <v>-1.8036072144287485E-2</v>
      </c>
      <c r="S924" s="10">
        <v>-8.7719298245617638E-2</v>
      </c>
      <c r="T924" s="10">
        <v>-1</v>
      </c>
      <c r="U924" s="1">
        <v>718</v>
      </c>
      <c r="W924" s="15">
        <v>1185799</v>
      </c>
    </row>
    <row r="925" spans="1:23" x14ac:dyDescent="0.25">
      <c r="A925" s="76">
        <v>1.5</v>
      </c>
      <c r="B925" s="76" t="s">
        <v>54</v>
      </c>
      <c r="C925" s="76">
        <v>2012</v>
      </c>
      <c r="D925" s="76" t="str">
        <f t="shared" si="76"/>
        <v>Y12K</v>
      </c>
      <c r="E925" s="81" t="s">
        <v>375</v>
      </c>
      <c r="F925" s="82" t="s">
        <v>590</v>
      </c>
      <c r="G925" s="83">
        <v>0.95333809859324559</v>
      </c>
      <c r="H925" s="84">
        <v>41242</v>
      </c>
      <c r="I925" s="84">
        <v>41918</v>
      </c>
      <c r="J925" s="3">
        <f t="shared" si="75"/>
        <v>2</v>
      </c>
      <c r="K925" s="10">
        <v>1.5839598997493765E-2</v>
      </c>
      <c r="L925" s="10">
        <v>1.5030060120240663E-2</v>
      </c>
      <c r="M925" s="10">
        <v>9.004502251125146E-3</v>
      </c>
      <c r="N925" s="10">
        <v>9.1091091091091148E-3</v>
      </c>
      <c r="O925" s="10">
        <v>-3.2427039161877502E-3</v>
      </c>
      <c r="P925" s="10">
        <v>-5.9642147117296984E-3</v>
      </c>
      <c r="Q925" s="10">
        <v>2.9970029970107781E-3</v>
      </c>
      <c r="R925" s="10">
        <v>-1.002004008014945E-2</v>
      </c>
      <c r="S925" s="10">
        <v>-1.954887218045398E-2</v>
      </c>
      <c r="T925" s="10">
        <v>-1</v>
      </c>
      <c r="U925" s="1">
        <v>871</v>
      </c>
      <c r="W925" s="1">
        <v>2793202</v>
      </c>
    </row>
    <row r="926" spans="1:23" x14ac:dyDescent="0.25">
      <c r="A926" s="76">
        <v>1.5</v>
      </c>
      <c r="B926" s="76" t="s">
        <v>54</v>
      </c>
      <c r="C926" s="76">
        <v>2012</v>
      </c>
      <c r="D926" s="76" t="str">
        <f t="shared" si="76"/>
        <v>Y12K</v>
      </c>
      <c r="E926" s="81" t="s">
        <v>375</v>
      </c>
      <c r="F926" s="82" t="s">
        <v>591</v>
      </c>
      <c r="G926" s="83">
        <v>0.88942964203356323</v>
      </c>
      <c r="H926" s="84">
        <v>41320</v>
      </c>
      <c r="I926" s="84">
        <v>41934</v>
      </c>
      <c r="J926" s="3">
        <f t="shared" si="75"/>
        <v>1</v>
      </c>
      <c r="K926" s="10">
        <v>-4.7117794486215558E-3</v>
      </c>
      <c r="L926" s="10">
        <v>-5.8116232464932027E-3</v>
      </c>
      <c r="M926" s="10">
        <v>-1.2506253126563172E-2</v>
      </c>
      <c r="N926" s="10">
        <v>-1.2312312312312446E-2</v>
      </c>
      <c r="O926" s="10">
        <v>-2.8186580194561439E-2</v>
      </c>
      <c r="P926" s="10">
        <v>-3.1809145129229499E-2</v>
      </c>
      <c r="Q926" s="10">
        <v>-7.0929070929069749E-2</v>
      </c>
      <c r="R926" s="10">
        <v>-0.12024048096192097</v>
      </c>
      <c r="S926" s="10">
        <v>-0.49473684210526114</v>
      </c>
      <c r="T926" s="10">
        <v>-1</v>
      </c>
      <c r="U926" s="1">
        <v>393</v>
      </c>
      <c r="W926" s="1">
        <v>3315291</v>
      </c>
    </row>
    <row r="927" spans="1:23" x14ac:dyDescent="0.25">
      <c r="A927" s="76">
        <v>1.5</v>
      </c>
      <c r="B927" s="76" t="s">
        <v>54</v>
      </c>
      <c r="C927" s="76">
        <v>2012</v>
      </c>
      <c r="D927" s="76" t="str">
        <f t="shared" si="76"/>
        <v>Y12K</v>
      </c>
      <c r="E927" s="81" t="s">
        <v>375</v>
      </c>
      <c r="F927" s="82" t="s">
        <v>592</v>
      </c>
      <c r="G927" s="83">
        <v>0.94488419727448658</v>
      </c>
      <c r="H927" s="84">
        <v>41936</v>
      </c>
      <c r="I927" s="84">
        <v>41936</v>
      </c>
      <c r="J927" s="3" t="str">
        <f t="shared" si="75"/>
        <v/>
      </c>
      <c r="K927" s="10">
        <v>1.2531328320801949E-2</v>
      </c>
      <c r="L927" s="10">
        <v>1.2024048096192397E-2</v>
      </c>
      <c r="M927" s="10">
        <v>4.102051025512754E-3</v>
      </c>
      <c r="N927" s="10">
        <v>4.4044044044044828E-3</v>
      </c>
      <c r="O927" s="10">
        <v>-1.1224744325265767E-2</v>
      </c>
      <c r="P927" s="10">
        <v>-1.9880715705802299E-3</v>
      </c>
      <c r="Q927" s="10">
        <v>9.9900099901062411E-4</v>
      </c>
      <c r="R927" s="10">
        <v>-0.10420841683366189</v>
      </c>
      <c r="S927" s="10">
        <v>-1.5538847117789634E-2</v>
      </c>
      <c r="T927" s="10">
        <v>-1</v>
      </c>
      <c r="U927" s="1">
        <v>693</v>
      </c>
      <c r="W927" s="1">
        <v>2576449</v>
      </c>
    </row>
    <row r="928" spans="1:23" x14ac:dyDescent="0.25">
      <c r="A928" s="76">
        <v>1.5</v>
      </c>
      <c r="B928" s="76" t="s">
        <v>54</v>
      </c>
      <c r="C928" s="76">
        <v>2012</v>
      </c>
      <c r="D928" s="76" t="str">
        <f t="shared" si="76"/>
        <v>Y12K</v>
      </c>
      <c r="E928" s="81" t="s">
        <v>375</v>
      </c>
      <c r="F928" s="82" t="s">
        <v>593</v>
      </c>
      <c r="G928" s="83">
        <v>0.95359878029090206</v>
      </c>
      <c r="H928" s="84">
        <v>41961</v>
      </c>
      <c r="I928" s="84">
        <v>41961</v>
      </c>
      <c r="J928" s="3" t="str">
        <f t="shared" si="75"/>
        <v/>
      </c>
      <c r="K928" s="10">
        <v>-8.6215538847116413E-3</v>
      </c>
      <c r="L928" s="10">
        <v>-9.1182364729457399E-3</v>
      </c>
      <c r="M928" s="10">
        <v>-6.1030515257631812E-3</v>
      </c>
      <c r="N928" s="10">
        <v>-5.9059059059065611E-3</v>
      </c>
      <c r="O928" s="10">
        <v>7.4831628835125841E-4</v>
      </c>
      <c r="P928" s="10">
        <v>1.9880715705777874E-3</v>
      </c>
      <c r="Q928" s="10">
        <v>8.9910089910083535E-3</v>
      </c>
      <c r="R928" s="10">
        <v>2.0040080160319551E-3</v>
      </c>
      <c r="S928" s="10">
        <v>-5.5137844611542475E-3</v>
      </c>
      <c r="T928" s="10">
        <v>-1</v>
      </c>
      <c r="U928" s="1">
        <v>272</v>
      </c>
      <c r="W928" s="1">
        <v>2114836</v>
      </c>
    </row>
    <row r="929" spans="1:23" x14ac:dyDescent="0.25">
      <c r="A929" s="76">
        <v>1.5</v>
      </c>
      <c r="B929" s="76" t="s">
        <v>54</v>
      </c>
      <c r="C929" s="76">
        <v>2012</v>
      </c>
      <c r="D929" s="76" t="str">
        <f t="shared" si="76"/>
        <v>Y12K</v>
      </c>
      <c r="E929" s="81" t="s">
        <v>375</v>
      </c>
      <c r="F929" s="82" t="s">
        <v>594</v>
      </c>
      <c r="G929" s="83">
        <v>0.93996424276671653</v>
      </c>
      <c r="H929" s="84">
        <v>41282</v>
      </c>
      <c r="I929" s="84">
        <v>41708</v>
      </c>
      <c r="J929" s="3">
        <f t="shared" si="75"/>
        <v>1</v>
      </c>
      <c r="K929" s="10">
        <v>2.4060150375939671E-3</v>
      </c>
      <c r="L929" s="10">
        <v>1.6032064128259638E-3</v>
      </c>
      <c r="M929" s="10">
        <v>-4.0020010005002993E-3</v>
      </c>
      <c r="N929" s="10">
        <v>-3.9039039039040491E-3</v>
      </c>
      <c r="O929" s="10">
        <v>-1.4218009478673577E-2</v>
      </c>
      <c r="P929" s="10">
        <v>-7.9522862823043772E-3</v>
      </c>
      <c r="Q929" s="10">
        <v>-2.9970029970011192E-3</v>
      </c>
      <c r="R929" s="10">
        <v>-0.11022044088176397</v>
      </c>
      <c r="S929" s="10">
        <v>-1.1528822055136612E-2</v>
      </c>
      <c r="T929" s="10">
        <v>-1</v>
      </c>
      <c r="U929" s="1">
        <v>487</v>
      </c>
      <c r="W929" s="1">
        <v>1567837</v>
      </c>
    </row>
    <row r="930" spans="1:23" x14ac:dyDescent="0.25">
      <c r="A930" s="76">
        <v>1.5</v>
      </c>
      <c r="B930" s="76" t="s">
        <v>54</v>
      </c>
      <c r="C930" s="76">
        <v>2012</v>
      </c>
      <c r="D930" s="76" t="str">
        <f t="shared" si="76"/>
        <v>Y12K</v>
      </c>
      <c r="E930" s="81" t="s">
        <v>375</v>
      </c>
      <c r="F930" s="82" t="s">
        <v>595</v>
      </c>
      <c r="G930" s="83">
        <v>0.9537960502973154</v>
      </c>
      <c r="H930" s="84">
        <v>41957</v>
      </c>
      <c r="I930" s="84">
        <v>41957</v>
      </c>
      <c r="J930" s="3" t="str">
        <f t="shared" si="75"/>
        <v/>
      </c>
      <c r="K930" s="10">
        <v>-7.8195488721801709E-3</v>
      </c>
      <c r="L930" s="10">
        <v>-8.0160320641282645E-3</v>
      </c>
      <c r="M930" s="10">
        <v>-5.0025012506254019E-3</v>
      </c>
      <c r="N930" s="10">
        <v>-4.4044044044044828E-3</v>
      </c>
      <c r="O930" s="10">
        <v>-2.2449488650536642E-3</v>
      </c>
      <c r="P930" s="10">
        <v>1.9880715705804519E-3</v>
      </c>
      <c r="Q930" s="10">
        <v>1.2987012987011548E-2</v>
      </c>
      <c r="R930" s="10">
        <v>4.008016032067907E-3</v>
      </c>
      <c r="S930" s="10">
        <v>-3.5087719298249054E-3</v>
      </c>
      <c r="T930" s="10">
        <v>-1</v>
      </c>
      <c r="U930" s="1">
        <v>390</v>
      </c>
      <c r="W930" s="1">
        <v>1785087</v>
      </c>
    </row>
    <row r="931" spans="1:23" ht="25.5" x14ac:dyDescent="0.25">
      <c r="A931" s="81">
        <v>1.5</v>
      </c>
      <c r="B931" s="85" t="s">
        <v>1283</v>
      </c>
      <c r="C931" s="81">
        <v>2001</v>
      </c>
      <c r="D931" s="81" t="str">
        <f t="shared" ref="D931:D962" si="77">LEFT(F931,4)</f>
        <v>Y01N</v>
      </c>
      <c r="E931" s="81" t="s">
        <v>107</v>
      </c>
      <c r="F931" s="86" t="s">
        <v>381</v>
      </c>
      <c r="G931" s="87">
        <v>0.83946544824425262</v>
      </c>
      <c r="H931" s="88">
        <v>37319</v>
      </c>
      <c r="I931" s="88">
        <v>42241</v>
      </c>
      <c r="J931" s="3">
        <f t="shared" si="75"/>
        <v>13</v>
      </c>
      <c r="K931" s="10">
        <v>-1.6450648055832517E-2</v>
      </c>
      <c r="L931" s="10">
        <v>-2.085418752085455E-2</v>
      </c>
      <c r="M931" s="10">
        <v>-1.8178785857237645E-2</v>
      </c>
      <c r="N931" s="10">
        <v>-4.6666666666666856E-2</v>
      </c>
      <c r="O931" s="10">
        <v>-4.3333333333333668E-2</v>
      </c>
      <c r="P931" s="10">
        <v>-5.0000000000000044E-2</v>
      </c>
      <c r="Q931" s="10">
        <v>-7.6666666666665106E-2</v>
      </c>
      <c r="R931" s="10">
        <v>-0.13000000000000111</v>
      </c>
      <c r="S931" s="10">
        <v>-1</v>
      </c>
      <c r="T931" s="10">
        <v>-1</v>
      </c>
      <c r="U931" s="1">
        <v>2594</v>
      </c>
      <c r="W931" s="1">
        <v>2305501</v>
      </c>
    </row>
    <row r="932" spans="1:23" ht="25.5" x14ac:dyDescent="0.25">
      <c r="A932" s="81">
        <v>1.5</v>
      </c>
      <c r="B932" s="85" t="s">
        <v>1283</v>
      </c>
      <c r="C932" s="81">
        <v>2001</v>
      </c>
      <c r="D932" s="81" t="str">
        <f t="shared" si="77"/>
        <v>Y10N</v>
      </c>
      <c r="E932" s="81" t="s">
        <v>107</v>
      </c>
      <c r="F932" s="89" t="s">
        <v>382</v>
      </c>
      <c r="G932" s="90">
        <v>0.84640403122179297</v>
      </c>
      <c r="H932" s="29"/>
      <c r="I932" s="29"/>
      <c r="J932" s="3" t="str">
        <f t="shared" si="75"/>
        <v/>
      </c>
      <c r="K932" s="10">
        <v>-1.0800930541708276E-2</v>
      </c>
      <c r="L932" s="10">
        <v>-9.3426760093426875E-3</v>
      </c>
      <c r="M932" s="10">
        <v>-7.1714476317547016E-3</v>
      </c>
      <c r="N932" s="10">
        <v>1.8333333333335755E-2</v>
      </c>
      <c r="O932" s="10">
        <v>2.3333333333331208E-2</v>
      </c>
      <c r="P932" s="10">
        <v>-3.3333333333303017E-3</v>
      </c>
      <c r="Q932" s="10">
        <v>-0.17000000000000459</v>
      </c>
      <c r="R932" s="10">
        <v>-0.45999999999999841</v>
      </c>
      <c r="S932" s="10">
        <v>-1</v>
      </c>
      <c r="T932" s="10">
        <v>-1</v>
      </c>
    </row>
    <row r="933" spans="1:23" ht="25.5" x14ac:dyDescent="0.25">
      <c r="A933" s="81">
        <v>1.5</v>
      </c>
      <c r="B933" s="85" t="s">
        <v>1283</v>
      </c>
      <c r="C933" s="81">
        <v>2001</v>
      </c>
      <c r="D933" s="81" t="str">
        <f t="shared" si="77"/>
        <v>Y01N</v>
      </c>
      <c r="E933" s="81" t="s">
        <v>107</v>
      </c>
      <c r="F933" s="89" t="s">
        <v>383</v>
      </c>
      <c r="G933" s="90">
        <v>0.7878269512211955</v>
      </c>
      <c r="H933" s="88">
        <v>37113</v>
      </c>
      <c r="I933" s="88">
        <v>42242</v>
      </c>
      <c r="J933" s="3">
        <f t="shared" si="75"/>
        <v>14</v>
      </c>
      <c r="K933" s="10">
        <v>1.4955134596212893E-3</v>
      </c>
      <c r="L933" s="10">
        <v>-3.0030030030033794E-3</v>
      </c>
      <c r="M933" s="10">
        <v>8.6724482988660423E-3</v>
      </c>
      <c r="N933" s="10">
        <v>4.1666666666662078E-2</v>
      </c>
      <c r="O933" s="10">
        <v>1.0000000000000009E-2</v>
      </c>
      <c r="P933" s="10">
        <v>-9.3333333333333712E-2</v>
      </c>
      <c r="Q933" s="10">
        <v>-0.20333333333333314</v>
      </c>
      <c r="R933" s="10">
        <v>-0.99666666666666681</v>
      </c>
      <c r="S933" s="10">
        <v>-1</v>
      </c>
      <c r="T933" s="10">
        <v>-1</v>
      </c>
      <c r="U933" s="1">
        <v>2374</v>
      </c>
      <c r="W933" s="1">
        <v>470562</v>
      </c>
    </row>
    <row r="934" spans="1:23" ht="25.5" x14ac:dyDescent="0.25">
      <c r="A934" s="81">
        <v>1.5</v>
      </c>
      <c r="B934" s="85" t="s">
        <v>1283</v>
      </c>
      <c r="C934" s="81">
        <v>2001</v>
      </c>
      <c r="D934" s="81" t="str">
        <f t="shared" si="77"/>
        <v>Y01N</v>
      </c>
      <c r="E934" s="81" t="s">
        <v>107</v>
      </c>
      <c r="F934" s="89" t="s">
        <v>384</v>
      </c>
      <c r="G934" s="90">
        <v>0.61353178917333429</v>
      </c>
      <c r="H934" s="88">
        <v>37113</v>
      </c>
      <c r="I934" s="88">
        <v>42242</v>
      </c>
      <c r="J934" s="3">
        <f t="shared" si="75"/>
        <v>14</v>
      </c>
      <c r="K934" s="10">
        <v>-7.14523097374542E-3</v>
      </c>
      <c r="L934" s="10">
        <v>-2.5525525525525894E-2</v>
      </c>
      <c r="M934" s="10">
        <v>-1.0340226817878828E-2</v>
      </c>
      <c r="N934" s="10">
        <v>-5.6666666666664312E-2</v>
      </c>
      <c r="O934" s="10">
        <v>-3.3333333333340764E-3</v>
      </c>
      <c r="P934" s="10">
        <v>-0.51333333333333642</v>
      </c>
      <c r="Q934" s="10">
        <v>-1</v>
      </c>
      <c r="R934" s="10">
        <v>-1</v>
      </c>
      <c r="S934" s="10">
        <v>-1</v>
      </c>
      <c r="T934" s="10">
        <v>-1</v>
      </c>
      <c r="U934" s="1">
        <v>3664</v>
      </c>
      <c r="W934" s="1">
        <v>470716</v>
      </c>
    </row>
    <row r="935" spans="1:23" ht="25.5" x14ac:dyDescent="0.25">
      <c r="A935" s="81">
        <v>1.5</v>
      </c>
      <c r="B935" s="85" t="s">
        <v>1283</v>
      </c>
      <c r="C935" s="81">
        <v>2001</v>
      </c>
      <c r="D935" s="81" t="str">
        <f t="shared" si="77"/>
        <v>Y01N</v>
      </c>
      <c r="E935" s="81" t="s">
        <v>107</v>
      </c>
      <c r="F935" s="89" t="s">
        <v>385</v>
      </c>
      <c r="G935" s="90">
        <v>0.61460001991679469</v>
      </c>
      <c r="H935" s="88">
        <v>37113</v>
      </c>
      <c r="I935" s="88">
        <v>42242</v>
      </c>
      <c r="J935" s="3">
        <f t="shared" si="75"/>
        <v>14</v>
      </c>
      <c r="K935" s="10">
        <v>-4.120970422067094E-2</v>
      </c>
      <c r="L935" s="10">
        <v>-3.520186853520213E-2</v>
      </c>
      <c r="M935" s="10">
        <v>-4.4362908605737106E-2</v>
      </c>
      <c r="N935" s="10">
        <v>-1.166666666666738E-2</v>
      </c>
      <c r="O935" s="10">
        <v>-9.8333333333334827E-2</v>
      </c>
      <c r="P935" s="10">
        <v>-0.41999999999999704</v>
      </c>
      <c r="Q935" s="10">
        <v>-0.9966666666666697</v>
      </c>
      <c r="R935" s="10">
        <v>-1</v>
      </c>
      <c r="S935" s="10">
        <v>-1</v>
      </c>
      <c r="T935" s="10">
        <v>-1</v>
      </c>
      <c r="U935" s="1">
        <v>2866</v>
      </c>
      <c r="W935" s="1">
        <v>470643</v>
      </c>
    </row>
    <row r="936" spans="1:23" ht="25.5" x14ac:dyDescent="0.25">
      <c r="A936" s="81">
        <v>1.5</v>
      </c>
      <c r="B936" s="85" t="s">
        <v>1283</v>
      </c>
      <c r="C936" s="81">
        <v>2001</v>
      </c>
      <c r="D936" s="81" t="str">
        <f t="shared" si="77"/>
        <v>Y01N</v>
      </c>
      <c r="E936" s="81" t="s">
        <v>107</v>
      </c>
      <c r="F936" s="77" t="s">
        <v>386</v>
      </c>
      <c r="G936" s="78">
        <v>0.87121947984478887</v>
      </c>
      <c r="H936" s="88">
        <v>37148</v>
      </c>
      <c r="I936" s="88">
        <v>42241</v>
      </c>
      <c r="J936" s="3">
        <f t="shared" si="75"/>
        <v>14</v>
      </c>
      <c r="K936" s="10">
        <v>-5.6497175141241307E-3</v>
      </c>
      <c r="L936" s="10">
        <v>-1.2512512512512508E-2</v>
      </c>
      <c r="M936" s="10">
        <v>-2.3348899266177892E-3</v>
      </c>
      <c r="N936" s="10">
        <v>6.6666666666663765E-3</v>
      </c>
      <c r="O936" s="10">
        <v>4.0000000000001368E-2</v>
      </c>
      <c r="P936" s="10">
        <v>-5.0000000000000044E-2</v>
      </c>
      <c r="Q936" s="10">
        <v>6.3333333333332575E-2</v>
      </c>
      <c r="R936" s="10">
        <v>-0.22999999999999932</v>
      </c>
      <c r="S936" s="10">
        <v>-1</v>
      </c>
      <c r="T936" s="10">
        <v>-1</v>
      </c>
      <c r="U936" s="1">
        <v>3605</v>
      </c>
      <c r="W936" s="1">
        <v>2305879</v>
      </c>
    </row>
    <row r="937" spans="1:23" ht="25.5" x14ac:dyDescent="0.25">
      <c r="A937" s="81">
        <v>1.5</v>
      </c>
      <c r="B937" s="85" t="s">
        <v>1283</v>
      </c>
      <c r="C937" s="81">
        <v>2001</v>
      </c>
      <c r="D937" s="81" t="str">
        <f t="shared" si="77"/>
        <v>Y01N</v>
      </c>
      <c r="E937" s="81" t="s">
        <v>107</v>
      </c>
      <c r="F937" s="77" t="s">
        <v>387</v>
      </c>
      <c r="G937" s="78">
        <v>0.79207769333558298</v>
      </c>
      <c r="H937" s="88">
        <v>37319</v>
      </c>
      <c r="I937" s="88">
        <v>42241</v>
      </c>
      <c r="J937" s="3">
        <f t="shared" si="75"/>
        <v>13</v>
      </c>
      <c r="K937" s="10">
        <v>-2.1103356596875789E-2</v>
      </c>
      <c r="L937" s="10">
        <v>-2.5859192525859553E-2</v>
      </c>
      <c r="M937" s="10">
        <v>-2.2014676450967219E-2</v>
      </c>
      <c r="N937" s="10">
        <v>-5.0000000000000044E-2</v>
      </c>
      <c r="O937" s="10">
        <v>1.166666666666738E-2</v>
      </c>
      <c r="P937" s="10">
        <v>-7.3333333333334805E-2</v>
      </c>
      <c r="Q937" s="10">
        <v>-5.333333333333401E-2</v>
      </c>
      <c r="R937" s="10">
        <v>-0.94666666666666588</v>
      </c>
      <c r="S937" s="10">
        <v>-1</v>
      </c>
      <c r="T937" s="10">
        <v>-1</v>
      </c>
      <c r="U937" s="1">
        <v>2873</v>
      </c>
      <c r="W937" s="1">
        <v>2305933</v>
      </c>
    </row>
    <row r="938" spans="1:23" ht="25.5" x14ac:dyDescent="0.25">
      <c r="A938" s="81">
        <v>1.5</v>
      </c>
      <c r="B938" s="85" t="s">
        <v>1283</v>
      </c>
      <c r="C938" s="81">
        <v>2001</v>
      </c>
      <c r="D938" s="81" t="str">
        <f t="shared" si="77"/>
        <v>Y01N</v>
      </c>
      <c r="E938" s="81" t="s">
        <v>107</v>
      </c>
      <c r="F938" s="77" t="s">
        <v>388</v>
      </c>
      <c r="G938" s="78">
        <v>0.83762365131339578</v>
      </c>
      <c r="H938" s="88">
        <v>37319</v>
      </c>
      <c r="I938" s="88">
        <v>42241</v>
      </c>
      <c r="J938" s="3">
        <f t="shared" si="75"/>
        <v>13</v>
      </c>
      <c r="K938" s="10">
        <v>-1.6284479893652337E-2</v>
      </c>
      <c r="L938" s="10">
        <v>-1.8184851518185052E-2</v>
      </c>
      <c r="M938" s="10">
        <v>-9.8398932621748258E-3</v>
      </c>
      <c r="N938" s="10">
        <v>-6.6666666666643781E-3</v>
      </c>
      <c r="O938" s="10">
        <v>2.3333333333331208E-2</v>
      </c>
      <c r="P938" s="10">
        <v>-7.9999999999995408E-2</v>
      </c>
      <c r="Q938" s="10">
        <v>-5.3333333333337896E-2</v>
      </c>
      <c r="R938" s="10">
        <v>-0.39666666666666217</v>
      </c>
      <c r="S938" s="10">
        <v>-1</v>
      </c>
      <c r="T938" s="10">
        <v>-1</v>
      </c>
      <c r="U938" s="1">
        <v>2226</v>
      </c>
      <c r="W938" s="1">
        <v>2305811</v>
      </c>
    </row>
    <row r="939" spans="1:23" ht="25.5" x14ac:dyDescent="0.25">
      <c r="A939" s="81">
        <v>1.5</v>
      </c>
      <c r="B939" s="85" t="s">
        <v>1283</v>
      </c>
      <c r="C939" s="81">
        <v>2001</v>
      </c>
      <c r="D939" s="81" t="str">
        <f t="shared" si="77"/>
        <v>Y01N</v>
      </c>
      <c r="E939" s="81" t="s">
        <v>107</v>
      </c>
      <c r="F939" s="77" t="s">
        <v>389</v>
      </c>
      <c r="G939" s="78">
        <v>0.69555679540723314</v>
      </c>
      <c r="H939" s="88">
        <v>37113</v>
      </c>
      <c r="I939" s="88">
        <v>42242</v>
      </c>
      <c r="J939" s="3">
        <f t="shared" si="75"/>
        <v>14</v>
      </c>
      <c r="K939" s="10">
        <v>-7.6437354602856278E-3</v>
      </c>
      <c r="L939" s="10">
        <v>-3.5035035035037021E-3</v>
      </c>
      <c r="M939" s="10">
        <v>3.1687791861241266E-3</v>
      </c>
      <c r="N939" s="10">
        <v>-3.3333333333323001E-3</v>
      </c>
      <c r="O939" s="10">
        <v>-4.3333333333333668E-2</v>
      </c>
      <c r="P939" s="10">
        <v>-0.15666666666666829</v>
      </c>
      <c r="Q939" s="10">
        <v>-1</v>
      </c>
      <c r="R939" s="10">
        <v>-1</v>
      </c>
      <c r="S939" s="10">
        <v>-1</v>
      </c>
      <c r="T939" s="10">
        <v>-1</v>
      </c>
      <c r="U939" s="1">
        <v>2199</v>
      </c>
      <c r="W939" s="1">
        <v>470627</v>
      </c>
    </row>
    <row r="940" spans="1:23" ht="25.5" x14ac:dyDescent="0.25">
      <c r="A940" s="81">
        <v>1.5</v>
      </c>
      <c r="B940" s="85" t="s">
        <v>1283</v>
      </c>
      <c r="C940" s="81">
        <v>2001</v>
      </c>
      <c r="D940" s="81" t="str">
        <f t="shared" si="77"/>
        <v>Y01N</v>
      </c>
      <c r="E940" s="81" t="s">
        <v>107</v>
      </c>
      <c r="F940" s="77" t="s">
        <v>390</v>
      </c>
      <c r="G940" s="78">
        <v>0.70964065396197018</v>
      </c>
      <c r="H940" s="88">
        <v>37113</v>
      </c>
      <c r="I940" s="88">
        <v>42242</v>
      </c>
      <c r="J940" s="3">
        <f t="shared" si="75"/>
        <v>14</v>
      </c>
      <c r="K940" s="10">
        <v>-7.4775672981055585E-3</v>
      </c>
      <c r="L940" s="10">
        <v>-5.1718385051721105E-3</v>
      </c>
      <c r="M940" s="10">
        <v>-1.6677785190124528E-3</v>
      </c>
      <c r="N940" s="10">
        <v>1.6666666666665719E-2</v>
      </c>
      <c r="O940" s="10">
        <v>-4.6666666666665968E-2</v>
      </c>
      <c r="P940" s="10">
        <v>-0.12333333333333485</v>
      </c>
      <c r="Q940" s="10">
        <v>-0.92999999999999927</v>
      </c>
      <c r="R940" s="10">
        <v>-1</v>
      </c>
      <c r="S940" s="10">
        <v>-1</v>
      </c>
      <c r="T940" s="10">
        <v>-1</v>
      </c>
      <c r="U940" s="1">
        <v>2516</v>
      </c>
      <c r="W940" s="1">
        <v>470619</v>
      </c>
    </row>
    <row r="941" spans="1:23" ht="25.5" x14ac:dyDescent="0.25">
      <c r="A941" s="81">
        <v>1.5</v>
      </c>
      <c r="B941" s="85" t="s">
        <v>1283</v>
      </c>
      <c r="C941" s="81">
        <v>2001</v>
      </c>
      <c r="D941" s="81" t="str">
        <f t="shared" si="77"/>
        <v>Y01N</v>
      </c>
      <c r="E941" s="81" t="s">
        <v>107</v>
      </c>
      <c r="F941" s="77" t="s">
        <v>391</v>
      </c>
      <c r="G941" s="78">
        <v>0.77517833737132769</v>
      </c>
      <c r="H941" s="88">
        <v>37113</v>
      </c>
      <c r="I941" s="88">
        <v>42242</v>
      </c>
      <c r="J941" s="3">
        <f t="shared" si="75"/>
        <v>14</v>
      </c>
      <c r="K941" s="10">
        <v>1.9940179461614971E-3</v>
      </c>
      <c r="L941" s="10">
        <v>1.3513513513512931E-2</v>
      </c>
      <c r="M941" s="10">
        <v>3.3022014676450828E-2</v>
      </c>
      <c r="N941" s="10">
        <v>-2.1666666666665946E-2</v>
      </c>
      <c r="O941" s="10">
        <v>-3.5000000000002252E-2</v>
      </c>
      <c r="P941" s="10">
        <v>-0.16666666666666663</v>
      </c>
      <c r="Q941" s="10">
        <v>-0.99666666666666215</v>
      </c>
      <c r="R941" s="10">
        <v>-1</v>
      </c>
      <c r="S941" s="10">
        <v>-1</v>
      </c>
      <c r="T941" s="10">
        <v>-1</v>
      </c>
      <c r="U941" s="1">
        <v>2723</v>
      </c>
      <c r="W941" s="1">
        <v>470597</v>
      </c>
    </row>
    <row r="942" spans="1:23" ht="25.5" x14ac:dyDescent="0.25">
      <c r="A942" s="81">
        <v>1.5</v>
      </c>
      <c r="B942" s="85" t="s">
        <v>1283</v>
      </c>
      <c r="C942" s="81">
        <v>2001</v>
      </c>
      <c r="D942" s="81" t="str">
        <f t="shared" si="77"/>
        <v>Y01N</v>
      </c>
      <c r="E942" s="81" t="s">
        <v>107</v>
      </c>
      <c r="F942" s="77" t="s">
        <v>392</v>
      </c>
      <c r="G942" s="90">
        <v>0.79727376048060927</v>
      </c>
      <c r="H942" s="88">
        <v>37113</v>
      </c>
      <c r="I942" s="88">
        <v>42242</v>
      </c>
      <c r="J942" s="3">
        <f t="shared" si="75"/>
        <v>14</v>
      </c>
      <c r="K942" s="10">
        <v>1.5619807244931616E-2</v>
      </c>
      <c r="L942" s="10">
        <v>1.0844177510843656E-2</v>
      </c>
      <c r="M942" s="10">
        <v>2.0680453635757212E-2</v>
      </c>
      <c r="N942" s="10">
        <v>5.3333333333334121E-2</v>
      </c>
      <c r="O942" s="10">
        <v>-2.3333333333332873E-2</v>
      </c>
      <c r="P942" s="10">
        <v>-0.16000000000000225</v>
      </c>
      <c r="Q942" s="10">
        <v>-0.97999999999999921</v>
      </c>
      <c r="R942" s="10">
        <v>-1</v>
      </c>
      <c r="S942" s="10">
        <v>-1</v>
      </c>
      <c r="T942" s="10">
        <v>-1</v>
      </c>
      <c r="U942" s="1">
        <v>2631</v>
      </c>
      <c r="W942" s="1">
        <v>470211</v>
      </c>
    </row>
    <row r="943" spans="1:23" ht="25.5" x14ac:dyDescent="0.25">
      <c r="A943" s="81">
        <v>1.5</v>
      </c>
      <c r="B943" s="85" t="s">
        <v>1283</v>
      </c>
      <c r="C943" s="81">
        <v>2001</v>
      </c>
      <c r="D943" s="81" t="str">
        <f t="shared" si="77"/>
        <v>Y01N</v>
      </c>
      <c r="E943" s="81" t="s">
        <v>107</v>
      </c>
      <c r="F943" s="77" t="s">
        <v>393</v>
      </c>
      <c r="G943" s="90">
        <v>0.89548989306621585</v>
      </c>
      <c r="H943" s="88">
        <v>37113</v>
      </c>
      <c r="I943" s="88">
        <v>42242</v>
      </c>
      <c r="J943" s="3">
        <f t="shared" si="75"/>
        <v>14</v>
      </c>
      <c r="K943" s="10">
        <v>1.0800930541708054E-2</v>
      </c>
      <c r="L943" s="10">
        <v>1.4514514514514465E-2</v>
      </c>
      <c r="M943" s="10">
        <v>2.9019346230820364E-2</v>
      </c>
      <c r="N943" s="10">
        <v>-1.6666666666671492E-3</v>
      </c>
      <c r="O943" s="10">
        <v>2.8433333333333533E-2</v>
      </c>
      <c r="P943" s="10">
        <v>7.6466666666666239E-2</v>
      </c>
      <c r="Q943" s="10">
        <v>-0.16666666666666285</v>
      </c>
      <c r="R943" s="10">
        <v>-0.83333333333333326</v>
      </c>
      <c r="S943" s="10">
        <v>-1</v>
      </c>
      <c r="T943" s="10">
        <v>-1</v>
      </c>
      <c r="U943" s="1">
        <v>7787</v>
      </c>
      <c r="W943" s="1">
        <v>470171</v>
      </c>
    </row>
    <row r="944" spans="1:23" x14ac:dyDescent="0.25">
      <c r="A944" s="76">
        <v>3</v>
      </c>
      <c r="B944" s="91" t="s">
        <v>54</v>
      </c>
      <c r="C944" s="76">
        <v>2001</v>
      </c>
      <c r="D944" s="76" t="str">
        <f t="shared" si="77"/>
        <v>A01L</v>
      </c>
      <c r="E944" s="76" t="s">
        <v>147</v>
      </c>
      <c r="F944" s="89" t="s">
        <v>394</v>
      </c>
      <c r="G944" s="90">
        <v>0.90720082422390036</v>
      </c>
      <c r="H944" s="88">
        <v>37294</v>
      </c>
      <c r="I944" s="88">
        <v>42207</v>
      </c>
      <c r="J944" s="3">
        <f t="shared" si="75"/>
        <v>13</v>
      </c>
      <c r="K944" s="10">
        <v>-1.0369702434624761E-2</v>
      </c>
      <c r="L944" s="10">
        <v>-1.1291779584462591E-2</v>
      </c>
      <c r="M944" s="10">
        <v>7.9909706546275494E-2</v>
      </c>
      <c r="N944" s="10">
        <v>-1.2189616252821334E-2</v>
      </c>
      <c r="O944" s="10">
        <v>-3.3333333333340764E-3</v>
      </c>
      <c r="P944" s="10">
        <v>1.0000000000000231E-2</v>
      </c>
      <c r="Q944" s="10">
        <v>1.3333333333332531E-2</v>
      </c>
      <c r="R944" s="10">
        <v>-7.3333333333332917E-2</v>
      </c>
      <c r="S944" s="10">
        <v>-0.6849999999999985</v>
      </c>
      <c r="T944" s="10">
        <v>-1</v>
      </c>
      <c r="U944" s="1">
        <v>1860</v>
      </c>
      <c r="W944" s="1">
        <v>3589641</v>
      </c>
    </row>
    <row r="945" spans="1:23" x14ac:dyDescent="0.25">
      <c r="A945" s="76">
        <v>3</v>
      </c>
      <c r="B945" s="91" t="s">
        <v>54</v>
      </c>
      <c r="C945" s="76">
        <v>2001</v>
      </c>
      <c r="D945" s="76" t="str">
        <f t="shared" si="77"/>
        <v>A01L</v>
      </c>
      <c r="E945" s="76" t="s">
        <v>147</v>
      </c>
      <c r="F945" s="89" t="s">
        <v>395</v>
      </c>
      <c r="G945" s="90">
        <v>0.89477574488263278</v>
      </c>
      <c r="H945" s="88">
        <v>37237</v>
      </c>
      <c r="I945" s="88">
        <v>42207</v>
      </c>
      <c r="J945" s="3">
        <f t="shared" si="75"/>
        <v>14</v>
      </c>
      <c r="K945" s="10">
        <v>-1.6681695220919779E-2</v>
      </c>
      <c r="L945" s="10">
        <v>-1.1291779584463035E-2</v>
      </c>
      <c r="M945" s="10">
        <v>-4.966139954852844E-3</v>
      </c>
      <c r="N945" s="10">
        <v>-3.1602708803614155E-3</v>
      </c>
      <c r="O945" s="10">
        <v>8.3333333333333037E-3</v>
      </c>
      <c r="P945" s="10">
        <v>1.6666666666666607E-2</v>
      </c>
      <c r="Q945" s="10">
        <v>2.8333333333333321E-2</v>
      </c>
      <c r="R945" s="10">
        <v>-1.5000000000000013E-2</v>
      </c>
      <c r="S945" s="10">
        <v>-0.92333333333333345</v>
      </c>
      <c r="T945" s="10">
        <v>-1</v>
      </c>
      <c r="U945" s="1">
        <v>1397</v>
      </c>
      <c r="W945" s="1">
        <v>3589714</v>
      </c>
    </row>
    <row r="946" spans="1:23" x14ac:dyDescent="0.25">
      <c r="A946" s="76">
        <v>3</v>
      </c>
      <c r="B946" s="91" t="s">
        <v>54</v>
      </c>
      <c r="C946" s="76">
        <v>2001</v>
      </c>
      <c r="D946" s="76" t="str">
        <f t="shared" si="77"/>
        <v>A01L</v>
      </c>
      <c r="E946" s="76" t="s">
        <v>147</v>
      </c>
      <c r="F946" s="89" t="s">
        <v>396</v>
      </c>
      <c r="G946" s="90">
        <v>0.86837738183395663</v>
      </c>
      <c r="H946" s="88">
        <v>37147</v>
      </c>
      <c r="I946" s="88">
        <v>42207</v>
      </c>
      <c r="J946" s="3">
        <f t="shared" si="75"/>
        <v>14</v>
      </c>
      <c r="K946" s="10">
        <v>-2.9756537421100848E-2</v>
      </c>
      <c r="L946" s="10">
        <v>-1.2646793134598044E-2</v>
      </c>
      <c r="M946" s="10">
        <v>-2.2121896162528354E-2</v>
      </c>
      <c r="N946" s="10">
        <v>-2.3476297968396898E-2</v>
      </c>
      <c r="O946" s="10">
        <v>-1.3333333333334529E-2</v>
      </c>
      <c r="P946" s="10">
        <v>-1.6666666666671492E-3</v>
      </c>
      <c r="Q946" s="10">
        <v>-2.6666666666665173E-2</v>
      </c>
      <c r="R946" s="10">
        <v>-7.4999999999999956E-2</v>
      </c>
      <c r="S946" s="10">
        <v>-0.9916666666666667</v>
      </c>
      <c r="T946" s="10">
        <v>-1</v>
      </c>
      <c r="U946" s="1">
        <v>1691</v>
      </c>
      <c r="W946" s="1">
        <v>3248607</v>
      </c>
    </row>
    <row r="947" spans="1:23" x14ac:dyDescent="0.25">
      <c r="A947" s="76">
        <v>3</v>
      </c>
      <c r="B947" s="91" t="s">
        <v>54</v>
      </c>
      <c r="C947" s="76">
        <v>2001</v>
      </c>
      <c r="D947" s="76" t="str">
        <f t="shared" si="77"/>
        <v>A01L</v>
      </c>
      <c r="E947" s="76" t="s">
        <v>147</v>
      </c>
      <c r="F947" s="89" t="s">
        <v>397</v>
      </c>
      <c r="G947" s="90">
        <v>0.89002098711027344</v>
      </c>
      <c r="H947" s="88">
        <v>37179</v>
      </c>
      <c r="I947" s="88">
        <v>42207</v>
      </c>
      <c r="J947" s="3">
        <f t="shared" si="75"/>
        <v>14</v>
      </c>
      <c r="K947" s="10">
        <v>-1.0820559062218349E-2</v>
      </c>
      <c r="L947" s="10">
        <v>8.175248419150849E-2</v>
      </c>
      <c r="M947" s="10">
        <v>-9.3002257336342598E-2</v>
      </c>
      <c r="N947" s="10">
        <v>1.3544018058690988E-3</v>
      </c>
      <c r="O947" s="10">
        <v>4.9999999999992273E-3</v>
      </c>
      <c r="P947" s="10">
        <v>2.333333333333476E-2</v>
      </c>
      <c r="Q947" s="10">
        <v>3.6666666666663739E-2</v>
      </c>
      <c r="R947" s="10">
        <v>-2.6666666666665173E-2</v>
      </c>
      <c r="S947" s="10">
        <v>-0.99500000000000077</v>
      </c>
      <c r="T947" s="10">
        <v>-1</v>
      </c>
      <c r="U947" s="1">
        <v>2066</v>
      </c>
      <c r="W947" s="1">
        <v>3589897</v>
      </c>
    </row>
    <row r="948" spans="1:23" x14ac:dyDescent="0.25">
      <c r="A948" s="76">
        <v>3</v>
      </c>
      <c r="B948" s="91" t="s">
        <v>54</v>
      </c>
      <c r="C948" s="76">
        <v>2001</v>
      </c>
      <c r="D948" s="76" t="str">
        <f t="shared" si="77"/>
        <v>A01L</v>
      </c>
      <c r="E948" s="76" t="s">
        <v>147</v>
      </c>
      <c r="F948" s="89" t="s">
        <v>398</v>
      </c>
      <c r="G948" s="90">
        <v>0.88364577045149306</v>
      </c>
      <c r="H948" s="88">
        <v>37365</v>
      </c>
      <c r="I948" s="88">
        <v>42207</v>
      </c>
      <c r="J948" s="3">
        <f t="shared" si="75"/>
        <v>13</v>
      </c>
      <c r="K948" s="10">
        <v>-5.4102795311086194E-3</v>
      </c>
      <c r="L948" s="10">
        <v>-3.6133694670283933E-3</v>
      </c>
      <c r="M948" s="10">
        <v>-1.8058690744914285E-3</v>
      </c>
      <c r="N948" s="10">
        <v>-5.4176072234759509E-3</v>
      </c>
      <c r="O948" s="10">
        <v>6.6666666666668206E-3</v>
      </c>
      <c r="P948" s="10">
        <v>1.6666666666666607E-2</v>
      </c>
      <c r="Q948" s="10">
        <v>-6.6666666666668206E-3</v>
      </c>
      <c r="R948" s="10">
        <v>-7.3333333333332917E-2</v>
      </c>
      <c r="S948" s="10">
        <v>-0.9916666666666667</v>
      </c>
      <c r="T948" s="10">
        <v>-1</v>
      </c>
      <c r="U948" s="1">
        <v>862</v>
      </c>
      <c r="W948" s="1">
        <v>3245489</v>
      </c>
    </row>
    <row r="949" spans="1:23" x14ac:dyDescent="0.25">
      <c r="A949" s="76">
        <v>3</v>
      </c>
      <c r="B949" s="91" t="s">
        <v>54</v>
      </c>
      <c r="C949" s="76">
        <v>2001</v>
      </c>
      <c r="D949" s="76" t="str">
        <f t="shared" si="77"/>
        <v>A01L</v>
      </c>
      <c r="E949" s="76" t="s">
        <v>147</v>
      </c>
      <c r="F949" s="89" t="s">
        <v>399</v>
      </c>
      <c r="G949" s="90">
        <v>0.87843394825521426</v>
      </c>
      <c r="H949" s="88">
        <v>37221</v>
      </c>
      <c r="I949" s="88">
        <v>42207</v>
      </c>
      <c r="J949" s="3">
        <f t="shared" si="75"/>
        <v>14</v>
      </c>
      <c r="K949" s="10">
        <v>-9.4229035166817021E-2</v>
      </c>
      <c r="L949" s="10">
        <v>-2.4390243902439157E-2</v>
      </c>
      <c r="M949" s="10">
        <v>-1.7607223476297729E-2</v>
      </c>
      <c r="N949" s="10">
        <v>-1.6252821670428963E-2</v>
      </c>
      <c r="O949" s="10">
        <v>-6.6666666666662655E-3</v>
      </c>
      <c r="P949" s="10">
        <v>1.0000000000000231E-2</v>
      </c>
      <c r="Q949" s="10">
        <v>1.6666666666671492E-3</v>
      </c>
      <c r="R949" s="10">
        <v>-4.5000000000000817E-2</v>
      </c>
      <c r="S949" s="10">
        <v>-0.95999999999999852</v>
      </c>
      <c r="T949" s="10">
        <v>-1</v>
      </c>
      <c r="U949" s="1">
        <v>2383</v>
      </c>
      <c r="W949" s="1">
        <v>3245403</v>
      </c>
    </row>
    <row r="950" spans="1:23" x14ac:dyDescent="0.25">
      <c r="A950" s="76">
        <v>3</v>
      </c>
      <c r="B950" s="91" t="s">
        <v>54</v>
      </c>
      <c r="C950" s="76">
        <v>2001</v>
      </c>
      <c r="D950" s="76" t="str">
        <f t="shared" si="77"/>
        <v>A01L</v>
      </c>
      <c r="E950" s="76" t="s">
        <v>147</v>
      </c>
      <c r="F950" s="89" t="s">
        <v>400</v>
      </c>
      <c r="G950" s="90">
        <v>0.88651063790167994</v>
      </c>
      <c r="H950" s="88">
        <v>37285</v>
      </c>
      <c r="I950" s="88">
        <v>42206</v>
      </c>
      <c r="J950" s="3">
        <f t="shared" si="75"/>
        <v>13</v>
      </c>
      <c r="K950" s="10">
        <v>-3.6068530207393756E-3</v>
      </c>
      <c r="L950" s="10">
        <v>-3.6133694670283933E-3</v>
      </c>
      <c r="M950" s="10">
        <v>-2.2573363431149795E-3</v>
      </c>
      <c r="N950" s="10">
        <v>-3.6117381489839673E-3</v>
      </c>
      <c r="O950" s="10">
        <v>1.6666666666664831E-3</v>
      </c>
      <c r="P950" s="10">
        <v>1.6666666666667052E-2</v>
      </c>
      <c r="Q950" s="10">
        <v>8.3333333333333037E-3</v>
      </c>
      <c r="R950" s="10">
        <v>-3.8333333333333441E-2</v>
      </c>
      <c r="S950" s="10">
        <v>-0.98666666666666647</v>
      </c>
      <c r="T950" s="10">
        <v>-1</v>
      </c>
      <c r="U950" s="1">
        <v>3462</v>
      </c>
      <c r="W950" s="1">
        <v>3665801</v>
      </c>
    </row>
    <row r="951" spans="1:23" x14ac:dyDescent="0.25">
      <c r="A951" s="76">
        <v>3</v>
      </c>
      <c r="B951" s="91" t="s">
        <v>54</v>
      </c>
      <c r="C951" s="76">
        <v>2001</v>
      </c>
      <c r="D951" s="76" t="str">
        <f t="shared" si="77"/>
        <v>A01L</v>
      </c>
      <c r="E951" s="76" t="s">
        <v>147</v>
      </c>
      <c r="F951" s="89" t="s">
        <v>401</v>
      </c>
      <c r="G951" s="90">
        <v>0.87531640220033347</v>
      </c>
      <c r="H951" s="88">
        <v>37362</v>
      </c>
      <c r="I951" s="88">
        <v>42207</v>
      </c>
      <c r="J951" s="3">
        <f t="shared" si="75"/>
        <v>13</v>
      </c>
      <c r="K951" s="10">
        <v>-9.467989179440961E-2</v>
      </c>
      <c r="L951" s="10">
        <v>-4.516711833784548E-3</v>
      </c>
      <c r="M951" s="10">
        <v>-1.8058690744924277E-3</v>
      </c>
      <c r="N951" s="10">
        <v>-2.2573363431149795E-3</v>
      </c>
      <c r="O951" s="10">
        <v>1.6666666666689256E-3</v>
      </c>
      <c r="P951" s="10">
        <v>1.166666666666738E-2</v>
      </c>
      <c r="Q951" s="10">
        <v>-2.5000000000000022E-2</v>
      </c>
      <c r="R951" s="10">
        <v>-0.1216666666666697</v>
      </c>
      <c r="S951" s="10">
        <v>-0.99333333333333185</v>
      </c>
      <c r="T951" s="10">
        <v>-1</v>
      </c>
      <c r="U951" s="1">
        <v>1519</v>
      </c>
      <c r="W951" s="1">
        <v>3589757</v>
      </c>
    </row>
    <row r="952" spans="1:23" x14ac:dyDescent="0.25">
      <c r="A952" s="76">
        <v>3</v>
      </c>
      <c r="B952" s="91" t="s">
        <v>54</v>
      </c>
      <c r="C952" s="76">
        <v>2001</v>
      </c>
      <c r="D952" s="76" t="str">
        <f t="shared" si="77"/>
        <v>A01L</v>
      </c>
      <c r="E952" s="76" t="s">
        <v>147</v>
      </c>
      <c r="F952" s="89" t="s">
        <v>402</v>
      </c>
      <c r="G952" s="90">
        <v>0.87194021088728102</v>
      </c>
      <c r="H952" s="88">
        <v>37350</v>
      </c>
      <c r="I952" s="88">
        <v>42205</v>
      </c>
      <c r="J952" s="3">
        <f t="shared" si="75"/>
        <v>13</v>
      </c>
      <c r="K952" s="10">
        <v>-2.8403967538322972E-2</v>
      </c>
      <c r="L952" s="10">
        <v>-1.8066847335140523E-2</v>
      </c>
      <c r="M952" s="10">
        <v>-1.5801354401805745E-2</v>
      </c>
      <c r="N952" s="10">
        <v>-1.5349887133182194E-2</v>
      </c>
      <c r="O952" s="10">
        <v>-4.9999999999992273E-3</v>
      </c>
      <c r="P952" s="10">
        <v>6.6666666666643781E-3</v>
      </c>
      <c r="Q952" s="10">
        <v>-1.3333333333332531E-2</v>
      </c>
      <c r="R952" s="10">
        <v>-0.10999999999999854</v>
      </c>
      <c r="S952" s="10">
        <v>-0.99333333333333562</v>
      </c>
      <c r="T952" s="10">
        <v>-1</v>
      </c>
      <c r="U952" s="1">
        <v>2587</v>
      </c>
      <c r="W952" s="1">
        <v>2247046</v>
      </c>
    </row>
    <row r="953" spans="1:23" x14ac:dyDescent="0.25">
      <c r="A953" s="76">
        <v>3</v>
      </c>
      <c r="B953" s="91" t="s">
        <v>54</v>
      </c>
      <c r="C953" s="76">
        <v>2001</v>
      </c>
      <c r="D953" s="76" t="str">
        <f t="shared" si="77"/>
        <v>A01L</v>
      </c>
      <c r="E953" s="76" t="s">
        <v>147</v>
      </c>
      <c r="F953" s="89" t="s">
        <v>403</v>
      </c>
      <c r="G953" s="90">
        <v>0.88430299134629275</v>
      </c>
      <c r="H953" s="88">
        <v>37147</v>
      </c>
      <c r="I953" s="88">
        <v>42207</v>
      </c>
      <c r="J953" s="3">
        <f t="shared" si="75"/>
        <v>14</v>
      </c>
      <c r="K953" s="10">
        <v>9.7385031559964252E-2</v>
      </c>
      <c r="L953" s="10">
        <v>5.4200542005420349E-3</v>
      </c>
      <c r="M953" s="10">
        <v>-8.3972911963882679E-2</v>
      </c>
      <c r="N953" s="10">
        <v>5.417607223476395E-3</v>
      </c>
      <c r="O953" s="10">
        <v>1.3333333333334529E-2</v>
      </c>
      <c r="P953" s="10">
        <v>1.499999999999968E-2</v>
      </c>
      <c r="Q953" s="10">
        <v>6.6666666666663765E-3</v>
      </c>
      <c r="R953" s="10">
        <v>-7.8333333333334032E-2</v>
      </c>
      <c r="S953" s="10">
        <v>-0.97499999999999998</v>
      </c>
      <c r="T953" s="10">
        <v>-1</v>
      </c>
      <c r="U953" s="1">
        <v>1548</v>
      </c>
      <c r="W953" s="1">
        <v>3244571</v>
      </c>
    </row>
    <row r="954" spans="1:23" x14ac:dyDescent="0.25">
      <c r="A954" s="76">
        <v>3</v>
      </c>
      <c r="B954" s="91" t="s">
        <v>54</v>
      </c>
      <c r="C954" s="76">
        <v>2001</v>
      </c>
      <c r="D954" s="76" t="str">
        <f t="shared" si="77"/>
        <v>A01L</v>
      </c>
      <c r="E954" s="76" t="s">
        <v>147</v>
      </c>
      <c r="F954" s="89" t="s">
        <v>404</v>
      </c>
      <c r="G954" s="90">
        <v>0.89351738311365592</v>
      </c>
      <c r="H954" s="88">
        <v>37335</v>
      </c>
      <c r="I954" s="88">
        <v>42207</v>
      </c>
      <c r="J954" s="3">
        <f t="shared" si="75"/>
        <v>13</v>
      </c>
      <c r="K954" s="10">
        <v>-2.3492907801417662E-2</v>
      </c>
      <c r="L954" s="10">
        <v>6.4616755793225789E-2</v>
      </c>
      <c r="M954" s="10">
        <v>-0.10146862483311059</v>
      </c>
      <c r="N954" s="10">
        <v>-2.7555555555555666E-2</v>
      </c>
      <c r="O954" s="10">
        <v>-1.6666666666666607E-2</v>
      </c>
      <c r="P954" s="10">
        <v>-1.5000000000000013E-2</v>
      </c>
      <c r="Q954" s="10">
        <v>-5.6666666666666865E-2</v>
      </c>
      <c r="R954" s="10">
        <v>-0.15166666666666662</v>
      </c>
      <c r="S954" s="10">
        <v>-0.99333333333333373</v>
      </c>
      <c r="T954" s="10">
        <v>-1</v>
      </c>
      <c r="U954" s="1">
        <v>2328</v>
      </c>
      <c r="W954" s="1">
        <v>3589706</v>
      </c>
    </row>
    <row r="955" spans="1:23" x14ac:dyDescent="0.25">
      <c r="A955" s="76">
        <v>3</v>
      </c>
      <c r="B955" s="91" t="s">
        <v>54</v>
      </c>
      <c r="C955" s="76">
        <v>2001</v>
      </c>
      <c r="D955" s="76" t="str">
        <f t="shared" si="77"/>
        <v>A01L</v>
      </c>
      <c r="E955" s="76" t="s">
        <v>147</v>
      </c>
      <c r="F955" s="89" t="s">
        <v>405</v>
      </c>
      <c r="G955" s="90">
        <v>0.89445585768000369</v>
      </c>
      <c r="H955" s="88">
        <v>37306</v>
      </c>
      <c r="I955" s="88">
        <v>42207</v>
      </c>
      <c r="J955" s="3">
        <f t="shared" si="75"/>
        <v>13</v>
      </c>
      <c r="K955" s="10">
        <v>-2.5709219858155663E-2</v>
      </c>
      <c r="L955" s="10">
        <v>6.8627450980392135E-2</v>
      </c>
      <c r="M955" s="10">
        <v>-0.10547396528704944</v>
      </c>
      <c r="N955" s="10">
        <v>-1.511111111111163E-2</v>
      </c>
      <c r="O955" s="10">
        <v>-6.6666666666643781E-3</v>
      </c>
      <c r="P955" s="10">
        <v>-8.3333333333334147E-3</v>
      </c>
      <c r="Q955" s="10">
        <v>-6.1666666666665981E-2</v>
      </c>
      <c r="R955" s="10">
        <v>-0.19666666666666666</v>
      </c>
      <c r="S955" s="10">
        <v>-0.9916666666666667</v>
      </c>
      <c r="T955" s="10">
        <v>-1</v>
      </c>
      <c r="U955" s="1">
        <v>1095</v>
      </c>
      <c r="W955" s="1">
        <v>3589609</v>
      </c>
    </row>
    <row r="956" spans="1:23" x14ac:dyDescent="0.25">
      <c r="A956" s="76">
        <v>3</v>
      </c>
      <c r="B956" s="91" t="s">
        <v>54</v>
      </c>
      <c r="C956" s="76">
        <v>2001</v>
      </c>
      <c r="D956" s="76" t="str">
        <f t="shared" si="77"/>
        <v>A01L</v>
      </c>
      <c r="E956" s="76" t="s">
        <v>147</v>
      </c>
      <c r="F956" s="77" t="s">
        <v>406</v>
      </c>
      <c r="G956" s="78">
        <v>0.90376728120497218</v>
      </c>
      <c r="H956" s="88">
        <v>37147</v>
      </c>
      <c r="I956" s="88">
        <v>42207</v>
      </c>
      <c r="J956" s="3">
        <f t="shared" si="75"/>
        <v>14</v>
      </c>
      <c r="K956" s="10">
        <v>-2.5709219858156218E-2</v>
      </c>
      <c r="L956" s="10">
        <v>-2.9857397504456373E-2</v>
      </c>
      <c r="M956" s="10">
        <v>6.5865598575878703E-2</v>
      </c>
      <c r="N956" s="10">
        <v>-3.1999999999999695E-2</v>
      </c>
      <c r="O956" s="10">
        <v>-5.8333333333333348E-2</v>
      </c>
      <c r="P956" s="10">
        <v>1.9999999999998908E-2</v>
      </c>
      <c r="Q956" s="10">
        <v>-3.1666666666666288E-2</v>
      </c>
      <c r="R956" s="10">
        <v>-9.8333333333334827E-2</v>
      </c>
      <c r="S956" s="10">
        <v>-0.98999999999999966</v>
      </c>
      <c r="T956" s="10">
        <v>-1</v>
      </c>
      <c r="U956" s="1">
        <v>1105</v>
      </c>
      <c r="W956" s="1">
        <v>3247481</v>
      </c>
    </row>
    <row r="957" spans="1:23" x14ac:dyDescent="0.25">
      <c r="A957" s="76">
        <v>3</v>
      </c>
      <c r="B957" s="91" t="s">
        <v>54</v>
      </c>
      <c r="C957" s="76">
        <v>2001</v>
      </c>
      <c r="D957" s="76" t="str">
        <f t="shared" si="77"/>
        <v>A01L</v>
      </c>
      <c r="E957" s="76" t="s">
        <v>147</v>
      </c>
      <c r="F957" s="77" t="s">
        <v>407</v>
      </c>
      <c r="G957" s="78">
        <v>0.92920746699274948</v>
      </c>
      <c r="H957" s="88">
        <v>37363</v>
      </c>
      <c r="I957" s="88">
        <v>42207</v>
      </c>
      <c r="J957" s="3">
        <f t="shared" si="75"/>
        <v>13</v>
      </c>
      <c r="K957" s="10">
        <v>-1.2411347517730542E-2</v>
      </c>
      <c r="L957" s="10">
        <v>-7.3529411764705732E-2</v>
      </c>
      <c r="M957" s="10">
        <v>2.1806853582553964E-2</v>
      </c>
      <c r="N957" s="10">
        <v>1.777777777777767E-2</v>
      </c>
      <c r="O957" s="10">
        <v>1.3333333333332531E-2</v>
      </c>
      <c r="P957" s="10">
        <v>2.1666666666669609E-2</v>
      </c>
      <c r="Q957" s="10">
        <v>4.9999999999992273E-3</v>
      </c>
      <c r="R957" s="10">
        <v>-2.0000000000000795E-2</v>
      </c>
      <c r="S957" s="10">
        <v>-0.99000000000000155</v>
      </c>
      <c r="T957" s="10">
        <v>-1</v>
      </c>
      <c r="U957" s="1">
        <v>1721</v>
      </c>
      <c r="W957" s="1">
        <v>3589889</v>
      </c>
    </row>
    <row r="958" spans="1:23" x14ac:dyDescent="0.25">
      <c r="A958" s="76">
        <v>3</v>
      </c>
      <c r="B958" s="91" t="s">
        <v>54</v>
      </c>
      <c r="C958" s="76">
        <v>2001</v>
      </c>
      <c r="D958" s="76" t="str">
        <f t="shared" si="77"/>
        <v>A01L</v>
      </c>
      <c r="E958" s="76" t="s">
        <v>147</v>
      </c>
      <c r="F958" s="77" t="s">
        <v>408</v>
      </c>
      <c r="G958" s="78">
        <v>0.90491679030775363</v>
      </c>
      <c r="H958" s="88">
        <v>37278</v>
      </c>
      <c r="I958" s="88">
        <v>42207</v>
      </c>
      <c r="J958" s="3">
        <f t="shared" si="75"/>
        <v>13</v>
      </c>
      <c r="K958" s="10">
        <v>-2.703900709219853E-2</v>
      </c>
      <c r="L958" s="10">
        <v>6.6844919786096746E-2</v>
      </c>
      <c r="M958" s="10">
        <v>-0.11214953271028039</v>
      </c>
      <c r="N958" s="10">
        <v>6.7111111111110677E-2</v>
      </c>
      <c r="O958" s="10">
        <v>-1.3333333333332531E-2</v>
      </c>
      <c r="P958" s="10">
        <v>-1.8333333333335644E-2</v>
      </c>
      <c r="Q958" s="10">
        <v>-3.4999999999998588E-2</v>
      </c>
      <c r="R958" s="10">
        <v>-0.11666666666666659</v>
      </c>
      <c r="S958" s="10">
        <v>-0.99333333333333562</v>
      </c>
      <c r="T958" s="10">
        <v>-1</v>
      </c>
      <c r="U958" s="1">
        <v>1803</v>
      </c>
      <c r="W958" s="1">
        <v>3589749</v>
      </c>
    </row>
    <row r="959" spans="1:23" x14ac:dyDescent="0.25">
      <c r="A959" s="76">
        <v>3</v>
      </c>
      <c r="B959" s="91" t="s">
        <v>54</v>
      </c>
      <c r="C959" s="76">
        <v>2001</v>
      </c>
      <c r="D959" s="76" t="str">
        <f t="shared" si="77"/>
        <v>A01L</v>
      </c>
      <c r="E959" s="76" t="s">
        <v>147</v>
      </c>
      <c r="F959" s="77" t="s">
        <v>409</v>
      </c>
      <c r="G959" s="78">
        <v>0.92002588245975447</v>
      </c>
      <c r="H959" s="88">
        <v>37147</v>
      </c>
      <c r="I959" s="88">
        <v>42207</v>
      </c>
      <c r="J959" s="3">
        <f t="shared" si="75"/>
        <v>14</v>
      </c>
      <c r="K959" s="10">
        <v>-2.0390070921985748E-2</v>
      </c>
      <c r="L959" s="10">
        <v>-1.9607843137254943E-2</v>
      </c>
      <c r="M959" s="10">
        <v>-2.0471740097907754E-2</v>
      </c>
      <c r="N959" s="10">
        <v>-2.3111111111111304E-2</v>
      </c>
      <c r="O959" s="10">
        <v>-1.166666666666516E-2</v>
      </c>
      <c r="P959" s="10">
        <v>3.3333333333334103E-3</v>
      </c>
      <c r="Q959" s="10">
        <v>5.0000000000003375E-3</v>
      </c>
      <c r="R959" s="10">
        <v>-1.5000000000000013E-2</v>
      </c>
      <c r="S959" s="10">
        <v>-0.93666666666666654</v>
      </c>
      <c r="T959" s="10">
        <v>-1</v>
      </c>
      <c r="U959" s="1">
        <v>1828</v>
      </c>
      <c r="W959" s="1">
        <v>3246371</v>
      </c>
    </row>
    <row r="960" spans="1:23" x14ac:dyDescent="0.25">
      <c r="A960" s="76">
        <v>3</v>
      </c>
      <c r="B960" s="91" t="s">
        <v>54</v>
      </c>
      <c r="C960" s="76">
        <v>2001</v>
      </c>
      <c r="D960" s="76" t="str">
        <f t="shared" si="77"/>
        <v>A01L</v>
      </c>
      <c r="E960" s="76" t="s">
        <v>147</v>
      </c>
      <c r="F960" s="77" t="s">
        <v>410</v>
      </c>
      <c r="G960" s="78">
        <v>0.93798567406881028</v>
      </c>
      <c r="H960" s="88">
        <v>37264</v>
      </c>
      <c r="I960" s="88">
        <v>42207</v>
      </c>
      <c r="J960" s="3">
        <f t="shared" si="75"/>
        <v>13</v>
      </c>
      <c r="K960" s="10">
        <v>-3.9893617021286021E-3</v>
      </c>
      <c r="L960" s="10">
        <v>-8.4670231729050416E-3</v>
      </c>
      <c r="M960" s="10">
        <v>-8.9007565643079989E-3</v>
      </c>
      <c r="N960" s="10">
        <v>8.3111111111111136E-2</v>
      </c>
      <c r="O960" s="10">
        <v>-6.6666666666662655E-3</v>
      </c>
      <c r="P960" s="10">
        <v>2.1666666666666057E-2</v>
      </c>
      <c r="Q960" s="10">
        <v>2.0000000000000906E-2</v>
      </c>
      <c r="R960" s="10">
        <v>-3.3333333333340764E-3</v>
      </c>
      <c r="S960" s="10">
        <v>-0.9433333333333318</v>
      </c>
      <c r="T960" s="10">
        <v>-1</v>
      </c>
      <c r="U960" s="1">
        <v>3042</v>
      </c>
      <c r="W960" s="1">
        <v>3589781</v>
      </c>
    </row>
    <row r="961" spans="1:23" x14ac:dyDescent="0.25">
      <c r="A961" s="76">
        <v>3</v>
      </c>
      <c r="B961" s="91" t="s">
        <v>54</v>
      </c>
      <c r="C961" s="76">
        <v>2001</v>
      </c>
      <c r="D961" s="76" t="str">
        <f t="shared" si="77"/>
        <v>A01L</v>
      </c>
      <c r="E961" s="76" t="s">
        <v>147</v>
      </c>
      <c r="F961" s="77" t="s">
        <v>411</v>
      </c>
      <c r="G961" s="78">
        <v>0.9056428434701933</v>
      </c>
      <c r="H961" s="88">
        <v>37179</v>
      </c>
      <c r="I961" s="88">
        <v>42207</v>
      </c>
      <c r="J961" s="3">
        <f t="shared" si="75"/>
        <v>14</v>
      </c>
      <c r="K961" s="10">
        <v>-1.5957446808510634E-2</v>
      </c>
      <c r="L961" s="10">
        <v>-4.4563279857402494E-3</v>
      </c>
      <c r="M961" s="10">
        <v>-2.4032042723630687E-2</v>
      </c>
      <c r="N961" s="10">
        <v>-0.10222222222222233</v>
      </c>
      <c r="O961" s="10">
        <v>-8.3333333333334147E-3</v>
      </c>
      <c r="P961" s="10">
        <v>-1.6666666666689256E-3</v>
      </c>
      <c r="Q961" s="10">
        <v>-1.4999999999997682E-2</v>
      </c>
      <c r="R961" s="10">
        <v>-7.4999999999999956E-2</v>
      </c>
      <c r="S961" s="10">
        <v>-0.97666666666666668</v>
      </c>
      <c r="T961" s="10">
        <v>-1</v>
      </c>
      <c r="U961" s="1">
        <v>2494</v>
      </c>
      <c r="W961" s="1">
        <v>3589731</v>
      </c>
    </row>
    <row r="962" spans="1:23" x14ac:dyDescent="0.25">
      <c r="A962" s="76">
        <v>3</v>
      </c>
      <c r="B962" s="91" t="s">
        <v>54</v>
      </c>
      <c r="C962" s="76">
        <v>2001</v>
      </c>
      <c r="D962" s="76" t="str">
        <f t="shared" si="77"/>
        <v>A01L</v>
      </c>
      <c r="E962" s="76" t="s">
        <v>147</v>
      </c>
      <c r="F962" s="77" t="s">
        <v>412</v>
      </c>
      <c r="G962" s="78">
        <v>0.92215849236433456</v>
      </c>
      <c r="H962" s="88">
        <v>37419</v>
      </c>
      <c r="I962" s="88">
        <v>42207</v>
      </c>
      <c r="J962" s="3">
        <f t="shared" si="75"/>
        <v>13</v>
      </c>
      <c r="K962" s="10">
        <v>-6.5159574468084847E-2</v>
      </c>
      <c r="L962" s="10">
        <v>-4.8128342245989608E-2</v>
      </c>
      <c r="M962" s="10">
        <v>-3.7383177570093018E-2</v>
      </c>
      <c r="N962" s="10">
        <v>-2.7111111111111308E-2</v>
      </c>
      <c r="O962" s="10">
        <v>1.3333333333333419E-2</v>
      </c>
      <c r="P962" s="10">
        <v>3.6666666666667513E-2</v>
      </c>
      <c r="Q962" s="10">
        <v>2.1666666666666057E-2</v>
      </c>
      <c r="R962" s="10">
        <v>-8.333333333333337E-2</v>
      </c>
      <c r="S962" s="10">
        <v>-0.9916666666666667</v>
      </c>
      <c r="T962" s="10">
        <v>-1</v>
      </c>
      <c r="U962" s="1">
        <v>1045</v>
      </c>
      <c r="W962" s="1">
        <v>3246061</v>
      </c>
    </row>
    <row r="963" spans="1:23" x14ac:dyDescent="0.25">
      <c r="A963" s="76">
        <v>3</v>
      </c>
      <c r="B963" s="91" t="s">
        <v>54</v>
      </c>
      <c r="C963" s="76">
        <v>2001</v>
      </c>
      <c r="D963" s="76" t="str">
        <f t="shared" ref="D963:D972" si="78">LEFT(F963,4)</f>
        <v>A01L</v>
      </c>
      <c r="E963" s="76" t="s">
        <v>147</v>
      </c>
      <c r="F963" s="77" t="s">
        <v>774</v>
      </c>
      <c r="G963" s="78">
        <v>0.92324674266600915</v>
      </c>
      <c r="H963" s="88">
        <v>37362</v>
      </c>
      <c r="I963" s="88">
        <v>42203</v>
      </c>
      <c r="J963" s="3">
        <f t="shared" si="75"/>
        <v>13</v>
      </c>
      <c r="K963" s="10">
        <v>-1.766169154228836E-2</v>
      </c>
      <c r="L963" s="10">
        <v>-1.370887337986082E-2</v>
      </c>
      <c r="M963" s="10">
        <v>-9.2685370741483197E-3</v>
      </c>
      <c r="N963" s="10">
        <v>-5.7673019057171704E-3</v>
      </c>
      <c r="O963" s="10">
        <v>4.9999999999983391E-3</v>
      </c>
      <c r="P963" s="10">
        <v>1.5000000000003455E-2</v>
      </c>
      <c r="Q963" s="10">
        <v>3.5856573705177031E-2</v>
      </c>
      <c r="R963" s="10">
        <v>-0.1185258964143403</v>
      </c>
      <c r="S963" s="10">
        <v>-0.97509960159362552</v>
      </c>
      <c r="T963" s="10">
        <v>-1</v>
      </c>
      <c r="U963" s="1">
        <v>2019</v>
      </c>
      <c r="W963" s="1">
        <v>3707261</v>
      </c>
    </row>
    <row r="964" spans="1:23" x14ac:dyDescent="0.25">
      <c r="A964" s="76">
        <v>3</v>
      </c>
      <c r="B964" s="91" t="s">
        <v>54</v>
      </c>
      <c r="C964" s="76">
        <v>2001</v>
      </c>
      <c r="D964" s="76" t="str">
        <f t="shared" si="78"/>
        <v>A01L</v>
      </c>
      <c r="E964" s="76" t="s">
        <v>147</v>
      </c>
      <c r="F964" s="77" t="s">
        <v>775</v>
      </c>
      <c r="G964" s="78">
        <v>0.98980025517719694</v>
      </c>
      <c r="H964" s="88">
        <v>37279</v>
      </c>
      <c r="I964" s="88">
        <v>42203</v>
      </c>
      <c r="J964" s="3">
        <f t="shared" si="75"/>
        <v>13</v>
      </c>
      <c r="K964" s="10">
        <v>-1.4925373134329067E-3</v>
      </c>
      <c r="L964" s="10">
        <v>2.2432701894321561E-3</v>
      </c>
      <c r="M964" s="10">
        <v>6.262525050099832E-3</v>
      </c>
      <c r="N964" s="10">
        <v>9.2778335005014867E-3</v>
      </c>
      <c r="O964" s="10">
        <v>1.5000000000000124E-2</v>
      </c>
      <c r="P964" s="10">
        <v>3.9999999999999813E-2</v>
      </c>
      <c r="Q964" s="10">
        <v>2.0916334661354563E-2</v>
      </c>
      <c r="R964" s="10">
        <v>-1.3944223107571929E-2</v>
      </c>
      <c r="S964" s="10">
        <v>-0.14840637450199079</v>
      </c>
      <c r="T964" s="10">
        <v>-1</v>
      </c>
      <c r="U964" s="1">
        <v>1463</v>
      </c>
      <c r="W964" s="1">
        <v>3670147</v>
      </c>
    </row>
    <row r="965" spans="1:23" x14ac:dyDescent="0.25">
      <c r="A965" s="76">
        <v>3</v>
      </c>
      <c r="B965" s="91" t="s">
        <v>54</v>
      </c>
      <c r="C965" s="76">
        <v>2001</v>
      </c>
      <c r="D965" s="76" t="str">
        <f t="shared" si="78"/>
        <v>A01L</v>
      </c>
      <c r="E965" s="76" t="s">
        <v>147</v>
      </c>
      <c r="F965" s="77" t="s">
        <v>776</v>
      </c>
      <c r="G965" s="78">
        <v>0.92895562389065389</v>
      </c>
      <c r="H965" s="88">
        <v>37174</v>
      </c>
      <c r="I965" s="88">
        <v>42203</v>
      </c>
      <c r="J965" s="3">
        <f t="shared" ref="J965:J1028" si="79">IF(YEAR(I965)-YEAR(H965)=0,"",YEAR(I965)-YEAR(H965))</f>
        <v>14</v>
      </c>
      <c r="K965" s="10">
        <v>7.7114427860700552E-3</v>
      </c>
      <c r="L965" s="10">
        <v>1.1216350947158116E-2</v>
      </c>
      <c r="M965" s="10">
        <v>1.6032064128256307E-2</v>
      </c>
      <c r="N965" s="10">
        <v>1.8304914744232681E-2</v>
      </c>
      <c r="O965" s="10">
        <v>1.5000000000000568E-2</v>
      </c>
      <c r="P965" s="10">
        <v>3.5000000000002363E-2</v>
      </c>
      <c r="Q965" s="10">
        <v>-2.8884462151394286E-2</v>
      </c>
      <c r="R965" s="10">
        <v>-0.55677290836652937</v>
      </c>
      <c r="S965" s="10">
        <v>-0.42729083665338641</v>
      </c>
      <c r="T965" s="10">
        <v>-1</v>
      </c>
      <c r="U965" s="1">
        <v>1258</v>
      </c>
      <c r="W965" s="1">
        <v>3597466</v>
      </c>
    </row>
    <row r="966" spans="1:23" x14ac:dyDescent="0.25">
      <c r="A966" s="76">
        <v>3</v>
      </c>
      <c r="B966" s="91" t="s">
        <v>54</v>
      </c>
      <c r="C966" s="76">
        <v>2001</v>
      </c>
      <c r="D966" s="76" t="str">
        <f t="shared" si="78"/>
        <v>A01L</v>
      </c>
      <c r="E966" s="76" t="s">
        <v>147</v>
      </c>
      <c r="F966" s="77" t="s">
        <v>777</v>
      </c>
      <c r="G966" s="78">
        <v>0.93594803471395049</v>
      </c>
      <c r="H966" s="88">
        <v>37648</v>
      </c>
      <c r="I966" s="88">
        <v>42568</v>
      </c>
      <c r="J966" s="3">
        <f t="shared" si="79"/>
        <v>13</v>
      </c>
      <c r="K966" s="10">
        <v>5.7213930348256614E-3</v>
      </c>
      <c r="L966" s="10">
        <v>6.4805583250253651E-3</v>
      </c>
      <c r="M966" s="10">
        <v>8.0160320641280425E-3</v>
      </c>
      <c r="N966" s="10">
        <v>9.5285857572715571E-3</v>
      </c>
      <c r="O966" s="10">
        <v>1.0000000000000897E-2</v>
      </c>
      <c r="P966" s="10">
        <v>2.4999999999999911E-2</v>
      </c>
      <c r="Q966" s="10">
        <v>-1.8924302788847935E-2</v>
      </c>
      <c r="R966" s="10">
        <v>-0.1185258964143403</v>
      </c>
      <c r="S966" s="10">
        <v>-0.78585657370518147</v>
      </c>
      <c r="T966" s="10">
        <v>-1</v>
      </c>
      <c r="U966" s="1">
        <v>2592</v>
      </c>
      <c r="W966" s="1">
        <v>2232121</v>
      </c>
    </row>
    <row r="967" spans="1:23" x14ac:dyDescent="0.25">
      <c r="A967" s="76">
        <v>3</v>
      </c>
      <c r="B967" s="91" t="s">
        <v>54</v>
      </c>
      <c r="C967" s="76">
        <v>2001</v>
      </c>
      <c r="D967" s="76" t="str">
        <f t="shared" si="78"/>
        <v>A01L</v>
      </c>
      <c r="E967" s="76" t="s">
        <v>147</v>
      </c>
      <c r="F967" s="77" t="s">
        <v>778</v>
      </c>
      <c r="G967" s="78">
        <v>0.90887807213908256</v>
      </c>
      <c r="H967" s="88">
        <v>37301</v>
      </c>
      <c r="I967" s="88">
        <v>42200</v>
      </c>
      <c r="J967" s="3">
        <f t="shared" si="79"/>
        <v>13</v>
      </c>
      <c r="K967" s="10">
        <v>-1.3184079601990084E-2</v>
      </c>
      <c r="L967" s="10">
        <v>-9.4715852442672777E-3</v>
      </c>
      <c r="M967" s="10">
        <v>-1.6533066132264906E-3</v>
      </c>
      <c r="N967" s="10">
        <v>-1.1384152457372121E-2</v>
      </c>
      <c r="O967" s="10">
        <v>2.4999999999999467E-3</v>
      </c>
      <c r="P967" s="10">
        <v>2.000000000000024E-2</v>
      </c>
      <c r="Q967" s="10">
        <v>-4.3824701195216753E-2</v>
      </c>
      <c r="R967" s="10">
        <v>-0.17828685258964139</v>
      </c>
      <c r="S967" s="10">
        <v>-1</v>
      </c>
      <c r="T967" s="10">
        <v>-1</v>
      </c>
      <c r="U967" s="1" t="s">
        <v>1115</v>
      </c>
      <c r="W967" s="1">
        <v>3674381</v>
      </c>
    </row>
    <row r="968" spans="1:23" x14ac:dyDescent="0.25">
      <c r="A968" s="76">
        <v>3</v>
      </c>
      <c r="B968" s="91" t="s">
        <v>54</v>
      </c>
      <c r="C968" s="76">
        <v>2001</v>
      </c>
      <c r="D968" s="76" t="str">
        <f t="shared" si="78"/>
        <v>A01L</v>
      </c>
      <c r="E968" s="76" t="s">
        <v>147</v>
      </c>
      <c r="F968" s="77" t="s">
        <v>779</v>
      </c>
      <c r="G968" s="78">
        <v>0.96429422475051207</v>
      </c>
      <c r="H968" s="88">
        <v>37312</v>
      </c>
      <c r="I968" s="88">
        <v>42201</v>
      </c>
      <c r="J968" s="3">
        <f t="shared" si="79"/>
        <v>13</v>
      </c>
      <c r="K968" s="10">
        <v>3.4825870646766344E-3</v>
      </c>
      <c r="L968" s="10">
        <v>6.480558325024921E-3</v>
      </c>
      <c r="M968" s="10">
        <v>8.7675350701410526E-3</v>
      </c>
      <c r="N968" s="10">
        <v>2.256770310932632E-3</v>
      </c>
      <c r="O968" s="10">
        <v>1.5000000000000568E-2</v>
      </c>
      <c r="P968" s="10">
        <v>3.0000000000001137E-2</v>
      </c>
      <c r="Q968" s="10">
        <v>9.960159362505383E-4</v>
      </c>
      <c r="R968" s="10">
        <v>-6.3745019920320889E-2</v>
      </c>
      <c r="S968" s="10">
        <v>-0.44223107569720888</v>
      </c>
      <c r="T968" s="10">
        <v>-1</v>
      </c>
      <c r="U968" s="1">
        <v>1360</v>
      </c>
      <c r="W968" s="1">
        <v>3690164</v>
      </c>
    </row>
    <row r="969" spans="1:23" x14ac:dyDescent="0.25">
      <c r="A969" s="76">
        <v>3</v>
      </c>
      <c r="B969" s="91" t="s">
        <v>54</v>
      </c>
      <c r="C969" s="76">
        <v>2001</v>
      </c>
      <c r="D969" s="76" t="str">
        <f t="shared" si="78"/>
        <v>A01L</v>
      </c>
      <c r="E969" s="76" t="s">
        <v>147</v>
      </c>
      <c r="F969" s="77" t="s">
        <v>780</v>
      </c>
      <c r="G969" s="78">
        <v>0.93428640090145243</v>
      </c>
      <c r="H969" s="88">
        <v>37209</v>
      </c>
      <c r="I969" s="88">
        <v>42202</v>
      </c>
      <c r="J969" s="3">
        <f t="shared" si="79"/>
        <v>14</v>
      </c>
      <c r="K969" s="10">
        <v>-6.2189054726368154E-3</v>
      </c>
      <c r="L969" s="10">
        <v>-5.7328015952143874E-3</v>
      </c>
      <c r="M969" s="10">
        <v>-3.0060120240480437E-3</v>
      </c>
      <c r="N969" s="10">
        <v>7.5225677031132143E-4</v>
      </c>
      <c r="O969" s="10">
        <v>0</v>
      </c>
      <c r="P969" s="10">
        <v>4.9999999999954525E-3</v>
      </c>
      <c r="Q969" s="10">
        <v>-3.386454183266896E-2</v>
      </c>
      <c r="R969" s="10">
        <v>-0.12848605577689232</v>
      </c>
      <c r="S969" s="10">
        <v>-0.60159362549800788</v>
      </c>
      <c r="T969" s="10">
        <v>-1</v>
      </c>
      <c r="U969" s="1">
        <v>2520</v>
      </c>
      <c r="W969" s="1">
        <v>3658287</v>
      </c>
    </row>
    <row r="970" spans="1:23" x14ac:dyDescent="0.25">
      <c r="A970" s="76">
        <v>3</v>
      </c>
      <c r="B970" s="91" t="s">
        <v>54</v>
      </c>
      <c r="C970" s="76">
        <v>2001</v>
      </c>
      <c r="D970" s="76" t="str">
        <f t="shared" si="78"/>
        <v>A01L</v>
      </c>
      <c r="E970" s="76" t="s">
        <v>147</v>
      </c>
      <c r="F970" s="77" t="s">
        <v>781</v>
      </c>
      <c r="G970" s="78">
        <v>0.92121032832201788</v>
      </c>
      <c r="H970" s="88">
        <v>37158</v>
      </c>
      <c r="I970" s="88">
        <v>42203</v>
      </c>
      <c r="J970" s="3">
        <f t="shared" si="79"/>
        <v>14</v>
      </c>
      <c r="K970" s="10">
        <v>-3.7313432835814897E-3</v>
      </c>
      <c r="L970" s="10">
        <v>7.4775672981042263E-4</v>
      </c>
      <c r="M970" s="10">
        <v>4.5090180360720655E-3</v>
      </c>
      <c r="N970" s="10">
        <v>7.0210631895690767E-3</v>
      </c>
      <c r="O970" s="10">
        <v>1.7499999999995408E-2</v>
      </c>
      <c r="P970" s="10">
        <v>2.4999999999999911E-2</v>
      </c>
      <c r="Q970" s="10">
        <v>-2.8884462151394286E-2</v>
      </c>
      <c r="R970" s="10">
        <v>-0.13844621513944444</v>
      </c>
      <c r="S970" s="10">
        <v>-1</v>
      </c>
      <c r="T970" s="10">
        <v>-1</v>
      </c>
      <c r="U970" s="1">
        <v>2988</v>
      </c>
      <c r="W970" s="1">
        <v>820441</v>
      </c>
    </row>
    <row r="971" spans="1:23" x14ac:dyDescent="0.25">
      <c r="A971" s="76">
        <v>3</v>
      </c>
      <c r="B971" s="91" t="s">
        <v>54</v>
      </c>
      <c r="C971" s="76">
        <v>2001</v>
      </c>
      <c r="D971" s="76" t="str">
        <f t="shared" si="78"/>
        <v>A01L</v>
      </c>
      <c r="E971" s="76" t="s">
        <v>147</v>
      </c>
      <c r="F971" s="77" t="s">
        <v>782</v>
      </c>
      <c r="G971" s="78">
        <v>1.0336223190401339</v>
      </c>
      <c r="H971" s="88">
        <v>37313</v>
      </c>
      <c r="I971" s="88">
        <v>42203</v>
      </c>
      <c r="J971" s="3">
        <f t="shared" si="79"/>
        <v>13</v>
      </c>
      <c r="K971" s="10">
        <v>3.0099502487562102E-2</v>
      </c>
      <c r="L971" s="10">
        <v>8.6490528414755685E-2</v>
      </c>
      <c r="M971" s="10">
        <v>-3.507014028056199E-3</v>
      </c>
      <c r="N971" s="10">
        <v>5.3159478435305996E-2</v>
      </c>
      <c r="O971" s="10">
        <v>7.0000000000000284E-2</v>
      </c>
      <c r="P971" s="10">
        <v>9.5000000000000195E-2</v>
      </c>
      <c r="Q971" s="10">
        <v>7.5697211155379751E-2</v>
      </c>
      <c r="R971" s="10">
        <v>3.5856573705182804E-2</v>
      </c>
      <c r="S971" s="10">
        <v>-0.1882470119521934</v>
      </c>
      <c r="T971" s="10">
        <v>-1</v>
      </c>
      <c r="U971" s="1">
        <v>2669</v>
      </c>
      <c r="W971" s="1">
        <v>3687872</v>
      </c>
    </row>
    <row r="972" spans="1:23" x14ac:dyDescent="0.25">
      <c r="A972" s="76">
        <v>3</v>
      </c>
      <c r="B972" s="91" t="s">
        <v>54</v>
      </c>
      <c r="C972" s="76">
        <v>2001</v>
      </c>
      <c r="D972" s="76" t="str">
        <f t="shared" si="78"/>
        <v>A01L</v>
      </c>
      <c r="E972" s="76" t="s">
        <v>147</v>
      </c>
      <c r="F972" s="77" t="s">
        <v>783</v>
      </c>
      <c r="G972" s="78">
        <v>0.90807256447489548</v>
      </c>
      <c r="H972" s="88">
        <v>37174</v>
      </c>
      <c r="I972" s="88">
        <v>42203</v>
      </c>
      <c r="J972" s="3">
        <f t="shared" si="79"/>
        <v>14</v>
      </c>
      <c r="K972" s="10">
        <v>-1.3681592039801016E-2</v>
      </c>
      <c r="L972" s="10">
        <v>-9.2223330009969517E-3</v>
      </c>
      <c r="M972" s="10">
        <v>-4.5090180360721765E-3</v>
      </c>
      <c r="N972" s="10">
        <v>-3.5105315947844273E-3</v>
      </c>
      <c r="O972" s="10">
        <v>0</v>
      </c>
      <c r="P972" s="10">
        <v>1.4999999999997682E-2</v>
      </c>
      <c r="Q972" s="10">
        <v>-5.3784860557768877E-2</v>
      </c>
      <c r="R972" s="10">
        <v>-0.15338645418326691</v>
      </c>
      <c r="S972" s="10">
        <v>-1</v>
      </c>
      <c r="T972" s="10">
        <v>-1</v>
      </c>
      <c r="U972" s="1">
        <v>2244</v>
      </c>
      <c r="W972" s="1">
        <v>3624412</v>
      </c>
    </row>
    <row r="973" spans="1:23" x14ac:dyDescent="0.25">
      <c r="A973" s="76">
        <v>3</v>
      </c>
      <c r="B973" s="91" t="s">
        <v>54</v>
      </c>
      <c r="C973" s="76">
        <v>2001</v>
      </c>
      <c r="D973" s="76" t="str">
        <f t="shared" ref="D973:D982" si="80">LEFT(F973,4)</f>
        <v>A01L</v>
      </c>
      <c r="E973" s="76" t="s">
        <v>147</v>
      </c>
      <c r="F973" s="77" t="s">
        <v>1187</v>
      </c>
      <c r="G973" s="78">
        <v>0.98463829482844467</v>
      </c>
      <c r="H973" s="88"/>
      <c r="I973" s="88"/>
      <c r="J973" s="3" t="str">
        <f t="shared" si="79"/>
        <v/>
      </c>
      <c r="K973" s="10">
        <v>-1.4940239043825798E-3</v>
      </c>
      <c r="L973" s="10">
        <v>1.2475049900197988E-3</v>
      </c>
      <c r="M973" s="10">
        <v>1.0749999999999815E-2</v>
      </c>
      <c r="N973" s="10">
        <v>1.5500000000000069E-2</v>
      </c>
      <c r="O973" s="10">
        <v>3.7500000000000089E-2</v>
      </c>
      <c r="P973" s="10">
        <v>5.3677932405568729E-2</v>
      </c>
      <c r="Q973" s="10">
        <v>1.391650099403452E-2</v>
      </c>
      <c r="R973" s="10">
        <v>-2.0874751491057109E-2</v>
      </c>
      <c r="S973" s="10">
        <v>-0.36999999999999889</v>
      </c>
      <c r="T973" s="10">
        <v>-1</v>
      </c>
    </row>
    <row r="974" spans="1:23" x14ac:dyDescent="0.25">
      <c r="A974" s="76">
        <v>3</v>
      </c>
      <c r="B974" s="91" t="s">
        <v>54</v>
      </c>
      <c r="C974" s="76">
        <v>2001</v>
      </c>
      <c r="D974" s="76" t="str">
        <f t="shared" si="80"/>
        <v>A01L</v>
      </c>
      <c r="E974" s="76" t="s">
        <v>147</v>
      </c>
      <c r="F974" s="77" t="s">
        <v>1188</v>
      </c>
      <c r="G974" s="78">
        <v>0.98897693950039267</v>
      </c>
      <c r="H974" s="88"/>
      <c r="I974" s="88"/>
      <c r="J974" s="3" t="str">
        <f t="shared" si="79"/>
        <v/>
      </c>
      <c r="K974" s="10">
        <v>4.4820717131475174E-3</v>
      </c>
      <c r="L974" s="10">
        <v>6.4870259481040193E-3</v>
      </c>
      <c r="M974" s="10">
        <v>4.9999999999998934E-3</v>
      </c>
      <c r="N974" s="10">
        <v>2.7500000000000302E-3</v>
      </c>
      <c r="O974" s="10">
        <v>7.5000000000016165E-3</v>
      </c>
      <c r="P974" s="10">
        <v>2.3856858846913909E-2</v>
      </c>
      <c r="Q974" s="10">
        <v>3.3797216699804622E-2</v>
      </c>
      <c r="R974" s="10">
        <v>-9.9403578528722836E-4</v>
      </c>
      <c r="S974" s="10">
        <v>-0.11000000000000232</v>
      </c>
      <c r="T974" s="10">
        <v>-1</v>
      </c>
    </row>
    <row r="975" spans="1:23" x14ac:dyDescent="0.25">
      <c r="A975" s="76">
        <v>3</v>
      </c>
      <c r="B975" s="91" t="s">
        <v>54</v>
      </c>
      <c r="C975" s="76">
        <v>2001</v>
      </c>
      <c r="D975" s="76" t="str">
        <f t="shared" si="80"/>
        <v>A01L</v>
      </c>
      <c r="E975" s="76" t="s">
        <v>147</v>
      </c>
      <c r="F975" s="77" t="s">
        <v>1189</v>
      </c>
      <c r="G975" s="78">
        <v>0.98217881618053915</v>
      </c>
      <c r="H975" s="88"/>
      <c r="I975" s="88"/>
      <c r="J975" s="3" t="str">
        <f t="shared" si="79"/>
        <v/>
      </c>
      <c r="K975" s="10">
        <v>-2.4153386454183412E-2</v>
      </c>
      <c r="L975" s="10">
        <v>-1.7465069860279625E-2</v>
      </c>
      <c r="M975" s="10">
        <v>-9.9999999999966782E-4</v>
      </c>
      <c r="N975" s="10">
        <v>9.9999999999966782E-4</v>
      </c>
      <c r="O975" s="10">
        <v>1.7499999999999849E-2</v>
      </c>
      <c r="P975" s="10">
        <v>4.3737574552683789E-2</v>
      </c>
      <c r="Q975" s="10">
        <v>2.3856858846918794E-2</v>
      </c>
      <c r="R975" s="10">
        <v>-2.584493041749536E-2</v>
      </c>
      <c r="S975" s="10">
        <v>-0.23499999999999943</v>
      </c>
      <c r="T975" s="10">
        <v>-1</v>
      </c>
    </row>
    <row r="976" spans="1:23" x14ac:dyDescent="0.25">
      <c r="A976" s="76">
        <v>3</v>
      </c>
      <c r="B976" s="91" t="s">
        <v>54</v>
      </c>
      <c r="C976" s="76">
        <v>2001</v>
      </c>
      <c r="D976" s="76" t="str">
        <f t="shared" si="80"/>
        <v>A01L</v>
      </c>
      <c r="E976" s="76" t="s">
        <v>147</v>
      </c>
      <c r="F976" s="77" t="s">
        <v>1190</v>
      </c>
      <c r="G976" s="78">
        <v>0.72606719696154232</v>
      </c>
      <c r="H976" s="88"/>
      <c r="I976" s="88"/>
      <c r="J976" s="3" t="str">
        <f t="shared" si="79"/>
        <v/>
      </c>
      <c r="K976" s="10">
        <v>-0.99726095617529908</v>
      </c>
      <c r="L976" s="10">
        <v>-0.98827345309381232</v>
      </c>
      <c r="M976" s="10">
        <v>-1</v>
      </c>
      <c r="N976" s="10">
        <v>-0.10224999999999962</v>
      </c>
      <c r="O976" s="10">
        <v>-3.7499999999999978E-2</v>
      </c>
      <c r="P976" s="10">
        <v>2.3856858846916795E-2</v>
      </c>
      <c r="Q976" s="10">
        <v>-1.0934393638169282E-2</v>
      </c>
      <c r="R976" s="10">
        <v>-4.5725646123261021E-2</v>
      </c>
      <c r="S976" s="10">
        <v>-1</v>
      </c>
      <c r="T976" s="10">
        <v>-1</v>
      </c>
    </row>
    <row r="977" spans="1:23" x14ac:dyDescent="0.25">
      <c r="A977" s="76">
        <v>3</v>
      </c>
      <c r="B977" s="91" t="s">
        <v>54</v>
      </c>
      <c r="C977" s="76">
        <v>2001</v>
      </c>
      <c r="D977" s="76" t="str">
        <f t="shared" si="80"/>
        <v>A01L</v>
      </c>
      <c r="E977" s="76" t="s">
        <v>147</v>
      </c>
      <c r="F977" s="77" t="s">
        <v>1191</v>
      </c>
      <c r="G977" s="78">
        <v>0.93351659824249278</v>
      </c>
      <c r="H977" s="88"/>
      <c r="I977" s="88"/>
      <c r="J977" s="3" t="str">
        <f t="shared" si="79"/>
        <v/>
      </c>
      <c r="K977" s="10">
        <v>-4.9053784860558447E-2</v>
      </c>
      <c r="L977" s="10">
        <v>-4.3163672654690788E-2</v>
      </c>
      <c r="M977" s="10">
        <v>-2.3499999999999632E-2</v>
      </c>
      <c r="N977" s="10">
        <v>-2.2750000000000381E-2</v>
      </c>
      <c r="O977" s="10">
        <v>-1.2499999999999956E-2</v>
      </c>
      <c r="P977" s="10">
        <v>-9.9403578528156622E-4</v>
      </c>
      <c r="Q977" s="10">
        <v>-2.5844930417499579E-2</v>
      </c>
      <c r="R977" s="10">
        <v>-0.10536779324055667</v>
      </c>
      <c r="S977" s="10">
        <v>-0.45499999999999541</v>
      </c>
      <c r="T977" s="10">
        <v>-1</v>
      </c>
    </row>
    <row r="978" spans="1:23" x14ac:dyDescent="0.25">
      <c r="A978" s="76">
        <v>3</v>
      </c>
      <c r="B978" s="91" t="s">
        <v>54</v>
      </c>
      <c r="C978" s="76">
        <v>2001</v>
      </c>
      <c r="D978" s="76" t="str">
        <f t="shared" si="80"/>
        <v>A01L</v>
      </c>
      <c r="E978" s="76" t="s">
        <v>147</v>
      </c>
      <c r="F978" s="77" t="s">
        <v>1192</v>
      </c>
      <c r="G978" s="78">
        <v>0.98402431930696377</v>
      </c>
      <c r="H978" s="88"/>
      <c r="I978" s="88"/>
      <c r="J978" s="3" t="str">
        <f t="shared" si="79"/>
        <v/>
      </c>
      <c r="K978" s="10">
        <v>-1.0209163346613481E-2</v>
      </c>
      <c r="L978" s="10">
        <v>-5.9880239520961887E-3</v>
      </c>
      <c r="M978" s="10">
        <v>6.2500000000000888E-3</v>
      </c>
      <c r="N978" s="10">
        <v>7.0000000000005613E-3</v>
      </c>
      <c r="O978" s="10">
        <v>2.2499999999996634E-2</v>
      </c>
      <c r="P978" s="10">
        <v>4.3737574552683789E-2</v>
      </c>
      <c r="Q978" s="10">
        <v>2.3856858846925233E-2</v>
      </c>
      <c r="R978" s="10">
        <v>-2.0874751491062771E-2</v>
      </c>
      <c r="S978" s="10">
        <v>-0.26999999999999313</v>
      </c>
      <c r="T978" s="10">
        <v>-1</v>
      </c>
    </row>
    <row r="979" spans="1:23" x14ac:dyDescent="0.25">
      <c r="A979" s="76">
        <v>3</v>
      </c>
      <c r="B979" s="91" t="s">
        <v>54</v>
      </c>
      <c r="C979" s="76">
        <v>2001</v>
      </c>
      <c r="D979" s="76" t="str">
        <f t="shared" si="80"/>
        <v>A01L</v>
      </c>
      <c r="E979" s="76" t="s">
        <v>147</v>
      </c>
      <c r="F979" s="77" t="s">
        <v>1193</v>
      </c>
      <c r="G979" s="78">
        <v>0.9913504691021493</v>
      </c>
      <c r="H979" s="88"/>
      <c r="I979" s="88"/>
      <c r="J979" s="3" t="str">
        <f t="shared" si="79"/>
        <v/>
      </c>
      <c r="K979" s="10">
        <v>8.2171314741037449E-3</v>
      </c>
      <c r="L979" s="10">
        <v>7.4850299401196807E-3</v>
      </c>
      <c r="M979" s="10">
        <v>6.4999999999999503E-3</v>
      </c>
      <c r="N979" s="10">
        <v>6.2500000000000888E-3</v>
      </c>
      <c r="O979" s="10">
        <v>2.2499999999996634E-2</v>
      </c>
      <c r="P979" s="10">
        <v>3.8767395626247092E-2</v>
      </c>
      <c r="Q979" s="10">
        <v>3.3797216699798849E-2</v>
      </c>
      <c r="R979" s="10">
        <v>-9.9403578528156622E-4</v>
      </c>
      <c r="S979" s="10">
        <v>-0.19999999999999996</v>
      </c>
      <c r="T979" s="10">
        <v>-1</v>
      </c>
    </row>
    <row r="980" spans="1:23" x14ac:dyDescent="0.25">
      <c r="A980" s="76">
        <v>3</v>
      </c>
      <c r="B980" s="91" t="s">
        <v>54</v>
      </c>
      <c r="C980" s="76">
        <v>2001</v>
      </c>
      <c r="D980" s="76" t="str">
        <f t="shared" si="80"/>
        <v>A01L</v>
      </c>
      <c r="E980" s="76" t="s">
        <v>147</v>
      </c>
      <c r="F980" s="77" t="s">
        <v>1194</v>
      </c>
      <c r="G980" s="78">
        <v>0.98033557749333322</v>
      </c>
      <c r="H980" s="88"/>
      <c r="I980" s="88"/>
      <c r="J980" s="3" t="str">
        <f t="shared" si="79"/>
        <v/>
      </c>
      <c r="K980" s="10">
        <v>1.3446215139442108E-2</v>
      </c>
      <c r="L980" s="10">
        <v>1.2225548902195627E-2</v>
      </c>
      <c r="M980" s="10">
        <v>1.0999999999999899E-2</v>
      </c>
      <c r="N980" s="10">
        <v>1.0250000000000092E-2</v>
      </c>
      <c r="O980" s="10">
        <v>1.2499999999999956E-2</v>
      </c>
      <c r="P980" s="10">
        <v>3.3797216699798849E-2</v>
      </c>
      <c r="Q980" s="10">
        <v>1.888667992047699E-2</v>
      </c>
      <c r="R980" s="10">
        <v>-5.0695825049700716E-2</v>
      </c>
      <c r="S980" s="10">
        <v>-0.25500000000000111</v>
      </c>
      <c r="T980" s="10">
        <v>-1</v>
      </c>
    </row>
    <row r="981" spans="1:23" x14ac:dyDescent="0.25">
      <c r="A981" s="76">
        <v>3</v>
      </c>
      <c r="B981" s="91" t="s">
        <v>54</v>
      </c>
      <c r="C981" s="76">
        <v>2001</v>
      </c>
      <c r="D981" s="76" t="str">
        <f t="shared" si="80"/>
        <v>A01L</v>
      </c>
      <c r="E981" s="76" t="s">
        <v>147</v>
      </c>
      <c r="F981" s="77" t="s">
        <v>1195</v>
      </c>
      <c r="G981" s="78">
        <v>0.92248335023239203</v>
      </c>
      <c r="H981" s="88"/>
      <c r="I981" s="88"/>
      <c r="J981" s="3" t="str">
        <f t="shared" si="79"/>
        <v/>
      </c>
      <c r="K981" s="10">
        <v>1.9920318725097363E-3</v>
      </c>
      <c r="L981" s="10">
        <v>2.4950099800391534E-4</v>
      </c>
      <c r="M981" s="10">
        <v>-3.4999999999996145E-3</v>
      </c>
      <c r="N981" s="10">
        <v>-2.0000000000004459E-3</v>
      </c>
      <c r="O981" s="10">
        <v>-1.4999999999997682E-2</v>
      </c>
      <c r="P981" s="10">
        <v>-9.9403578529289049E-4</v>
      </c>
      <c r="Q981" s="10">
        <v>-1.5904572564603314E-2</v>
      </c>
      <c r="R981" s="10">
        <v>-0.10536779324055667</v>
      </c>
      <c r="S981" s="10">
        <v>-0.79499999999999993</v>
      </c>
      <c r="T981" s="10">
        <v>-1</v>
      </c>
    </row>
    <row r="982" spans="1:23" x14ac:dyDescent="0.25">
      <c r="A982" s="76">
        <v>3</v>
      </c>
      <c r="B982" s="91" t="s">
        <v>54</v>
      </c>
      <c r="C982" s="76">
        <v>2001</v>
      </c>
      <c r="D982" s="76" t="str">
        <f t="shared" si="80"/>
        <v>A00L</v>
      </c>
      <c r="E982" s="76" t="s">
        <v>147</v>
      </c>
      <c r="F982" s="77" t="s">
        <v>1196</v>
      </c>
      <c r="G982" s="78">
        <v>0.98711866520554925</v>
      </c>
      <c r="H982" s="88"/>
      <c r="I982" s="88"/>
      <c r="J982" s="3" t="str">
        <f t="shared" si="79"/>
        <v/>
      </c>
      <c r="K982" s="10">
        <v>1.120517928286846E-2</v>
      </c>
      <c r="L982" s="10">
        <v>1.2724550898203457E-2</v>
      </c>
      <c r="M982" s="10">
        <v>1.3499999999999845E-2</v>
      </c>
      <c r="N982" s="10">
        <v>1.5500000000000069E-2</v>
      </c>
      <c r="O982" s="10">
        <v>1.9999999999998908E-2</v>
      </c>
      <c r="P982" s="10">
        <v>2.3856858846925233E-2</v>
      </c>
      <c r="Q982" s="10">
        <v>1.888667992047699E-2</v>
      </c>
      <c r="R982" s="10">
        <v>-1.5904572564614639E-2</v>
      </c>
      <c r="S982" s="10">
        <v>-0.18000000000000682</v>
      </c>
      <c r="T982" s="10">
        <v>-1</v>
      </c>
    </row>
    <row r="983" spans="1:23" x14ac:dyDescent="0.25">
      <c r="A983" s="76">
        <v>20</v>
      </c>
      <c r="B983" s="91" t="s">
        <v>54</v>
      </c>
      <c r="C983" s="76">
        <v>2007</v>
      </c>
      <c r="D983" s="76" t="str">
        <f>LEFT(F983,4)</f>
        <v>E07X</v>
      </c>
      <c r="E983" s="76" t="s">
        <v>33</v>
      </c>
      <c r="F983" s="89" t="s">
        <v>413</v>
      </c>
      <c r="G983" s="90">
        <v>0.87888199778289477</v>
      </c>
      <c r="H983" s="88">
        <v>39469</v>
      </c>
      <c r="I983" s="88">
        <v>39469</v>
      </c>
      <c r="J983" s="3" t="str">
        <f t="shared" si="79"/>
        <v/>
      </c>
      <c r="K983" s="10"/>
      <c r="L983" s="10">
        <v>-0.97659645603477141</v>
      </c>
      <c r="M983" s="10">
        <v>-0.32998324958123948</v>
      </c>
      <c r="N983" s="10">
        <v>-7.630522088353342E-2</v>
      </c>
      <c r="O983" s="10">
        <v>-3.4825870646766455E-2</v>
      </c>
      <c r="P983" s="10">
        <v>-5.7448229792919081E-2</v>
      </c>
      <c r="Q983" s="10">
        <v>-1.9883040935672613E-2</v>
      </c>
      <c r="R983" s="10">
        <v>-6.1821219715956222E-3</v>
      </c>
      <c r="S983" s="10">
        <v>-2.501250625313034E-4</v>
      </c>
      <c r="T983" s="10">
        <v>8.3430669113981892E-4</v>
      </c>
      <c r="U983" s="1" t="s">
        <v>1116</v>
      </c>
      <c r="W983" s="15">
        <v>3227073</v>
      </c>
    </row>
    <row r="984" spans="1:23" x14ac:dyDescent="0.25">
      <c r="A984" s="76">
        <v>20</v>
      </c>
      <c r="B984" s="91" t="s">
        <v>54</v>
      </c>
      <c r="C984" s="76">
        <v>2007</v>
      </c>
      <c r="D984" s="76" t="str">
        <f>LEFT(F984,4)</f>
        <v>E07X</v>
      </c>
      <c r="E984" s="76" t="s">
        <v>33</v>
      </c>
      <c r="F984" s="89" t="s">
        <v>414</v>
      </c>
      <c r="G984" s="90">
        <v>0.444019505291957</v>
      </c>
      <c r="H984" s="88">
        <v>39576</v>
      </c>
      <c r="I984" s="88">
        <v>39576</v>
      </c>
      <c r="J984" s="3" t="str">
        <f t="shared" si="79"/>
        <v/>
      </c>
      <c r="K984" s="10"/>
      <c r="L984" s="10">
        <v>-0.98829822801738554</v>
      </c>
      <c r="M984" s="10">
        <v>-0.99162479061976549</v>
      </c>
      <c r="N984" s="10">
        <v>-0.97824631860776434</v>
      </c>
      <c r="O984" s="10">
        <v>-0.99336650082918743</v>
      </c>
      <c r="P984" s="10">
        <v>-0.13844355377421491</v>
      </c>
      <c r="Q984" s="10">
        <v>-4.9958228905597424E-2</v>
      </c>
      <c r="R984" s="10">
        <v>-8.2038429406850355E-2</v>
      </c>
      <c r="S984" s="10">
        <v>-0.94422211105552789</v>
      </c>
      <c r="T984" s="10">
        <v>-0.93926247288503262</v>
      </c>
      <c r="U984" s="1" t="s">
        <v>1116</v>
      </c>
      <c r="W984" s="1">
        <v>3184651</v>
      </c>
    </row>
    <row r="985" spans="1:23" x14ac:dyDescent="0.25">
      <c r="A985" s="76">
        <v>20</v>
      </c>
      <c r="B985" s="91" t="s">
        <v>54</v>
      </c>
      <c r="C985" s="76">
        <v>2007</v>
      </c>
      <c r="D985" s="76" t="str">
        <f>LEFT(F985,4)</f>
        <v>E07X</v>
      </c>
      <c r="E985" s="76" t="s">
        <v>33</v>
      </c>
      <c r="F985" s="77" t="s">
        <v>415</v>
      </c>
      <c r="G985" s="78">
        <v>0.91732943388551158</v>
      </c>
      <c r="H985" s="88">
        <v>39485</v>
      </c>
      <c r="I985" s="88">
        <v>39485</v>
      </c>
      <c r="J985" s="3" t="str">
        <f t="shared" si="79"/>
        <v/>
      </c>
      <c r="K985" s="10"/>
      <c r="L985" s="10">
        <v>-0.96990972918756346</v>
      </c>
      <c r="M985" s="10">
        <v>-0.10887772194304779</v>
      </c>
      <c r="N985" s="10">
        <v>2.3427041499326506E-3</v>
      </c>
      <c r="O985" s="10">
        <v>1.4925373134329067E-2</v>
      </c>
      <c r="P985" s="10">
        <v>-5.1269205076820423E-2</v>
      </c>
      <c r="Q985" s="10">
        <v>-1.1194653299916535E-2</v>
      </c>
      <c r="R985" s="10">
        <v>6.1821219715956222E-3</v>
      </c>
      <c r="S985" s="10">
        <v>3.0932132733033191E-2</v>
      </c>
      <c r="T985" s="10">
        <v>1.7353579175705125E-2</v>
      </c>
      <c r="U985" s="1" t="s">
        <v>1116</v>
      </c>
      <c r="W985" s="1">
        <v>3234312</v>
      </c>
    </row>
    <row r="986" spans="1:23" x14ac:dyDescent="0.25">
      <c r="A986" s="76">
        <v>20</v>
      </c>
      <c r="B986" s="91" t="s">
        <v>54</v>
      </c>
      <c r="C986" s="76">
        <v>2007</v>
      </c>
      <c r="D986" s="76" t="str">
        <f>LEFT(F986,4)</f>
        <v>E07X</v>
      </c>
      <c r="E986" s="76" t="s">
        <v>33</v>
      </c>
      <c r="F986" s="77" t="s">
        <v>416</v>
      </c>
      <c r="G986" s="78">
        <v>0.76019166691349016</v>
      </c>
      <c r="H986" s="88">
        <v>39468</v>
      </c>
      <c r="I986" s="88">
        <v>39499</v>
      </c>
      <c r="J986" s="3" t="str">
        <f t="shared" si="79"/>
        <v/>
      </c>
      <c r="K986" s="10"/>
      <c r="L986" s="10">
        <v>-0.97993981945837438</v>
      </c>
      <c r="M986" s="10">
        <v>-0.97989949748743643</v>
      </c>
      <c r="N986" s="10">
        <v>-0.93641231593038898</v>
      </c>
      <c r="O986" s="10">
        <v>-0.16915422885572295</v>
      </c>
      <c r="P986" s="10">
        <v>-2.1042084168336639E-2</v>
      </c>
      <c r="Q986" s="10">
        <v>2.7568922305764465E-2</v>
      </c>
      <c r="R986" s="10">
        <v>2.7986633249791115E-2</v>
      </c>
      <c r="S986" s="10">
        <v>4.0520260130064933E-2</v>
      </c>
      <c r="T986" s="10">
        <v>4.8890372100784507E-2</v>
      </c>
      <c r="U986" s="1" t="s">
        <v>1116</v>
      </c>
      <c r="W986" s="1">
        <v>3236943</v>
      </c>
    </row>
    <row r="987" spans="1:23" x14ac:dyDescent="0.25">
      <c r="A987" s="76">
        <v>20</v>
      </c>
      <c r="B987" s="91" t="s">
        <v>54</v>
      </c>
      <c r="C987" s="76">
        <v>2007</v>
      </c>
      <c r="D987" s="76" t="str">
        <f>LEFT(F987,4)</f>
        <v>E07X</v>
      </c>
      <c r="E987" s="76" t="s">
        <v>33</v>
      </c>
      <c r="F987" s="77" t="s">
        <v>417</v>
      </c>
      <c r="G987" s="78">
        <v>0.82233384193303061</v>
      </c>
      <c r="H987" s="88">
        <v>39470</v>
      </c>
      <c r="I987" s="88">
        <v>39470</v>
      </c>
      <c r="J987" s="3" t="str">
        <f t="shared" si="79"/>
        <v/>
      </c>
      <c r="K987" s="10"/>
      <c r="L987" s="10">
        <v>-0.98161150117017493</v>
      </c>
      <c r="M987" s="10">
        <v>-0.97654941373534565</v>
      </c>
      <c r="N987" s="10">
        <v>-0.19176706827308931</v>
      </c>
      <c r="O987" s="10">
        <v>-8.789386401326893E-2</v>
      </c>
      <c r="P987" s="10">
        <v>-3.4903139612558309E-2</v>
      </c>
      <c r="Q987" s="10">
        <v>1.2531328320801727E-3</v>
      </c>
      <c r="R987" s="10">
        <v>9.9415204678363622E-3</v>
      </c>
      <c r="S987" s="10">
        <v>-1.0171752542938228E-2</v>
      </c>
      <c r="T987" s="10">
        <v>1.0929417653929407E-2</v>
      </c>
      <c r="U987" s="1" t="s">
        <v>1116</v>
      </c>
      <c r="W987" s="1">
        <v>191515</v>
      </c>
    </row>
    <row r="988" spans="1:23" x14ac:dyDescent="0.25">
      <c r="A988" s="76">
        <v>20</v>
      </c>
      <c r="B988" s="91" t="s">
        <v>54</v>
      </c>
      <c r="C988" s="76">
        <v>2007</v>
      </c>
      <c r="D988" s="76" t="str">
        <f t="shared" ref="D988:D1004" si="81">LEFT(F988,4)</f>
        <v>E07X</v>
      </c>
      <c r="E988" s="76" t="s">
        <v>33</v>
      </c>
      <c r="F988" s="77" t="s">
        <v>915</v>
      </c>
      <c r="G988" s="78">
        <v>0.87044951519754554</v>
      </c>
      <c r="H988" s="88">
        <v>39465</v>
      </c>
      <c r="I988" s="88">
        <v>39465</v>
      </c>
      <c r="J988" s="3" t="str">
        <f t="shared" si="79"/>
        <v/>
      </c>
      <c r="K988" s="10"/>
      <c r="L988" s="10">
        <v>4.0054903918143481E-2</v>
      </c>
      <c r="M988" s="10">
        <v>5.3170244633050423E-2</v>
      </c>
      <c r="N988" s="10">
        <v>3.8725490196078294E-2</v>
      </c>
      <c r="O988" s="10">
        <v>2.4396378269617713E-2</v>
      </c>
      <c r="P988" s="10">
        <v>1.9503546099290725E-2</v>
      </c>
      <c r="Q988" s="10">
        <v>-3.9923954372624082E-2</v>
      </c>
      <c r="R988" s="10">
        <v>-3.2663316582914548E-2</v>
      </c>
      <c r="S988" s="10">
        <v>-0.25188916876574197</v>
      </c>
      <c r="T988" s="10">
        <v>-0.99246231155779008</v>
      </c>
      <c r="U988" s="1">
        <v>84729</v>
      </c>
      <c r="W988" s="1">
        <v>75851</v>
      </c>
    </row>
    <row r="989" spans="1:23" x14ac:dyDescent="0.25">
      <c r="A989" s="76">
        <v>20</v>
      </c>
      <c r="B989" s="91" t="s">
        <v>54</v>
      </c>
      <c r="C989" s="76">
        <v>2007</v>
      </c>
      <c r="D989" s="76" t="str">
        <f t="shared" si="81"/>
        <v>E07X</v>
      </c>
      <c r="E989" s="76" t="s">
        <v>33</v>
      </c>
      <c r="F989" s="77" t="s">
        <v>916</v>
      </c>
      <c r="G989" s="78">
        <v>0.81778020203693358</v>
      </c>
      <c r="H989" s="88">
        <v>42413</v>
      </c>
      <c r="I989" s="88">
        <v>42413</v>
      </c>
      <c r="J989" s="3" t="str">
        <f t="shared" si="79"/>
        <v/>
      </c>
      <c r="K989" s="10"/>
      <c r="L989" s="10">
        <v>7.6116795607688026E-3</v>
      </c>
      <c r="M989" s="10">
        <v>7.3639540688967831E-3</v>
      </c>
      <c r="N989" s="10">
        <v>5.8823529411762276E-3</v>
      </c>
      <c r="O989" s="10">
        <v>-1.2323943661971759E-2</v>
      </c>
      <c r="P989" s="10">
        <v>-1.7983789260385241E-2</v>
      </c>
      <c r="Q989" s="10">
        <v>-9.6958174904942962E-2</v>
      </c>
      <c r="R989" s="10">
        <v>-0.10552763819095412</v>
      </c>
      <c r="S989" s="10">
        <v>-0.46851385390428302</v>
      </c>
      <c r="T989" s="10">
        <v>-0.99497487437185816</v>
      </c>
      <c r="U989" s="1">
        <v>98450</v>
      </c>
      <c r="W989" s="1">
        <v>39314</v>
      </c>
    </row>
    <row r="990" spans="1:23" x14ac:dyDescent="0.25">
      <c r="A990" s="76">
        <v>20</v>
      </c>
      <c r="B990" s="91" t="s">
        <v>54</v>
      </c>
      <c r="C990" s="76">
        <v>2007</v>
      </c>
      <c r="D990" s="76" t="str">
        <f t="shared" si="81"/>
        <v>E07X</v>
      </c>
      <c r="E990" s="76" t="s">
        <v>33</v>
      </c>
      <c r="F990" s="77" t="s">
        <v>917</v>
      </c>
      <c r="G990" s="78">
        <v>0.85664491165630263</v>
      </c>
      <c r="H990" s="88">
        <v>42413</v>
      </c>
      <c r="I990" s="88">
        <v>42413</v>
      </c>
      <c r="J990" s="3" t="str">
        <f t="shared" si="79"/>
        <v/>
      </c>
      <c r="K990" s="10"/>
      <c r="L990" s="10">
        <v>3.8931869228849614E-2</v>
      </c>
      <c r="M990" s="10">
        <v>3.1078382426360296E-2</v>
      </c>
      <c r="N990" s="10">
        <v>3.6519607843137569E-2</v>
      </c>
      <c r="O990" s="10">
        <v>2.2887323943661997E-2</v>
      </c>
      <c r="P990" s="10">
        <v>2.0010131712258961E-2</v>
      </c>
      <c r="Q990" s="10">
        <v>-5.893536121672982E-2</v>
      </c>
      <c r="R990" s="10">
        <v>-5.5276381909547423E-2</v>
      </c>
      <c r="S990" s="10">
        <v>-0.34256926952141076</v>
      </c>
      <c r="T990" s="10">
        <v>-0.99246231155778941</v>
      </c>
      <c r="U990" s="1">
        <v>97643</v>
      </c>
      <c r="W990" s="1">
        <v>39391</v>
      </c>
    </row>
    <row r="991" spans="1:23" x14ac:dyDescent="0.25">
      <c r="A991" s="76">
        <v>20</v>
      </c>
      <c r="B991" s="91" t="s">
        <v>54</v>
      </c>
      <c r="C991" s="76">
        <v>2007</v>
      </c>
      <c r="D991" s="76" t="str">
        <f t="shared" si="81"/>
        <v>E07X</v>
      </c>
      <c r="E991" s="76" t="s">
        <v>33</v>
      </c>
      <c r="F991" s="77" t="s">
        <v>918</v>
      </c>
      <c r="G991" s="78">
        <v>0.78586239416318426</v>
      </c>
      <c r="H991" s="88">
        <v>42413</v>
      </c>
      <c r="I991" s="88">
        <v>42413</v>
      </c>
      <c r="J991" s="3" t="str">
        <f t="shared" si="79"/>
        <v/>
      </c>
      <c r="K991" s="10"/>
      <c r="L991" s="10">
        <v>1.6346393810831028E-2</v>
      </c>
      <c r="M991" s="10">
        <v>3.7943085371942242E-2</v>
      </c>
      <c r="N991" s="10">
        <v>3.039215686274499E-2</v>
      </c>
      <c r="O991" s="10">
        <v>1.6348088531187299E-2</v>
      </c>
      <c r="P991" s="10">
        <v>5.8257345491385948E-3</v>
      </c>
      <c r="Q991" s="10">
        <v>-0.12785171102661486</v>
      </c>
      <c r="R991" s="10">
        <v>-0.28140703517588161</v>
      </c>
      <c r="S991" s="10">
        <v>-0.82619647355163495</v>
      </c>
      <c r="T991" s="10">
        <v>-1</v>
      </c>
      <c r="U991" s="1">
        <v>95784</v>
      </c>
      <c r="W991" s="1">
        <v>39411</v>
      </c>
    </row>
    <row r="992" spans="1:23" x14ac:dyDescent="0.25">
      <c r="A992" s="76">
        <v>20</v>
      </c>
      <c r="B992" s="91" t="s">
        <v>54</v>
      </c>
      <c r="C992" s="76">
        <v>2007</v>
      </c>
      <c r="D992" s="76" t="str">
        <f t="shared" si="81"/>
        <v>E07X</v>
      </c>
      <c r="E992" s="76" t="s">
        <v>33</v>
      </c>
      <c r="F992" s="77" t="s">
        <v>919</v>
      </c>
      <c r="G992" s="78">
        <v>0.78260134965321482</v>
      </c>
      <c r="H992" s="88">
        <v>42413</v>
      </c>
      <c r="I992" s="88">
        <v>42413</v>
      </c>
      <c r="J992" s="3" t="str">
        <f t="shared" si="79"/>
        <v/>
      </c>
      <c r="K992" s="10"/>
      <c r="L992" s="10">
        <v>3.6810581482405569E-2</v>
      </c>
      <c r="M992" s="10">
        <v>-0.12568647029455826</v>
      </c>
      <c r="N992" s="10">
        <v>3.2843137254901844E-2</v>
      </c>
      <c r="O992" s="10">
        <v>2.5653923541247625E-2</v>
      </c>
      <c r="P992" s="10">
        <v>1.8743667679838039E-2</v>
      </c>
      <c r="Q992" s="10">
        <v>-0.10884030418250945</v>
      </c>
      <c r="R992" s="10">
        <v>-0.19849246231156115</v>
      </c>
      <c r="S992" s="10">
        <v>-0.96473551637279364</v>
      </c>
      <c r="T992" s="10">
        <v>-0.99246231155779008</v>
      </c>
      <c r="U992" s="1">
        <v>99874</v>
      </c>
      <c r="W992" s="1">
        <v>39373</v>
      </c>
    </row>
    <row r="993" spans="1:23" x14ac:dyDescent="0.25">
      <c r="A993" s="76">
        <v>20</v>
      </c>
      <c r="B993" s="91" t="s">
        <v>54</v>
      </c>
      <c r="C993" s="76">
        <v>2007</v>
      </c>
      <c r="D993" s="76" t="str">
        <f t="shared" si="81"/>
        <v>E07X</v>
      </c>
      <c r="E993" s="76" t="s">
        <v>33</v>
      </c>
      <c r="F993" s="77" t="s">
        <v>920</v>
      </c>
      <c r="G993" s="78">
        <v>0.86090868459566483</v>
      </c>
      <c r="H993" s="88">
        <v>39471</v>
      </c>
      <c r="I993" s="88">
        <v>39471</v>
      </c>
      <c r="J993" s="3" t="str">
        <f t="shared" si="79"/>
        <v/>
      </c>
      <c r="K993" s="10"/>
      <c r="L993" s="10">
        <v>1.5348140753681072E-2</v>
      </c>
      <c r="M993" s="10">
        <v>1.709935097353954E-2</v>
      </c>
      <c r="N993" s="10">
        <v>1.0539215686274472E-2</v>
      </c>
      <c r="O993" s="10">
        <v>2.2635814889336192E-2</v>
      </c>
      <c r="P993" s="10">
        <v>3.1408308004052365E-2</v>
      </c>
      <c r="Q993" s="10">
        <v>-5.6558935361216256E-2</v>
      </c>
      <c r="R993" s="10">
        <v>-5.276381909547756E-2</v>
      </c>
      <c r="S993" s="10">
        <v>-0.2821158690176323</v>
      </c>
      <c r="T993" s="10">
        <v>-0.99497487437185961</v>
      </c>
      <c r="U993" s="1">
        <v>94295</v>
      </c>
      <c r="W993" s="1">
        <v>78361</v>
      </c>
    </row>
    <row r="994" spans="1:23" x14ac:dyDescent="0.25">
      <c r="A994" s="76">
        <v>20</v>
      </c>
      <c r="B994" s="91" t="s">
        <v>54</v>
      </c>
      <c r="C994" s="76">
        <v>2007</v>
      </c>
      <c r="D994" s="76" t="str">
        <f t="shared" si="81"/>
        <v>E07X</v>
      </c>
      <c r="E994" s="76" t="s">
        <v>33</v>
      </c>
      <c r="F994" s="77" t="s">
        <v>921</v>
      </c>
      <c r="G994" s="78">
        <v>0.4824581567741425</v>
      </c>
      <c r="H994" s="88">
        <v>42413</v>
      </c>
      <c r="I994" s="88">
        <v>42413</v>
      </c>
      <c r="J994" s="3" t="str">
        <f t="shared" si="79"/>
        <v/>
      </c>
      <c r="K994" s="10"/>
      <c r="L994" s="10">
        <v>-1.1604691789368737E-2</v>
      </c>
      <c r="M994" s="10">
        <v>-9.2361457813281422E-3</v>
      </c>
      <c r="N994" s="10">
        <v>-2.5000000000000022E-2</v>
      </c>
      <c r="O994" s="10">
        <v>-3.0432595573440802E-2</v>
      </c>
      <c r="P994" s="10">
        <v>-9.4731509625126442E-2</v>
      </c>
      <c r="Q994" s="10">
        <v>-1</v>
      </c>
      <c r="R994" s="10">
        <v>-0.99497487437185816</v>
      </c>
      <c r="S994" s="10">
        <v>-0.99748110831234482</v>
      </c>
      <c r="T994" s="10">
        <v>-0.99748743718593191</v>
      </c>
      <c r="U994" s="1">
        <v>44194</v>
      </c>
      <c r="W994" s="1">
        <v>4246063</v>
      </c>
    </row>
    <row r="995" spans="1:23" x14ac:dyDescent="0.25">
      <c r="A995" s="76">
        <v>20</v>
      </c>
      <c r="B995" s="91" t="s">
        <v>54</v>
      </c>
      <c r="C995" s="76">
        <v>2007</v>
      </c>
      <c r="D995" s="76" t="str">
        <f t="shared" si="81"/>
        <v>E07X</v>
      </c>
      <c r="E995" s="76" t="s">
        <v>33</v>
      </c>
      <c r="F995" s="77" t="s">
        <v>922</v>
      </c>
      <c r="G995" s="78">
        <v>0.83308200394792253</v>
      </c>
      <c r="H995" s="88">
        <v>39700</v>
      </c>
      <c r="I995" s="88">
        <v>39700</v>
      </c>
      <c r="J995" s="3" t="str">
        <f t="shared" si="79"/>
        <v/>
      </c>
      <c r="K995" s="10"/>
      <c r="L995" s="10">
        <v>8.8594958822063585E-3</v>
      </c>
      <c r="M995" s="10">
        <v>9.6105841238143253E-3</v>
      </c>
      <c r="N995" s="10">
        <v>-2.6960784313728725E-3</v>
      </c>
      <c r="O995" s="10">
        <v>-5.0301810865188701E-3</v>
      </c>
      <c r="P995" s="10">
        <v>-5.0658561296856863E-4</v>
      </c>
      <c r="Q995" s="10">
        <v>-9.6958174904942962E-2</v>
      </c>
      <c r="R995" s="10">
        <v>-0.10050251256281373</v>
      </c>
      <c r="S995" s="10">
        <v>-0.32241813602015179</v>
      </c>
      <c r="T995" s="10">
        <v>-0.98994974874371922</v>
      </c>
      <c r="U995" s="1">
        <v>61032</v>
      </c>
      <c r="W995" s="1">
        <v>78395</v>
      </c>
    </row>
    <row r="996" spans="1:23" x14ac:dyDescent="0.25">
      <c r="A996" s="76">
        <v>20</v>
      </c>
      <c r="B996" s="91" t="s">
        <v>54</v>
      </c>
      <c r="C996" s="76">
        <v>2007</v>
      </c>
      <c r="D996" s="76" t="str">
        <f t="shared" si="81"/>
        <v>E07X</v>
      </c>
      <c r="E996" s="76" t="s">
        <v>33</v>
      </c>
      <c r="F996" s="77" t="s">
        <v>923</v>
      </c>
      <c r="G996" s="78">
        <v>0.7417389175636776</v>
      </c>
      <c r="H996" s="88">
        <v>39458</v>
      </c>
      <c r="I996" s="88">
        <v>39458</v>
      </c>
      <c r="J996" s="3" t="str">
        <f t="shared" si="79"/>
        <v/>
      </c>
      <c r="K996" s="10"/>
      <c r="L996" s="10">
        <v>-0.9610681307711505</v>
      </c>
      <c r="M996" s="10">
        <v>-0.89877683474787817</v>
      </c>
      <c r="N996" s="10">
        <v>-1.7401960784313775E-2</v>
      </c>
      <c r="O996" s="10">
        <v>1.2072434607645954E-2</v>
      </c>
      <c r="P996" s="10">
        <v>3.0648429584599457E-2</v>
      </c>
      <c r="Q996" s="10">
        <v>-5.1806083650187906E-2</v>
      </c>
      <c r="R996" s="10">
        <v>-3.5175879396982523E-2</v>
      </c>
      <c r="S996" s="10">
        <v>-0.97481108312342568</v>
      </c>
      <c r="T996" s="10">
        <v>-0.99748743718593191</v>
      </c>
      <c r="U996" s="1">
        <v>587</v>
      </c>
      <c r="W996" s="1">
        <v>75833</v>
      </c>
    </row>
    <row r="997" spans="1:23" x14ac:dyDescent="0.25">
      <c r="A997" s="76">
        <v>20</v>
      </c>
      <c r="B997" s="91" t="s">
        <v>54</v>
      </c>
      <c r="C997" s="76">
        <v>2007</v>
      </c>
      <c r="D997" s="76" t="str">
        <f t="shared" si="81"/>
        <v>E07X</v>
      </c>
      <c r="E997" s="76" t="s">
        <v>33</v>
      </c>
      <c r="F997" s="77" t="s">
        <v>924</v>
      </c>
      <c r="G997" s="78">
        <v>0.71357791323574515</v>
      </c>
      <c r="H997" s="88">
        <v>42413</v>
      </c>
      <c r="I997" s="88">
        <v>42413</v>
      </c>
      <c r="J997" s="3" t="str">
        <f t="shared" si="79"/>
        <v/>
      </c>
      <c r="K997" s="10"/>
      <c r="L997" s="10">
        <v>-0.89406039430995765</v>
      </c>
      <c r="M997" s="10">
        <v>-0.44907638542186712</v>
      </c>
      <c r="N997" s="10">
        <v>1.6911764705882071E-2</v>
      </c>
      <c r="O997" s="10">
        <v>1.006036217303774E-2</v>
      </c>
      <c r="P997" s="10">
        <v>2.3049645390070816E-2</v>
      </c>
      <c r="Q997" s="10">
        <v>-7.3193916349809873E-2</v>
      </c>
      <c r="R997" s="10">
        <v>-0.7085427135678386</v>
      </c>
      <c r="S997" s="10">
        <v>-1</v>
      </c>
      <c r="T997" s="10">
        <v>-0.99748743718592903</v>
      </c>
      <c r="U997" s="1">
        <v>46854</v>
      </c>
      <c r="W997" s="1">
        <v>1082892</v>
      </c>
    </row>
    <row r="998" spans="1:23" x14ac:dyDescent="0.25">
      <c r="A998" s="76">
        <v>20</v>
      </c>
      <c r="B998" s="91" t="s">
        <v>54</v>
      </c>
      <c r="C998" s="76">
        <v>2007</v>
      </c>
      <c r="D998" s="76" t="str">
        <f t="shared" si="81"/>
        <v>E07X</v>
      </c>
      <c r="E998" s="76" t="s">
        <v>33</v>
      </c>
      <c r="F998" s="77" t="s">
        <v>925</v>
      </c>
      <c r="G998" s="78">
        <v>0.88354434443820273</v>
      </c>
      <c r="H998" s="88">
        <v>39458</v>
      </c>
      <c r="I998" s="88">
        <v>39458</v>
      </c>
      <c r="J998" s="3" t="str">
        <f t="shared" si="79"/>
        <v/>
      </c>
      <c r="K998" s="10"/>
      <c r="L998" s="10">
        <v>2.4076846307385047E-2</v>
      </c>
      <c r="M998" s="10">
        <v>2.6828050910906009E-2</v>
      </c>
      <c r="N998" s="10">
        <v>2.514792899408258E-2</v>
      </c>
      <c r="O998" s="10">
        <v>2.3737373737373391E-2</v>
      </c>
      <c r="P998" s="10">
        <v>2.6115618661257667E-2</v>
      </c>
      <c r="Q998" s="10">
        <v>1.1964107676969649E-2</v>
      </c>
      <c r="R998" s="10">
        <v>-2.7081243731194804E-2</v>
      </c>
      <c r="S998" s="10">
        <v>-0.23618090452261076</v>
      </c>
      <c r="T998" s="10">
        <v>-0.97989949748743832</v>
      </c>
      <c r="U998" s="1">
        <v>99424</v>
      </c>
      <c r="W998" s="1">
        <v>79812</v>
      </c>
    </row>
    <row r="999" spans="1:23" x14ac:dyDescent="0.25">
      <c r="A999" s="76">
        <v>20</v>
      </c>
      <c r="B999" s="91" t="s">
        <v>54</v>
      </c>
      <c r="C999" s="76">
        <v>2007</v>
      </c>
      <c r="D999" s="76" t="str">
        <f t="shared" si="81"/>
        <v>E07X</v>
      </c>
      <c r="E999" s="76" t="s">
        <v>33</v>
      </c>
      <c r="F999" s="77" t="s">
        <v>926</v>
      </c>
      <c r="G999" s="78">
        <v>0.85479877869437626</v>
      </c>
      <c r="H999" s="88">
        <v>39484</v>
      </c>
      <c r="I999" s="88">
        <v>39484</v>
      </c>
      <c r="J999" s="3" t="str">
        <f t="shared" si="79"/>
        <v/>
      </c>
      <c r="K999" s="10"/>
      <c r="L999" s="10">
        <v>8.2335329341320929E-3</v>
      </c>
      <c r="M999" s="10">
        <v>1.3975542800100049E-2</v>
      </c>
      <c r="N999" s="10">
        <v>2.9585798816567088E-3</v>
      </c>
      <c r="O999" s="10">
        <v>1.0101010101006835E-3</v>
      </c>
      <c r="P999" s="10">
        <v>-2.7890466531440561E-3</v>
      </c>
      <c r="Q999" s="10">
        <v>-4.0378863409770815E-2</v>
      </c>
      <c r="R999" s="10">
        <v>-8.4754262788365176E-2</v>
      </c>
      <c r="S999" s="10">
        <v>-0.22613065326632986</v>
      </c>
      <c r="T999" s="10">
        <v>-0.98994974874371922</v>
      </c>
      <c r="U999" s="1">
        <v>98637</v>
      </c>
      <c r="W999" s="1">
        <v>79804</v>
      </c>
    </row>
    <row r="1000" spans="1:23" x14ac:dyDescent="0.25">
      <c r="A1000" s="76">
        <v>20</v>
      </c>
      <c r="B1000" s="91" t="s">
        <v>54</v>
      </c>
      <c r="C1000" s="76">
        <v>2007</v>
      </c>
      <c r="D1000" s="76" t="str">
        <f t="shared" si="81"/>
        <v>E07X</v>
      </c>
      <c r="E1000" s="76" t="s">
        <v>33</v>
      </c>
      <c r="F1000" s="77" t="s">
        <v>927</v>
      </c>
      <c r="G1000" s="78">
        <v>0.85790004255708707</v>
      </c>
      <c r="H1000" s="88">
        <v>39458</v>
      </c>
      <c r="I1000" s="88">
        <v>39458</v>
      </c>
      <c r="J1000" s="3" t="str">
        <f t="shared" si="79"/>
        <v/>
      </c>
      <c r="K1000" s="10"/>
      <c r="L1000" s="10">
        <v>6.362275449101773E-2</v>
      </c>
      <c r="M1000" s="10">
        <v>6.588470177189909E-2</v>
      </c>
      <c r="N1000" s="10">
        <v>5.5473372781065455E-2</v>
      </c>
      <c r="O1000" s="10">
        <v>4.3939393939393501E-2</v>
      </c>
      <c r="P1000" s="10">
        <v>3.8793103448276023E-2</v>
      </c>
      <c r="Q1000" s="10">
        <v>-4.7856430707875375E-2</v>
      </c>
      <c r="R1000" s="10">
        <v>-0.12236710130391182</v>
      </c>
      <c r="S1000" s="10">
        <v>-0.45226130653266439</v>
      </c>
      <c r="T1000" s="10">
        <v>-0.98994974874371633</v>
      </c>
      <c r="U1000" s="1">
        <v>10098</v>
      </c>
      <c r="W1000" s="1">
        <v>79911</v>
      </c>
    </row>
    <row r="1001" spans="1:23" x14ac:dyDescent="0.25">
      <c r="A1001" s="76">
        <v>20</v>
      </c>
      <c r="B1001" s="91" t="s">
        <v>54</v>
      </c>
      <c r="C1001" s="76">
        <v>2007</v>
      </c>
      <c r="D1001" s="76" t="str">
        <f t="shared" si="81"/>
        <v>E07X</v>
      </c>
      <c r="E1001" s="76" t="s">
        <v>33</v>
      </c>
      <c r="F1001" s="77" t="s">
        <v>928</v>
      </c>
      <c r="G1001" s="78">
        <v>0.8099781783042127</v>
      </c>
      <c r="H1001" s="88">
        <v>39458</v>
      </c>
      <c r="I1001" s="88">
        <v>39458</v>
      </c>
      <c r="J1001" s="3" t="str">
        <f t="shared" si="79"/>
        <v/>
      </c>
      <c r="K1001" s="10"/>
      <c r="L1001" s="10">
        <v>2.1581836327345449E-2</v>
      </c>
      <c r="M1001" s="10">
        <v>-0.20651360119790385</v>
      </c>
      <c r="N1001" s="10">
        <v>1.4053254437869755E-2</v>
      </c>
      <c r="O1001" s="10">
        <v>1.3383838383838276E-2</v>
      </c>
      <c r="P1001" s="10">
        <v>1.3691683569979851E-2</v>
      </c>
      <c r="Q1001" s="10">
        <v>-5.0348953140580632E-2</v>
      </c>
      <c r="R1001" s="10">
        <v>-0.12988966900701993</v>
      </c>
      <c r="S1001" s="10">
        <v>-0.70854271356784149</v>
      </c>
      <c r="T1001" s="10">
        <v>-0.98743718592964824</v>
      </c>
      <c r="U1001" s="1">
        <v>6119</v>
      </c>
      <c r="W1001" s="1">
        <v>79901</v>
      </c>
    </row>
    <row r="1002" spans="1:23" x14ac:dyDescent="0.25">
      <c r="A1002" s="76">
        <v>20</v>
      </c>
      <c r="B1002" s="91" t="s">
        <v>54</v>
      </c>
      <c r="C1002" s="76">
        <v>2007</v>
      </c>
      <c r="D1002" s="76" t="str">
        <f t="shared" si="81"/>
        <v>E07X</v>
      </c>
      <c r="E1002" s="76" t="s">
        <v>33</v>
      </c>
      <c r="F1002" s="77" t="s">
        <v>929</v>
      </c>
      <c r="G1002" s="78">
        <v>0.82116667460293269</v>
      </c>
      <c r="H1002" s="88">
        <v>39458</v>
      </c>
      <c r="I1002" s="88">
        <v>39458</v>
      </c>
      <c r="J1002" s="3" t="str">
        <f t="shared" si="79"/>
        <v/>
      </c>
      <c r="K1002" s="10"/>
      <c r="L1002" s="10">
        <v>-2.2704590818363179E-2</v>
      </c>
      <c r="M1002" s="10">
        <v>-3.3815822310955812E-2</v>
      </c>
      <c r="N1002" s="10">
        <v>6.6568047337276504E-3</v>
      </c>
      <c r="O1002" s="10">
        <v>9.8484848484849952E-3</v>
      </c>
      <c r="P1002" s="10">
        <v>1.5720081135902397E-2</v>
      </c>
      <c r="Q1002" s="10">
        <v>-5.2841475573280228E-2</v>
      </c>
      <c r="R1002" s="10">
        <v>-0.13239719157472651</v>
      </c>
      <c r="S1002" s="10">
        <v>-0.66080402010050254</v>
      </c>
      <c r="T1002" s="10">
        <v>-0.98994974874371633</v>
      </c>
      <c r="U1002" s="1">
        <v>90775</v>
      </c>
      <c r="W1002" s="1">
        <v>79881</v>
      </c>
    </row>
    <row r="1003" spans="1:23" x14ac:dyDescent="0.25">
      <c r="A1003" s="76">
        <v>20</v>
      </c>
      <c r="B1003" s="91" t="s">
        <v>54</v>
      </c>
      <c r="C1003" s="76">
        <v>2007</v>
      </c>
      <c r="D1003" s="76" t="str">
        <f t="shared" si="81"/>
        <v>E07X</v>
      </c>
      <c r="E1003" s="76" t="s">
        <v>33</v>
      </c>
      <c r="F1003" s="77" t="s">
        <v>930</v>
      </c>
      <c r="G1003" s="78">
        <v>0.86764998819166173</v>
      </c>
      <c r="H1003" s="88">
        <v>39819</v>
      </c>
      <c r="I1003" s="88">
        <v>42413</v>
      </c>
      <c r="J1003" s="3">
        <f t="shared" si="79"/>
        <v>7</v>
      </c>
      <c r="K1003" s="10"/>
      <c r="L1003" s="10">
        <v>2.8692614770458924E-2</v>
      </c>
      <c r="M1003" s="10">
        <v>3.2817569253806189E-2</v>
      </c>
      <c r="N1003" s="10">
        <v>1.9970414201183395E-2</v>
      </c>
      <c r="O1003" s="10">
        <v>2.0454545454545281E-2</v>
      </c>
      <c r="P1003" s="10">
        <v>1.5720081135903063E-2</v>
      </c>
      <c r="Q1003" s="10">
        <v>-2.7916251246261292E-2</v>
      </c>
      <c r="R1003" s="10">
        <v>-6.2186559679040632E-2</v>
      </c>
      <c r="S1003" s="10">
        <v>-0.23869346733668451</v>
      </c>
      <c r="T1003" s="10">
        <v>-0.99497487437185816</v>
      </c>
      <c r="U1003" s="1">
        <v>85386</v>
      </c>
      <c r="W1003" s="1">
        <v>3995445</v>
      </c>
    </row>
    <row r="1004" spans="1:23" x14ac:dyDescent="0.25">
      <c r="A1004" s="76">
        <v>20</v>
      </c>
      <c r="B1004" s="91" t="s">
        <v>54</v>
      </c>
      <c r="C1004" s="76">
        <v>2007</v>
      </c>
      <c r="D1004" s="76" t="str">
        <f t="shared" si="81"/>
        <v>E07X</v>
      </c>
      <c r="E1004" s="76" t="s">
        <v>33</v>
      </c>
      <c r="F1004" s="77" t="s">
        <v>931</v>
      </c>
      <c r="G1004" s="78">
        <v>0.49298334256451037</v>
      </c>
      <c r="H1004" s="88">
        <v>42413</v>
      </c>
      <c r="I1004" s="88">
        <v>42413</v>
      </c>
      <c r="J1004" s="3" t="str">
        <f t="shared" si="79"/>
        <v/>
      </c>
      <c r="K1004" s="10"/>
      <c r="L1004" s="10">
        <v>3.8423153692614509E-2</v>
      </c>
      <c r="M1004" s="10">
        <v>4.8540054903918106E-2</v>
      </c>
      <c r="N1004" s="10">
        <v>4.5857988165681096E-2</v>
      </c>
      <c r="O1004" s="10">
        <v>-1.3888888888889062E-2</v>
      </c>
      <c r="P1004" s="10">
        <v>-9.558823529411753E-2</v>
      </c>
      <c r="Q1004" s="10">
        <v>-1</v>
      </c>
      <c r="R1004" s="10">
        <v>-1</v>
      </c>
      <c r="S1004" s="10">
        <v>-1</v>
      </c>
      <c r="T1004" s="10">
        <v>-1</v>
      </c>
      <c r="U1004" s="1">
        <v>43625</v>
      </c>
    </row>
    <row r="1005" spans="1:23" x14ac:dyDescent="0.25">
      <c r="A1005" s="76">
        <v>3</v>
      </c>
      <c r="B1005" s="91" t="s">
        <v>54</v>
      </c>
      <c r="C1005" s="76">
        <v>2006</v>
      </c>
      <c r="D1005" s="76" t="str">
        <f>LEFT(F1005,4)</f>
        <v>A96S</v>
      </c>
      <c r="E1005" s="76" t="s">
        <v>1296</v>
      </c>
      <c r="F1005" s="89" t="s">
        <v>428</v>
      </c>
      <c r="G1005" s="90">
        <v>0.73272289135186686</v>
      </c>
      <c r="H1005" s="88">
        <v>35396</v>
      </c>
      <c r="I1005" s="88">
        <v>42263</v>
      </c>
      <c r="J1005" s="3">
        <f t="shared" si="79"/>
        <v>19</v>
      </c>
      <c r="K1005" s="10">
        <v>-9.8137059214902234E-3</v>
      </c>
      <c r="L1005" s="10">
        <v>-1.2166666666666548E-2</v>
      </c>
      <c r="M1005" s="10">
        <v>-1.2537612838515733E-2</v>
      </c>
      <c r="N1005" s="10">
        <v>-3.0030030030030352E-2</v>
      </c>
      <c r="O1005" s="10">
        <v>-3.9294039294038519E-2</v>
      </c>
      <c r="P1005" s="10">
        <v>-1.2591119946986362E-2</v>
      </c>
      <c r="Q1005" s="10">
        <v>-0.89065606361829175</v>
      </c>
      <c r="R1005" s="10">
        <v>-1</v>
      </c>
      <c r="S1005" s="10">
        <v>-1</v>
      </c>
      <c r="T1005" s="10">
        <v>-1</v>
      </c>
      <c r="U1005" s="1">
        <v>2838</v>
      </c>
      <c r="W1005" s="1">
        <v>2487391</v>
      </c>
    </row>
    <row r="1006" spans="1:23" x14ac:dyDescent="0.25">
      <c r="A1006" s="76">
        <v>3</v>
      </c>
      <c r="B1006" s="91" t="s">
        <v>54</v>
      </c>
      <c r="C1006" s="76">
        <v>2006</v>
      </c>
      <c r="D1006" s="76" t="str">
        <f>LEFT(F1006,4)</f>
        <v>A96S</v>
      </c>
      <c r="E1006" s="76" t="s">
        <v>1296</v>
      </c>
      <c r="F1006" s="77" t="s">
        <v>427</v>
      </c>
      <c r="G1006" s="78">
        <v>0.85519653782074767</v>
      </c>
      <c r="H1006" s="88">
        <v>35492</v>
      </c>
      <c r="I1006" s="88">
        <v>42262</v>
      </c>
      <c r="J1006" s="3">
        <f t="shared" si="79"/>
        <v>18</v>
      </c>
      <c r="K1006" s="10">
        <v>-1.0312707917498276E-2</v>
      </c>
      <c r="L1006" s="10">
        <v>-1.3500000000000068E-2</v>
      </c>
      <c r="M1006" s="10">
        <v>-8.0240722166498024E-3</v>
      </c>
      <c r="N1006" s="10">
        <v>-5.6723390056725442E-3</v>
      </c>
      <c r="O1006" s="10">
        <v>-2.6640026640031289E-3</v>
      </c>
      <c r="P1006" s="10">
        <v>6.6269052352319058E-4</v>
      </c>
      <c r="Q1006" s="10">
        <v>-6.5606361829024462E-2</v>
      </c>
      <c r="R1006" s="10">
        <v>-0.3141153081510919</v>
      </c>
      <c r="S1006" s="10">
        <v>-1</v>
      </c>
      <c r="T1006" s="10">
        <v>-1</v>
      </c>
      <c r="U1006" s="1">
        <v>1859</v>
      </c>
      <c r="W1006" s="1">
        <v>2494884</v>
      </c>
    </row>
    <row r="1007" spans="1:23" x14ac:dyDescent="0.25">
      <c r="A1007" s="76">
        <v>3</v>
      </c>
      <c r="B1007" s="91" t="s">
        <v>54</v>
      </c>
      <c r="C1007" s="76">
        <v>2006</v>
      </c>
      <c r="D1007" s="76" t="str">
        <f t="shared" ref="D1007:D1022" si="82">LEFT(F1007,4)</f>
        <v>A96S</v>
      </c>
      <c r="E1007" s="76" t="s">
        <v>1296</v>
      </c>
      <c r="F1007" s="77" t="s">
        <v>429</v>
      </c>
      <c r="G1007" s="78">
        <v>0.47074509161362355</v>
      </c>
      <c r="H1007" s="88">
        <v>35392</v>
      </c>
      <c r="I1007" s="88">
        <v>42268</v>
      </c>
      <c r="J1007" s="3">
        <f t="shared" si="79"/>
        <v>19</v>
      </c>
      <c r="K1007" s="10">
        <v>-2.4950099800399195E-2</v>
      </c>
      <c r="L1007" s="10">
        <v>-2.8999999999999915E-2</v>
      </c>
      <c r="M1007" s="10">
        <v>-3.4269475091942447E-2</v>
      </c>
      <c r="N1007" s="10">
        <v>-5.3053053053052968E-2</v>
      </c>
      <c r="O1007" s="10">
        <v>-0.1192141192141194</v>
      </c>
      <c r="P1007" s="10">
        <v>-1</v>
      </c>
      <c r="Q1007" s="10">
        <v>-1</v>
      </c>
      <c r="R1007" s="10">
        <v>-1</v>
      </c>
      <c r="S1007" s="10">
        <v>-1</v>
      </c>
      <c r="T1007" s="10">
        <v>-1</v>
      </c>
      <c r="U1007" s="1">
        <v>3478</v>
      </c>
      <c r="W1007" s="1">
        <v>1358741</v>
      </c>
    </row>
    <row r="1008" spans="1:23" x14ac:dyDescent="0.25">
      <c r="A1008" s="76">
        <v>3</v>
      </c>
      <c r="B1008" s="91" t="s">
        <v>54</v>
      </c>
      <c r="C1008" s="76">
        <v>2006</v>
      </c>
      <c r="D1008" s="76" t="str">
        <f t="shared" si="82"/>
        <v>A96S</v>
      </c>
      <c r="E1008" s="76" t="s">
        <v>1296</v>
      </c>
      <c r="F1008" s="77" t="s">
        <v>430</v>
      </c>
      <c r="G1008" s="78">
        <v>0.77425249420916487</v>
      </c>
      <c r="H1008" s="88">
        <v>35405</v>
      </c>
      <c r="I1008" s="88">
        <v>42268</v>
      </c>
      <c r="J1008" s="3">
        <f t="shared" si="79"/>
        <v>19</v>
      </c>
      <c r="K1008" s="10">
        <v>-2.8942115768463172E-2</v>
      </c>
      <c r="L1008" s="10">
        <v>-3.1166666666666787E-2</v>
      </c>
      <c r="M1008" s="10">
        <v>-3.0090270812437314E-2</v>
      </c>
      <c r="N1008" s="10">
        <v>-3.036369703036379E-2</v>
      </c>
      <c r="O1008" s="10">
        <v>-1.7649017649017607E-2</v>
      </c>
      <c r="P1008" s="10">
        <v>-1.5904572564618302E-2</v>
      </c>
      <c r="Q1008" s="10">
        <v>-0.34724983432736767</v>
      </c>
      <c r="R1008" s="10">
        <v>-1</v>
      </c>
      <c r="S1008" s="10">
        <v>-1</v>
      </c>
      <c r="T1008" s="10">
        <v>-1</v>
      </c>
      <c r="U1008" s="1">
        <v>2395</v>
      </c>
      <c r="W1008" s="1">
        <v>1358791</v>
      </c>
    </row>
    <row r="1009" spans="1:23" x14ac:dyDescent="0.25">
      <c r="A1009" s="76">
        <v>3</v>
      </c>
      <c r="B1009" s="91" t="s">
        <v>54</v>
      </c>
      <c r="C1009" s="76">
        <v>2006</v>
      </c>
      <c r="D1009" s="76" t="str">
        <f t="shared" si="82"/>
        <v>A96S</v>
      </c>
      <c r="E1009" s="76" t="s">
        <v>1296</v>
      </c>
      <c r="F1009" s="77" t="s">
        <v>431</v>
      </c>
      <c r="G1009" s="78">
        <v>0.86187332035911102</v>
      </c>
      <c r="H1009" s="88">
        <v>35396</v>
      </c>
      <c r="I1009" s="88">
        <v>42262</v>
      </c>
      <c r="J1009" s="3">
        <f t="shared" si="79"/>
        <v>19</v>
      </c>
      <c r="K1009" s="10">
        <v>-1.4304723885562365E-2</v>
      </c>
      <c r="L1009" s="10">
        <v>-1.5999999999999792E-2</v>
      </c>
      <c r="M1009" s="10">
        <v>-9.5285857572718902E-3</v>
      </c>
      <c r="N1009" s="10">
        <v>-6.0060060060066478E-3</v>
      </c>
      <c r="O1009" s="10">
        <v>5.6610056610053583E-3</v>
      </c>
      <c r="P1009" s="10">
        <v>1.7229953611664905E-2</v>
      </c>
      <c r="Q1009" s="10">
        <v>-3.9098740888005357E-2</v>
      </c>
      <c r="R1009" s="10">
        <v>-0.53943008614976884</v>
      </c>
      <c r="S1009" s="10">
        <v>-0.79041916167664816</v>
      </c>
      <c r="T1009" s="10">
        <v>-1</v>
      </c>
      <c r="U1009" s="1">
        <v>1537</v>
      </c>
      <c r="W1009" s="1">
        <v>2491893</v>
      </c>
    </row>
    <row r="1010" spans="1:23" x14ac:dyDescent="0.25">
      <c r="A1010" s="76">
        <v>3</v>
      </c>
      <c r="B1010" s="91" t="s">
        <v>54</v>
      </c>
      <c r="C1010" s="76">
        <v>2006</v>
      </c>
      <c r="D1010" s="76" t="str">
        <f t="shared" si="82"/>
        <v>A96S</v>
      </c>
      <c r="E1010" s="76" t="s">
        <v>1296</v>
      </c>
      <c r="F1010" s="77" t="s">
        <v>432</v>
      </c>
      <c r="G1010" s="78">
        <v>0.64120995347619592</v>
      </c>
      <c r="H1010" s="88">
        <v>35392</v>
      </c>
      <c r="I1010" s="88">
        <v>42268</v>
      </c>
      <c r="J1010" s="3">
        <f t="shared" si="79"/>
        <v>19</v>
      </c>
      <c r="K1010" s="10">
        <v>-2.711244178310046E-2</v>
      </c>
      <c r="L1010" s="10">
        <v>-3.0333333333333434E-2</v>
      </c>
      <c r="M1010" s="10">
        <v>-3.644266131728513E-2</v>
      </c>
      <c r="N1010" s="10">
        <v>-6.1227894561228347E-2</v>
      </c>
      <c r="O1010" s="10">
        <v>-0.11921411921411851</v>
      </c>
      <c r="P1010" s="10">
        <v>-0.26110006626905247</v>
      </c>
      <c r="Q1010" s="10">
        <v>-0.99668654738237239</v>
      </c>
      <c r="R1010" s="10">
        <v>-1</v>
      </c>
      <c r="S1010" s="10">
        <v>-1</v>
      </c>
      <c r="T1010" s="10">
        <v>-1</v>
      </c>
      <c r="U1010" s="1">
        <v>2804</v>
      </c>
      <c r="W1010" s="1">
        <v>1358839</v>
      </c>
    </row>
    <row r="1011" spans="1:23" x14ac:dyDescent="0.25">
      <c r="A1011" s="76">
        <v>3</v>
      </c>
      <c r="B1011" s="91" t="s">
        <v>54</v>
      </c>
      <c r="C1011" s="76">
        <v>2006</v>
      </c>
      <c r="D1011" s="76" t="str">
        <f t="shared" si="82"/>
        <v>A96S</v>
      </c>
      <c r="E1011" s="76" t="s">
        <v>1296</v>
      </c>
      <c r="F1011" s="77" t="s">
        <v>433</v>
      </c>
      <c r="G1011" s="78">
        <v>0.85839480541725666</v>
      </c>
      <c r="H1011" s="88">
        <v>35396</v>
      </c>
      <c r="I1011" s="88">
        <v>42262</v>
      </c>
      <c r="J1011" s="3">
        <f t="shared" si="79"/>
        <v>19</v>
      </c>
      <c r="K1011" s="10">
        <v>4.4078509647371922E-2</v>
      </c>
      <c r="L1011" s="10">
        <v>-2.5833333333333264E-2</v>
      </c>
      <c r="M1011" s="10">
        <v>-1.8722835172183316E-2</v>
      </c>
      <c r="N1011" s="10">
        <v>-1.3013013013012942E-2</v>
      </c>
      <c r="O1011" s="10">
        <v>-9.3240093240093413E-3</v>
      </c>
      <c r="P1011" s="10">
        <v>-5.9642147117296984E-3</v>
      </c>
      <c r="Q1011" s="10">
        <v>-0.11530815109344539</v>
      </c>
      <c r="R1011" s="10">
        <v>-0.21471172962226492</v>
      </c>
      <c r="S1011" s="10">
        <v>-0.93346640053226881</v>
      </c>
      <c r="T1011" s="10">
        <v>-1</v>
      </c>
      <c r="U1011" s="1">
        <v>2895</v>
      </c>
      <c r="W1011" s="1">
        <v>2495066</v>
      </c>
    </row>
    <row r="1012" spans="1:23" x14ac:dyDescent="0.25">
      <c r="A1012" s="76">
        <v>3</v>
      </c>
      <c r="B1012" s="91" t="s">
        <v>54</v>
      </c>
      <c r="C1012" s="76">
        <v>2006</v>
      </c>
      <c r="D1012" s="76" t="str">
        <f t="shared" si="82"/>
        <v>A96S</v>
      </c>
      <c r="E1012" s="76" t="s">
        <v>1296</v>
      </c>
      <c r="F1012" s="77" t="s">
        <v>434</v>
      </c>
      <c r="G1012" s="78">
        <v>0.64033194119657666</v>
      </c>
      <c r="H1012" s="29"/>
      <c r="I1012" s="29"/>
      <c r="J1012" s="3" t="str">
        <f t="shared" si="79"/>
        <v/>
      </c>
      <c r="K1012" s="10">
        <v>-3.3599467731204369E-2</v>
      </c>
      <c r="L1012" s="10">
        <v>-4.0166666666666684E-2</v>
      </c>
      <c r="M1012" s="10">
        <v>-3.1427616181878948E-2</v>
      </c>
      <c r="N1012" s="10">
        <v>-6.8234901568235307E-2</v>
      </c>
      <c r="O1012" s="10">
        <v>-0.13919413919413925</v>
      </c>
      <c r="P1012" s="10">
        <v>-0.24121935056328769</v>
      </c>
      <c r="Q1012" s="10">
        <v>-0.99337309476474334</v>
      </c>
      <c r="R1012" s="10">
        <v>-0.99668654738237172</v>
      </c>
      <c r="S1012" s="10">
        <v>-1</v>
      </c>
      <c r="T1012" s="10">
        <v>-1</v>
      </c>
    </row>
    <row r="1013" spans="1:23" ht="25.5" x14ac:dyDescent="0.25">
      <c r="A1013" s="76">
        <v>1.5</v>
      </c>
      <c r="B1013" s="91" t="s">
        <v>1283</v>
      </c>
      <c r="C1013" s="76">
        <v>1997</v>
      </c>
      <c r="D1013" s="76" t="str">
        <f t="shared" si="82"/>
        <v>Y97S</v>
      </c>
      <c r="E1013" s="76" t="s">
        <v>1296</v>
      </c>
      <c r="F1013" s="89" t="s">
        <v>445</v>
      </c>
      <c r="G1013" s="90">
        <v>0.64927863594001756</v>
      </c>
      <c r="H1013" s="88">
        <v>35781</v>
      </c>
      <c r="I1013" s="88">
        <v>42317</v>
      </c>
      <c r="J1013" s="3">
        <f t="shared" si="79"/>
        <v>18</v>
      </c>
      <c r="K1013" s="10">
        <v>-5.7040998217469219E-2</v>
      </c>
      <c r="L1013" s="10">
        <v>-8.1996434937611329E-2</v>
      </c>
      <c r="M1013" s="10">
        <v>-6.6310636404093848E-2</v>
      </c>
      <c r="N1013" s="10">
        <v>-9.0909090909090717E-2</v>
      </c>
      <c r="O1013" s="10">
        <v>3.8333333333333552E-2</v>
      </c>
      <c r="P1013" s="10">
        <v>-0.29166666666666674</v>
      </c>
      <c r="Q1013" s="10">
        <v>-0.99333333333333373</v>
      </c>
      <c r="R1013" s="10">
        <v>-0.99499999999999977</v>
      </c>
      <c r="S1013" s="10">
        <v>-1</v>
      </c>
      <c r="T1013" s="10">
        <v>-1</v>
      </c>
      <c r="U1013" s="1">
        <v>3836</v>
      </c>
      <c r="W1013" s="1">
        <v>2155656</v>
      </c>
    </row>
    <row r="1014" spans="1:23" ht="25.5" x14ac:dyDescent="0.25">
      <c r="A1014" s="76">
        <v>1.5</v>
      </c>
      <c r="B1014" s="91" t="s">
        <v>1283</v>
      </c>
      <c r="C1014" s="76">
        <v>1997</v>
      </c>
      <c r="D1014" s="76" t="str">
        <f t="shared" si="82"/>
        <v>Y97S</v>
      </c>
      <c r="E1014" s="76" t="s">
        <v>1296</v>
      </c>
      <c r="F1014" s="89" t="s">
        <v>446</v>
      </c>
      <c r="G1014" s="90">
        <v>0.62666113386952016</v>
      </c>
      <c r="H1014" s="88">
        <v>36958</v>
      </c>
      <c r="I1014" s="88">
        <v>42235</v>
      </c>
      <c r="J1014" s="3">
        <f t="shared" si="79"/>
        <v>14</v>
      </c>
      <c r="K1014" s="10">
        <v>-6.6399286987522288E-2</v>
      </c>
      <c r="L1014" s="10">
        <v>-6.9073083778965594E-2</v>
      </c>
      <c r="M1014" s="10">
        <v>-9.0787716955941566E-2</v>
      </c>
      <c r="N1014" s="10">
        <v>-0.10294117647058842</v>
      </c>
      <c r="O1014" s="10">
        <v>-3.5000000000002252E-2</v>
      </c>
      <c r="P1014" s="10">
        <v>-0.31166666666666742</v>
      </c>
      <c r="Q1014" s="10">
        <v>-0.98499999999999843</v>
      </c>
      <c r="R1014" s="10">
        <v>-0.9916666666666667</v>
      </c>
      <c r="S1014" s="10">
        <v>-1</v>
      </c>
      <c r="T1014" s="10">
        <v>-1</v>
      </c>
      <c r="U1014" s="1">
        <v>1486</v>
      </c>
      <c r="W1014" s="1">
        <v>1666258</v>
      </c>
    </row>
    <row r="1015" spans="1:23" ht="25.5" x14ac:dyDescent="0.25">
      <c r="A1015" s="76">
        <v>1.5</v>
      </c>
      <c r="B1015" s="91" t="s">
        <v>1283</v>
      </c>
      <c r="C1015" s="76">
        <v>1997</v>
      </c>
      <c r="D1015" s="76" t="str">
        <f t="shared" si="82"/>
        <v>Y97S</v>
      </c>
      <c r="E1015" s="76" t="s">
        <v>1296</v>
      </c>
      <c r="F1015" s="89" t="s">
        <v>447</v>
      </c>
      <c r="G1015" s="90">
        <v>0.65433853484979387</v>
      </c>
      <c r="H1015" s="88">
        <v>36867</v>
      </c>
      <c r="I1015" s="88">
        <v>42283</v>
      </c>
      <c r="J1015" s="3">
        <f t="shared" si="79"/>
        <v>15</v>
      </c>
      <c r="K1015" s="10">
        <v>-7.3529411764706509E-2</v>
      </c>
      <c r="L1015" s="10">
        <v>-9.2245989304812759E-2</v>
      </c>
      <c r="M1015" s="10">
        <v>-8.3222073876279445E-2</v>
      </c>
      <c r="N1015" s="10">
        <v>-8.4670231729055412E-2</v>
      </c>
      <c r="O1015" s="10">
        <v>-1.8333333333333757E-2</v>
      </c>
      <c r="P1015" s="10">
        <v>-0.27999999999999925</v>
      </c>
      <c r="Q1015" s="10">
        <v>-0.85</v>
      </c>
      <c r="R1015" s="10">
        <v>-0.99500000000000077</v>
      </c>
      <c r="S1015" s="10">
        <v>-1</v>
      </c>
      <c r="T1015" s="10">
        <v>-1</v>
      </c>
      <c r="U1015" s="1">
        <v>2502</v>
      </c>
      <c r="W1015" s="1">
        <v>338621</v>
      </c>
    </row>
    <row r="1016" spans="1:23" ht="25.5" x14ac:dyDescent="0.25">
      <c r="A1016" s="76">
        <v>1.5</v>
      </c>
      <c r="B1016" s="91" t="s">
        <v>1283</v>
      </c>
      <c r="C1016" s="76">
        <v>1997</v>
      </c>
      <c r="D1016" s="76" t="str">
        <f t="shared" si="82"/>
        <v>Y97S</v>
      </c>
      <c r="E1016" s="76" t="s">
        <v>1296</v>
      </c>
      <c r="F1016" s="89" t="s">
        <v>448</v>
      </c>
      <c r="G1016" s="90">
        <v>0.79880786109465018</v>
      </c>
      <c r="H1016" s="88">
        <v>35811</v>
      </c>
      <c r="I1016" s="88">
        <v>42237</v>
      </c>
      <c r="J1016" s="3">
        <f t="shared" si="79"/>
        <v>17</v>
      </c>
      <c r="K1016" s="10">
        <v>-4.5900178253119872E-2</v>
      </c>
      <c r="L1016" s="10">
        <v>-4.6345811051693442E-2</v>
      </c>
      <c r="M1016" s="10">
        <v>-6.4530485091232714E-2</v>
      </c>
      <c r="N1016" s="10">
        <v>-5.1247771836007483E-2</v>
      </c>
      <c r="O1016" s="10">
        <v>-1.6666666666666607E-2</v>
      </c>
      <c r="P1016" s="10">
        <v>-3.1666666666666843E-2</v>
      </c>
      <c r="Q1016" s="10">
        <v>-0.22666666666666613</v>
      </c>
      <c r="R1016" s="10">
        <v>-0.99500000000000077</v>
      </c>
      <c r="S1016" s="10">
        <v>-1</v>
      </c>
      <c r="T1016" s="10">
        <v>-1</v>
      </c>
      <c r="U1016" s="1">
        <v>6361</v>
      </c>
      <c r="W1016" s="1">
        <v>2282496</v>
      </c>
    </row>
    <row r="1017" spans="1:23" ht="25.5" x14ac:dyDescent="0.25">
      <c r="A1017" s="76">
        <v>1.5</v>
      </c>
      <c r="B1017" s="91" t="s">
        <v>1283</v>
      </c>
      <c r="C1017" s="76">
        <v>1997</v>
      </c>
      <c r="D1017" s="76" t="str">
        <f t="shared" si="82"/>
        <v>Y97S</v>
      </c>
      <c r="E1017" s="76" t="s">
        <v>1296</v>
      </c>
      <c r="F1017" s="89" t="s">
        <v>449</v>
      </c>
      <c r="G1017" s="90">
        <v>0.87010741821537407</v>
      </c>
      <c r="H1017" s="88">
        <v>35695</v>
      </c>
      <c r="I1017" s="88">
        <v>42240</v>
      </c>
      <c r="J1017" s="3">
        <f t="shared" si="79"/>
        <v>18</v>
      </c>
      <c r="K1017" s="10">
        <v>-7.575757575757569E-3</v>
      </c>
      <c r="L1017" s="10">
        <v>-4.3226381461675567E-2</v>
      </c>
      <c r="M1017" s="10">
        <v>-0.13351134846461932</v>
      </c>
      <c r="N1017" s="10">
        <v>-4.4563279857398053E-2</v>
      </c>
      <c r="O1017" s="10">
        <v>-2.0000000000000795E-2</v>
      </c>
      <c r="P1017" s="10">
        <v>-7.8333333333334032E-2</v>
      </c>
      <c r="Q1017" s="10">
        <v>-6.1666666666667425E-2</v>
      </c>
      <c r="R1017" s="10">
        <v>-9.9999999999999978E-2</v>
      </c>
      <c r="S1017" s="10">
        <v>-1</v>
      </c>
      <c r="T1017" s="10">
        <v>-1</v>
      </c>
      <c r="U1017" s="1">
        <v>3849</v>
      </c>
      <c r="W1017" s="1">
        <v>2295301</v>
      </c>
    </row>
    <row r="1018" spans="1:23" ht="25.5" x14ac:dyDescent="0.25">
      <c r="A1018" s="76">
        <v>1.5</v>
      </c>
      <c r="B1018" s="91" t="s">
        <v>1283</v>
      </c>
      <c r="C1018" s="76">
        <v>1997</v>
      </c>
      <c r="D1018" s="76" t="str">
        <f t="shared" si="82"/>
        <v>Y97S</v>
      </c>
      <c r="E1018" s="76" t="s">
        <v>1296</v>
      </c>
      <c r="F1018" s="89" t="s">
        <v>450</v>
      </c>
      <c r="G1018" s="90">
        <v>0.71384637143880481</v>
      </c>
      <c r="H1018" s="88">
        <v>35838</v>
      </c>
      <c r="I1018" s="88">
        <v>42317</v>
      </c>
      <c r="J1018" s="3">
        <f t="shared" si="79"/>
        <v>17</v>
      </c>
      <c r="K1018" s="10">
        <v>-6.3725490196078205E-2</v>
      </c>
      <c r="L1018" s="10">
        <v>-8.3333333333333148E-2</v>
      </c>
      <c r="M1018" s="10">
        <v>-7.9216733422341146E-2</v>
      </c>
      <c r="N1018" s="10">
        <v>-8.065953654188962E-2</v>
      </c>
      <c r="O1018" s="10">
        <v>2.666666666666706E-2</v>
      </c>
      <c r="P1018" s="10">
        <v>-0.36166666666666747</v>
      </c>
      <c r="Q1018" s="10">
        <v>-0.53500000000000036</v>
      </c>
      <c r="R1018" s="10">
        <v>-0.60666666666666624</v>
      </c>
      <c r="S1018" s="10">
        <v>-1</v>
      </c>
      <c r="T1018" s="10">
        <v>-1</v>
      </c>
      <c r="U1018" s="1">
        <v>3027</v>
      </c>
      <c r="W1018" s="1">
        <v>2157233</v>
      </c>
    </row>
    <row r="1019" spans="1:23" ht="25.5" x14ac:dyDescent="0.25">
      <c r="A1019" s="76">
        <v>1.5</v>
      </c>
      <c r="B1019" s="91" t="s">
        <v>1283</v>
      </c>
      <c r="C1019" s="76">
        <v>1997</v>
      </c>
      <c r="D1019" s="76" t="str">
        <f t="shared" si="82"/>
        <v>Y97S</v>
      </c>
      <c r="E1019" s="76" t="s">
        <v>1296</v>
      </c>
      <c r="F1019" s="89" t="s">
        <v>451</v>
      </c>
      <c r="G1019" s="90">
        <v>0.83665306285742846</v>
      </c>
      <c r="H1019" s="88">
        <v>35675</v>
      </c>
      <c r="I1019" s="88">
        <v>42261</v>
      </c>
      <c r="J1019" s="3">
        <f t="shared" si="79"/>
        <v>18</v>
      </c>
      <c r="K1019" s="10">
        <v>-4.1443850267379068E-2</v>
      </c>
      <c r="L1019" s="10">
        <v>4.6791443850267678E-2</v>
      </c>
      <c r="M1019" s="10">
        <v>-0.14196706720071217</v>
      </c>
      <c r="N1019" s="10">
        <v>-7.0855614973261982E-2</v>
      </c>
      <c r="O1019" s="10">
        <v>8.1666666666666332E-2</v>
      </c>
      <c r="P1019" s="10">
        <v>-8.9999999999999636E-2</v>
      </c>
      <c r="Q1019" s="10">
        <v>-9.833333333333294E-2</v>
      </c>
      <c r="R1019" s="10">
        <v>-0.81333333333333446</v>
      </c>
      <c r="S1019" s="10">
        <v>-1</v>
      </c>
      <c r="T1019" s="10">
        <v>-1</v>
      </c>
      <c r="U1019" s="1">
        <v>3566</v>
      </c>
      <c r="W1019" s="1">
        <v>1220802</v>
      </c>
    </row>
    <row r="1020" spans="1:23" ht="25.5" x14ac:dyDescent="0.25">
      <c r="A1020" s="76">
        <v>1.5</v>
      </c>
      <c r="B1020" s="91" t="s">
        <v>1283</v>
      </c>
      <c r="C1020" s="76">
        <v>1997</v>
      </c>
      <c r="D1020" s="76" t="str">
        <f t="shared" si="82"/>
        <v>Y97S</v>
      </c>
      <c r="E1020" s="76" t="s">
        <v>1296</v>
      </c>
      <c r="F1020" s="89" t="s">
        <v>452</v>
      </c>
      <c r="G1020" s="90">
        <v>0.79981250182060937</v>
      </c>
      <c r="H1020" s="88">
        <v>35697</v>
      </c>
      <c r="I1020" s="88">
        <v>42243</v>
      </c>
      <c r="J1020" s="3">
        <f t="shared" si="79"/>
        <v>18</v>
      </c>
      <c r="K1020" s="10">
        <v>-0.17468805704099899</v>
      </c>
      <c r="L1020" s="10">
        <v>-8.7344028520498496E-2</v>
      </c>
      <c r="M1020" s="10">
        <v>-8.7672452158433556E-2</v>
      </c>
      <c r="N1020" s="10">
        <v>-8.8680926916220981E-2</v>
      </c>
      <c r="O1020" s="10">
        <v>6.1666666666667425E-2</v>
      </c>
      <c r="P1020" s="10">
        <v>-8.5000000000000298E-2</v>
      </c>
      <c r="Q1020" s="10">
        <v>-0.4116666666666674</v>
      </c>
      <c r="R1020" s="10">
        <v>-0.56499999999999961</v>
      </c>
      <c r="S1020" s="10">
        <v>-1</v>
      </c>
      <c r="T1020" s="10">
        <v>-1</v>
      </c>
      <c r="U1020" s="1">
        <v>3124</v>
      </c>
      <c r="W1020" s="1">
        <v>480461</v>
      </c>
    </row>
    <row r="1021" spans="1:23" ht="25.5" x14ac:dyDescent="0.25">
      <c r="A1021" s="76">
        <v>1.5</v>
      </c>
      <c r="B1021" s="91" t="s">
        <v>1283</v>
      </c>
      <c r="C1021" s="76">
        <v>1997</v>
      </c>
      <c r="D1021" s="76" t="str">
        <f t="shared" si="82"/>
        <v>Y97S</v>
      </c>
      <c r="E1021" s="76" t="s">
        <v>1296</v>
      </c>
      <c r="F1021" s="89" t="s">
        <v>453</v>
      </c>
      <c r="G1021" s="90">
        <v>0.77764301656159485</v>
      </c>
      <c r="H1021" s="88">
        <v>35786</v>
      </c>
      <c r="I1021" s="88">
        <v>42240</v>
      </c>
      <c r="J1021" s="3">
        <f t="shared" si="79"/>
        <v>18</v>
      </c>
      <c r="K1021" s="10">
        <v>-6.9073083778965594E-2</v>
      </c>
      <c r="L1021" s="10">
        <v>-7.0409982174688412E-2</v>
      </c>
      <c r="M1021" s="10">
        <v>1.3796172674677143E-2</v>
      </c>
      <c r="N1021" s="10">
        <v>-0.16532976827094414</v>
      </c>
      <c r="O1021" s="10">
        <v>-8.0000000000000293E-2</v>
      </c>
      <c r="P1021" s="10">
        <v>-9.6666666666666901E-2</v>
      </c>
      <c r="Q1021" s="10">
        <v>-0.10666666666666624</v>
      </c>
      <c r="R1021" s="10">
        <v>-0.99333333333333373</v>
      </c>
      <c r="S1021" s="10">
        <v>-1</v>
      </c>
      <c r="T1021" s="10">
        <v>-1</v>
      </c>
      <c r="U1021" s="1">
        <v>4555</v>
      </c>
      <c r="W1021" s="1">
        <v>2299992</v>
      </c>
    </row>
    <row r="1022" spans="1:23" ht="25.5" x14ac:dyDescent="0.25">
      <c r="A1022" s="76">
        <v>1.5</v>
      </c>
      <c r="B1022" s="91" t="s">
        <v>1283</v>
      </c>
      <c r="C1022" s="76">
        <v>1997</v>
      </c>
      <c r="D1022" s="76" t="str">
        <f t="shared" si="82"/>
        <v>Y97S</v>
      </c>
      <c r="E1022" s="76" t="s">
        <v>1296</v>
      </c>
      <c r="F1022" s="89" t="s">
        <v>454</v>
      </c>
      <c r="G1022" s="90">
        <v>0.69531636014031828</v>
      </c>
      <c r="H1022" s="88">
        <v>35786</v>
      </c>
      <c r="I1022" s="88">
        <v>42240</v>
      </c>
      <c r="J1022" s="3">
        <f t="shared" si="79"/>
        <v>18</v>
      </c>
      <c r="K1022" s="10">
        <v>-4.5900178253119317E-2</v>
      </c>
      <c r="L1022" s="10">
        <v>-4.8573975044563178E-2</v>
      </c>
      <c r="M1022" s="10">
        <v>-5.473965287049376E-2</v>
      </c>
      <c r="N1022" s="10">
        <v>-5.4367201426025691E-2</v>
      </c>
      <c r="O1022" s="10">
        <v>0.11500000000000155</v>
      </c>
      <c r="P1022" s="10">
        <v>-0.19999999999999996</v>
      </c>
      <c r="Q1022" s="10">
        <v>-0.99333333333333185</v>
      </c>
      <c r="R1022" s="10">
        <v>-0.99500000000000077</v>
      </c>
      <c r="S1022" s="10">
        <v>-1</v>
      </c>
      <c r="T1022" s="10">
        <v>-1</v>
      </c>
      <c r="U1022" s="1">
        <v>2152</v>
      </c>
      <c r="W1022" s="1">
        <v>2300168</v>
      </c>
    </row>
    <row r="1023" spans="1:23" ht="25.5" x14ac:dyDescent="0.25">
      <c r="A1023" s="76">
        <v>1.5</v>
      </c>
      <c r="B1023" s="91" t="s">
        <v>1283</v>
      </c>
      <c r="C1023" s="76">
        <v>1998</v>
      </c>
      <c r="D1023" s="76" t="str">
        <f t="shared" ref="D1023:D1042" si="83">LEFT(F1023,4)</f>
        <v>Y98S</v>
      </c>
      <c r="E1023" s="76" t="s">
        <v>1296</v>
      </c>
      <c r="F1023" s="89" t="s">
        <v>455</v>
      </c>
      <c r="G1023" s="90">
        <v>0.68984293333333346</v>
      </c>
      <c r="H1023" s="88">
        <v>36411</v>
      </c>
      <c r="I1023" s="88">
        <v>42240</v>
      </c>
      <c r="J1023" s="3">
        <f t="shared" si="79"/>
        <v>16</v>
      </c>
      <c r="K1023" s="10">
        <v>5.3333333333333677E-2</v>
      </c>
      <c r="L1023" s="10">
        <v>4.2666666666666409E-2</v>
      </c>
      <c r="M1023" s="10">
        <v>4.1999999999999593E-2</v>
      </c>
      <c r="N1023" s="10">
        <v>3.0666666666666842E-2</v>
      </c>
      <c r="O1023" s="10">
        <v>5.0000000000012257E-3</v>
      </c>
      <c r="P1023" s="10">
        <v>-0.36999999999999889</v>
      </c>
      <c r="Q1023" s="10">
        <v>-0.6950000000000045</v>
      </c>
      <c r="R1023" s="10">
        <v>-0.98999999999999777</v>
      </c>
      <c r="S1023" s="10">
        <v>-1</v>
      </c>
      <c r="T1023" s="10">
        <v>-1</v>
      </c>
      <c r="U1023" s="1">
        <v>3965</v>
      </c>
      <c r="W1023" s="1">
        <v>2285411</v>
      </c>
    </row>
    <row r="1024" spans="1:23" ht="25.5" x14ac:dyDescent="0.25">
      <c r="A1024" s="76">
        <v>1.5</v>
      </c>
      <c r="B1024" s="91" t="s">
        <v>1283</v>
      </c>
      <c r="C1024" s="76">
        <v>1998</v>
      </c>
      <c r="D1024" s="76" t="str">
        <f t="shared" si="83"/>
        <v>Y98S</v>
      </c>
      <c r="E1024" s="76" t="s">
        <v>1296</v>
      </c>
      <c r="F1024" s="77" t="s">
        <v>456</v>
      </c>
      <c r="G1024" s="78">
        <v>0.79454148333333341</v>
      </c>
      <c r="H1024" s="88">
        <v>36613</v>
      </c>
      <c r="I1024" s="88">
        <v>42318</v>
      </c>
      <c r="J1024" s="3">
        <f t="shared" si="79"/>
        <v>15</v>
      </c>
      <c r="K1024" s="10">
        <v>-2.2666666666667279E-2</v>
      </c>
      <c r="L1024" s="10">
        <v>-3.5999999999999144E-2</v>
      </c>
      <c r="M1024" s="10">
        <v>-4.6000000000000596E-2</v>
      </c>
      <c r="N1024" s="10">
        <v>-5.5333333333333012E-2</v>
      </c>
      <c r="O1024" s="10">
        <v>-6.25E-2</v>
      </c>
      <c r="P1024" s="10">
        <v>-6.25E-2</v>
      </c>
      <c r="Q1024" s="10">
        <v>-0.13999999999999768</v>
      </c>
      <c r="R1024" s="10">
        <v>-0.99000000000000343</v>
      </c>
      <c r="S1024" s="10">
        <v>-1</v>
      </c>
      <c r="T1024" s="10">
        <v>-1</v>
      </c>
      <c r="U1024" s="1">
        <v>1198</v>
      </c>
      <c r="W1024" s="1">
        <v>3342131</v>
      </c>
    </row>
    <row r="1025" spans="1:23" ht="25.5" x14ac:dyDescent="0.25">
      <c r="A1025" s="76">
        <v>1.5</v>
      </c>
      <c r="B1025" s="91" t="s">
        <v>1283</v>
      </c>
      <c r="C1025" s="76">
        <v>1998</v>
      </c>
      <c r="D1025" s="76" t="str">
        <f t="shared" si="83"/>
        <v>Y98S</v>
      </c>
      <c r="E1025" s="76" t="s">
        <v>1296</v>
      </c>
      <c r="F1025" s="77" t="s">
        <v>457</v>
      </c>
      <c r="G1025" s="78">
        <v>0.64854413333333349</v>
      </c>
      <c r="H1025" s="88">
        <v>38853</v>
      </c>
      <c r="I1025" s="88">
        <v>42256</v>
      </c>
      <c r="J1025" s="3">
        <f t="shared" si="79"/>
        <v>9</v>
      </c>
      <c r="K1025" s="10">
        <v>-8.133333333333348E-2</v>
      </c>
      <c r="L1025" s="10">
        <v>-8.9999999999999969E-2</v>
      </c>
      <c r="M1025" s="10">
        <v>-8.3999999999999742E-2</v>
      </c>
      <c r="N1025" s="10">
        <v>-8.1333333333333591E-2</v>
      </c>
      <c r="O1025" s="10">
        <v>-3.7499999999999978E-2</v>
      </c>
      <c r="P1025" s="10">
        <v>-0.21250000000000002</v>
      </c>
      <c r="Q1025" s="10">
        <v>-0.99249999999999827</v>
      </c>
      <c r="R1025" s="10">
        <v>-0.99500000000000166</v>
      </c>
      <c r="S1025" s="10">
        <v>-1</v>
      </c>
      <c r="T1025" s="10">
        <v>-1</v>
      </c>
      <c r="U1025" s="1">
        <v>2439</v>
      </c>
      <c r="W1025" s="1">
        <v>1265415</v>
      </c>
    </row>
    <row r="1026" spans="1:23" ht="25.5" x14ac:dyDescent="0.25">
      <c r="A1026" s="76">
        <v>1.5</v>
      </c>
      <c r="B1026" s="91" t="s">
        <v>1283</v>
      </c>
      <c r="C1026" s="76">
        <v>1998</v>
      </c>
      <c r="D1026" s="76" t="str">
        <f t="shared" si="83"/>
        <v>Y98S</v>
      </c>
      <c r="E1026" s="76" t="s">
        <v>1296</v>
      </c>
      <c r="F1026" s="77" t="s">
        <v>458</v>
      </c>
      <c r="G1026" s="78">
        <v>0</v>
      </c>
      <c r="H1026" s="88">
        <v>35986</v>
      </c>
      <c r="I1026" s="88">
        <v>42321</v>
      </c>
      <c r="J1026" s="3">
        <f t="shared" si="79"/>
        <v>17</v>
      </c>
      <c r="K1026" s="10">
        <v>-1</v>
      </c>
      <c r="L1026" s="10">
        <v>-1</v>
      </c>
      <c r="M1026" s="10">
        <v>-1</v>
      </c>
      <c r="N1026" s="10">
        <v>-1</v>
      </c>
      <c r="O1026" s="10">
        <v>-1</v>
      </c>
      <c r="P1026" s="10">
        <v>-1</v>
      </c>
      <c r="Q1026" s="10">
        <v>-1</v>
      </c>
      <c r="R1026" s="10">
        <v>-1</v>
      </c>
      <c r="S1026" s="10">
        <v>-1</v>
      </c>
      <c r="T1026" s="10">
        <v>-1</v>
      </c>
      <c r="U1026" s="1">
        <v>2686</v>
      </c>
      <c r="W1026" s="1">
        <v>2263351</v>
      </c>
    </row>
    <row r="1027" spans="1:23" ht="25.5" x14ac:dyDescent="0.25">
      <c r="A1027" s="76">
        <v>1.5</v>
      </c>
      <c r="B1027" s="91" t="s">
        <v>1283</v>
      </c>
      <c r="C1027" s="76">
        <v>1998</v>
      </c>
      <c r="D1027" s="76" t="str">
        <f t="shared" si="83"/>
        <v>Y98S</v>
      </c>
      <c r="E1027" s="76" t="s">
        <v>1296</v>
      </c>
      <c r="F1027" s="77" t="s">
        <v>459</v>
      </c>
      <c r="G1027" s="78">
        <v>6.0800000000000853E-3</v>
      </c>
      <c r="H1027" s="88">
        <v>36061</v>
      </c>
      <c r="I1027" s="88">
        <v>42242</v>
      </c>
      <c r="J1027" s="3">
        <f t="shared" si="79"/>
        <v>17</v>
      </c>
      <c r="K1027" s="10">
        <v>-0.8666666666666667</v>
      </c>
      <c r="L1027" s="10">
        <v>-1</v>
      </c>
      <c r="M1027" s="10">
        <v>-1</v>
      </c>
      <c r="N1027" s="10">
        <v>-1</v>
      </c>
      <c r="O1027" s="10">
        <v>-1</v>
      </c>
      <c r="P1027" s="10">
        <v>-1</v>
      </c>
      <c r="Q1027" s="10">
        <v>-1</v>
      </c>
      <c r="R1027" s="10">
        <v>-1</v>
      </c>
      <c r="S1027" s="10">
        <v>-1</v>
      </c>
      <c r="T1027" s="10">
        <v>-1</v>
      </c>
      <c r="U1027" s="1">
        <v>5811</v>
      </c>
      <c r="W1027" s="1">
        <v>467881</v>
      </c>
    </row>
    <row r="1028" spans="1:23" ht="25.5" x14ac:dyDescent="0.25">
      <c r="A1028" s="76">
        <v>1.5</v>
      </c>
      <c r="B1028" s="91" t="s">
        <v>1283</v>
      </c>
      <c r="C1028" s="76">
        <v>1998</v>
      </c>
      <c r="D1028" s="76" t="str">
        <f t="shared" si="83"/>
        <v>Y98S</v>
      </c>
      <c r="E1028" s="76" t="s">
        <v>1296</v>
      </c>
      <c r="F1028" s="77" t="s">
        <v>460</v>
      </c>
      <c r="G1028" s="78">
        <v>0.80748579999999981</v>
      </c>
      <c r="H1028" s="88">
        <v>36412</v>
      </c>
      <c r="I1028" s="88">
        <v>42241</v>
      </c>
      <c r="J1028" s="3">
        <f t="shared" si="79"/>
        <v>16</v>
      </c>
      <c r="K1028" s="10">
        <v>-5.3333333333333344E-2</v>
      </c>
      <c r="L1028" s="10">
        <v>-5.533333333333379E-2</v>
      </c>
      <c r="M1028" s="10">
        <v>-5.7333333333332681E-2</v>
      </c>
      <c r="N1028" s="10">
        <v>-7.4666666666666992E-2</v>
      </c>
      <c r="O1028" s="10">
        <v>-5.0000000000011147E-3</v>
      </c>
      <c r="P1028" s="10">
        <v>-5.0000000000000044E-2</v>
      </c>
      <c r="Q1028" s="10">
        <v>-0.40749999999999886</v>
      </c>
      <c r="R1028" s="10">
        <v>-0.5225000000000023</v>
      </c>
      <c r="S1028" s="10">
        <v>-0.99499999999999889</v>
      </c>
      <c r="T1028" s="10">
        <v>-1</v>
      </c>
      <c r="U1028" s="1">
        <v>673</v>
      </c>
      <c r="W1028" s="1">
        <v>2301148</v>
      </c>
    </row>
    <row r="1029" spans="1:23" ht="25.5" x14ac:dyDescent="0.25">
      <c r="A1029" s="76">
        <v>1.5</v>
      </c>
      <c r="B1029" s="91" t="s">
        <v>1283</v>
      </c>
      <c r="C1029" s="76">
        <v>1998</v>
      </c>
      <c r="D1029" s="76" t="str">
        <f t="shared" si="83"/>
        <v>Y98S</v>
      </c>
      <c r="E1029" s="76" t="s">
        <v>1296</v>
      </c>
      <c r="F1029" s="77" t="s">
        <v>461</v>
      </c>
      <c r="G1029" s="78">
        <v>0.70082046666666642</v>
      </c>
      <c r="H1029" s="88">
        <v>37035</v>
      </c>
      <c r="I1029" s="88">
        <v>42231</v>
      </c>
      <c r="J1029" s="3">
        <f t="shared" ref="J1029:J1092" si="84">IF(YEAR(I1029)-YEAR(H1029)=0,"",YEAR(I1029)-YEAR(H1029))</f>
        <v>14</v>
      </c>
      <c r="K1029" s="10">
        <v>-6.133333333333324E-2</v>
      </c>
      <c r="L1029" s="10">
        <v>-7.1999999999999842E-2</v>
      </c>
      <c r="M1029" s="10">
        <v>-7.7333333333333476E-2</v>
      </c>
      <c r="N1029" s="10">
        <v>-7.9333333333333145E-2</v>
      </c>
      <c r="O1029" s="10">
        <v>-7.4999999999999956E-2</v>
      </c>
      <c r="P1029" s="10">
        <v>-0.27000000000000168</v>
      </c>
      <c r="Q1029" s="10">
        <v>-0.40749999999999886</v>
      </c>
      <c r="R1029" s="10">
        <v>-0.99250000000000116</v>
      </c>
      <c r="S1029" s="10">
        <v>-1</v>
      </c>
      <c r="T1029" s="10">
        <v>-1</v>
      </c>
      <c r="U1029" s="1">
        <v>3651</v>
      </c>
      <c r="W1029" s="1">
        <v>2885298</v>
      </c>
    </row>
    <row r="1030" spans="1:23" ht="25.5" x14ac:dyDescent="0.25">
      <c r="A1030" s="76">
        <v>1.5</v>
      </c>
      <c r="B1030" s="91" t="s">
        <v>1283</v>
      </c>
      <c r="C1030" s="76">
        <v>1998</v>
      </c>
      <c r="D1030" s="76" t="str">
        <f t="shared" si="83"/>
        <v>Y98S</v>
      </c>
      <c r="E1030" s="76" t="s">
        <v>1296</v>
      </c>
      <c r="F1030" s="77" t="s">
        <v>462</v>
      </c>
      <c r="G1030" s="78">
        <v>0.76001043333333307</v>
      </c>
      <c r="H1030" s="88">
        <v>36200</v>
      </c>
      <c r="I1030" s="88">
        <v>42240</v>
      </c>
      <c r="J1030" s="3">
        <f t="shared" si="84"/>
        <v>16</v>
      </c>
      <c r="K1030" s="10">
        <v>2.3333333333334094E-2</v>
      </c>
      <c r="L1030" s="10">
        <v>2.0666666666666167E-2</v>
      </c>
      <c r="M1030" s="10">
        <v>1.3999999999999346E-2</v>
      </c>
      <c r="N1030" s="10">
        <v>-1.3333333333320763E-3</v>
      </c>
      <c r="O1030" s="10">
        <v>-4.2500000000001092E-2</v>
      </c>
      <c r="P1030" s="10">
        <v>-0.10500000000000109</v>
      </c>
      <c r="Q1030" s="10">
        <v>-0.48999999999999777</v>
      </c>
      <c r="R1030" s="10">
        <v>-0.99250000000000116</v>
      </c>
      <c r="S1030" s="10">
        <v>-1</v>
      </c>
      <c r="T1030" s="10">
        <v>-1</v>
      </c>
      <c r="U1030" s="1">
        <v>2903</v>
      </c>
      <c r="W1030" s="1">
        <v>2290791</v>
      </c>
    </row>
    <row r="1031" spans="1:23" ht="25.5" x14ac:dyDescent="0.25">
      <c r="A1031" s="76">
        <v>1.5</v>
      </c>
      <c r="B1031" s="91" t="s">
        <v>1283</v>
      </c>
      <c r="C1031" s="76">
        <v>1998</v>
      </c>
      <c r="D1031" s="76" t="str">
        <f t="shared" si="83"/>
        <v>Y98S</v>
      </c>
      <c r="E1031" s="76" t="s">
        <v>1296</v>
      </c>
      <c r="F1031" s="89" t="s">
        <v>463</v>
      </c>
      <c r="G1031" s="90">
        <v>2.8851699999999925E-3</v>
      </c>
      <c r="H1031" s="88">
        <v>36374</v>
      </c>
      <c r="I1031" s="88">
        <v>42240</v>
      </c>
      <c r="J1031" s="3">
        <f t="shared" si="84"/>
        <v>16</v>
      </c>
      <c r="K1031" s="10">
        <v>-0.99929999999999997</v>
      </c>
      <c r="L1031" s="10">
        <v>-0.99933333333333352</v>
      </c>
      <c r="M1031" s="10">
        <v>-0.99933333333333318</v>
      </c>
      <c r="N1031" s="10">
        <v>-0.9986666666666667</v>
      </c>
      <c r="O1031" s="10">
        <v>-0.99500000000000033</v>
      </c>
      <c r="P1031" s="10">
        <v>-0.99500000000000033</v>
      </c>
      <c r="Q1031" s="10">
        <v>-0.99749999999999939</v>
      </c>
      <c r="R1031" s="10">
        <v>-1</v>
      </c>
      <c r="S1031" s="10">
        <v>-1</v>
      </c>
      <c r="T1031" s="10">
        <v>-1</v>
      </c>
      <c r="U1031" s="1">
        <v>5313</v>
      </c>
      <c r="W1031" s="1">
        <v>2300061</v>
      </c>
    </row>
    <row r="1032" spans="1:23" ht="25.5" x14ac:dyDescent="0.25">
      <c r="A1032" s="76">
        <v>1.5</v>
      </c>
      <c r="B1032" s="91" t="s">
        <v>1283</v>
      </c>
      <c r="C1032" s="76">
        <v>1998</v>
      </c>
      <c r="D1032" s="76" t="str">
        <f t="shared" si="83"/>
        <v>Y98S</v>
      </c>
      <c r="E1032" s="76" t="s">
        <v>1296</v>
      </c>
      <c r="F1032" s="77" t="s">
        <v>464</v>
      </c>
      <c r="G1032" s="78">
        <v>0.50703291666666694</v>
      </c>
      <c r="H1032" s="88">
        <v>36313</v>
      </c>
      <c r="I1032" s="88">
        <v>42318</v>
      </c>
      <c r="J1032" s="3">
        <f t="shared" si="84"/>
        <v>16</v>
      </c>
      <c r="K1032" s="10">
        <v>-6.4666666666666983E-2</v>
      </c>
      <c r="L1032" s="10">
        <v>-8.5333333333333039E-2</v>
      </c>
      <c r="M1032" s="10">
        <v>-0.12133333333333363</v>
      </c>
      <c r="N1032" s="10">
        <v>-0.17333333333333334</v>
      </c>
      <c r="O1032" s="10">
        <v>-0.25749999999999884</v>
      </c>
      <c r="P1032" s="10">
        <v>-0.55500000000000116</v>
      </c>
      <c r="Q1032" s="10">
        <v>-0.99499999999999889</v>
      </c>
      <c r="R1032" s="10">
        <v>-0.99499999999999889</v>
      </c>
      <c r="S1032" s="10">
        <v>-1</v>
      </c>
      <c r="T1032" s="10">
        <v>-1</v>
      </c>
      <c r="U1032" s="1">
        <v>2534</v>
      </c>
      <c r="W1032" s="1">
        <v>2157314</v>
      </c>
    </row>
    <row r="1033" spans="1:23" x14ac:dyDescent="0.25">
      <c r="A1033" s="76">
        <v>1.5</v>
      </c>
      <c r="B1033" s="91" t="s">
        <v>54</v>
      </c>
      <c r="C1033" s="76">
        <v>2000</v>
      </c>
      <c r="D1033" s="76" t="str">
        <f t="shared" si="83"/>
        <v>Y00L</v>
      </c>
      <c r="E1033" s="76" t="s">
        <v>147</v>
      </c>
      <c r="F1033" s="89" t="s">
        <v>475</v>
      </c>
      <c r="G1033" s="90">
        <v>0.41822366630185503</v>
      </c>
      <c r="H1033" s="29"/>
      <c r="I1033" s="29"/>
      <c r="J1033" s="3" t="str">
        <f t="shared" si="84"/>
        <v/>
      </c>
      <c r="K1033" s="10">
        <v>-2.0242914979756721E-2</v>
      </c>
      <c r="L1033" s="10">
        <v>-5.8265582655826487E-2</v>
      </c>
      <c r="M1033" s="10">
        <v>-0.12940379403794033</v>
      </c>
      <c r="N1033" s="10">
        <v>-0.14634146341463417</v>
      </c>
      <c r="O1033" s="10">
        <v>-0.24499999999999889</v>
      </c>
      <c r="P1033" s="10">
        <v>-0.9600000000000023</v>
      </c>
      <c r="Q1033" s="10">
        <v>-0.99499999999999889</v>
      </c>
      <c r="R1033" s="10">
        <v>-0.99750000000000227</v>
      </c>
      <c r="S1033" s="10">
        <v>-1</v>
      </c>
      <c r="T1033" s="10">
        <v>-1</v>
      </c>
    </row>
    <row r="1034" spans="1:23" x14ac:dyDescent="0.25">
      <c r="A1034" s="76">
        <v>1.5</v>
      </c>
      <c r="B1034" s="91" t="s">
        <v>54</v>
      </c>
      <c r="C1034" s="76">
        <v>2000</v>
      </c>
      <c r="D1034" s="76" t="str">
        <f t="shared" si="83"/>
        <v>Y00L</v>
      </c>
      <c r="E1034" s="76" t="s">
        <v>147</v>
      </c>
      <c r="F1034" s="89" t="s">
        <v>476</v>
      </c>
      <c r="G1034" s="90">
        <v>0.41090173259328755</v>
      </c>
      <c r="H1034" s="88">
        <v>36615</v>
      </c>
      <c r="I1034" s="88">
        <v>42311</v>
      </c>
      <c r="J1034" s="3">
        <f t="shared" si="84"/>
        <v>15</v>
      </c>
      <c r="K1034" s="10">
        <v>-4.8582995951416907E-2</v>
      </c>
      <c r="L1034" s="10">
        <v>-5.0813008130081827E-2</v>
      </c>
      <c r="M1034" s="10">
        <v>-7.5203252032520318E-2</v>
      </c>
      <c r="N1034" s="10">
        <v>-0.14769647696476962</v>
      </c>
      <c r="O1034" s="10">
        <v>-0.27250000000000019</v>
      </c>
      <c r="P1034" s="10">
        <v>-0.97499999999999998</v>
      </c>
      <c r="Q1034" s="10">
        <v>-0.99499999999999955</v>
      </c>
      <c r="R1034" s="10">
        <v>-1</v>
      </c>
      <c r="S1034" s="10">
        <v>-1</v>
      </c>
      <c r="T1034" s="10">
        <v>-1</v>
      </c>
      <c r="U1034" s="1">
        <v>2939</v>
      </c>
      <c r="W1034" s="1">
        <v>2077621</v>
      </c>
    </row>
    <row r="1035" spans="1:23" x14ac:dyDescent="0.25">
      <c r="A1035" s="76">
        <v>1.5</v>
      </c>
      <c r="B1035" s="91" t="s">
        <v>54</v>
      </c>
      <c r="C1035" s="76">
        <v>2000</v>
      </c>
      <c r="D1035" s="76" t="str">
        <f t="shared" si="83"/>
        <v>Y00L</v>
      </c>
      <c r="E1035" s="76" t="s">
        <v>147</v>
      </c>
      <c r="F1035" s="89" t="s">
        <v>477</v>
      </c>
      <c r="G1035" s="90">
        <v>0.47408618157181559</v>
      </c>
      <c r="H1035" s="88">
        <v>36675</v>
      </c>
      <c r="I1035" s="88">
        <v>42327</v>
      </c>
      <c r="J1035" s="3">
        <f t="shared" si="84"/>
        <v>15</v>
      </c>
      <c r="K1035" s="10">
        <v>-6.1403508771930349E-2</v>
      </c>
      <c r="L1035" s="10">
        <v>-7.8590785907859062E-2</v>
      </c>
      <c r="M1035" s="10">
        <v>-0.10772357723577197</v>
      </c>
      <c r="N1035" s="10">
        <v>-0.20799457994579884</v>
      </c>
      <c r="O1035" s="10">
        <v>-0.29000000000000337</v>
      </c>
      <c r="P1035" s="10">
        <v>-0.65499999999999547</v>
      </c>
      <c r="Q1035" s="10">
        <v>-0.99750000000000227</v>
      </c>
      <c r="R1035" s="10">
        <v>-0.99750000000000227</v>
      </c>
      <c r="S1035" s="10">
        <v>-1</v>
      </c>
      <c r="T1035" s="10">
        <v>-1</v>
      </c>
      <c r="U1035" s="1">
        <v>2791</v>
      </c>
      <c r="W1035" s="1">
        <v>1716794</v>
      </c>
    </row>
    <row r="1036" spans="1:23" x14ac:dyDescent="0.25">
      <c r="A1036" s="76">
        <v>1.5</v>
      </c>
      <c r="B1036" s="91" t="s">
        <v>54</v>
      </c>
      <c r="C1036" s="76">
        <v>2000</v>
      </c>
      <c r="D1036" s="76" t="str">
        <f t="shared" si="83"/>
        <v>Y00L</v>
      </c>
      <c r="E1036" s="76" t="s">
        <v>147</v>
      </c>
      <c r="F1036" s="89" t="s">
        <v>478</v>
      </c>
      <c r="G1036" s="90">
        <v>0.52574666515530599</v>
      </c>
      <c r="H1036" s="88">
        <v>36669</v>
      </c>
      <c r="I1036" s="88">
        <v>42327</v>
      </c>
      <c r="J1036" s="3">
        <f t="shared" si="84"/>
        <v>15</v>
      </c>
      <c r="K1036" s="10">
        <v>-5.1282051282051877E-2</v>
      </c>
      <c r="L1036" s="10">
        <v>-5.0135501355013212E-2</v>
      </c>
      <c r="M1036" s="10">
        <v>-8.4688346883467824E-2</v>
      </c>
      <c r="N1036" s="10">
        <v>-8.2655826558266421E-2</v>
      </c>
      <c r="O1036" s="10">
        <v>-0.26999999999999891</v>
      </c>
      <c r="P1036" s="10">
        <v>-0.51499999999999768</v>
      </c>
      <c r="Q1036" s="10">
        <v>-0.99500000000000455</v>
      </c>
      <c r="R1036" s="10">
        <v>-0.99749999999999661</v>
      </c>
      <c r="S1036" s="10">
        <v>-1</v>
      </c>
      <c r="T1036" s="10">
        <v>-1</v>
      </c>
      <c r="U1036" s="1">
        <v>1338</v>
      </c>
      <c r="W1036" s="1">
        <v>1722697</v>
      </c>
    </row>
    <row r="1037" spans="1:23" x14ac:dyDescent="0.25">
      <c r="A1037" s="76">
        <v>1.5</v>
      </c>
      <c r="B1037" s="91" t="s">
        <v>54</v>
      </c>
      <c r="C1037" s="76">
        <v>2000</v>
      </c>
      <c r="D1037" s="76" t="str">
        <f t="shared" si="83"/>
        <v>Y00L</v>
      </c>
      <c r="E1037" s="76" t="s">
        <v>147</v>
      </c>
      <c r="F1037" s="89" t="s">
        <v>479</v>
      </c>
      <c r="G1037" s="90">
        <v>0.80683487398373932</v>
      </c>
      <c r="H1037" s="88">
        <v>36671</v>
      </c>
      <c r="I1037" s="88">
        <v>42327</v>
      </c>
      <c r="J1037" s="3">
        <f t="shared" si="84"/>
        <v>15</v>
      </c>
      <c r="K1037" s="10">
        <v>-5.2631578947367696E-2</v>
      </c>
      <c r="L1037" s="10">
        <v>-4.4037940379404339E-2</v>
      </c>
      <c r="M1037" s="10">
        <v>-3.7262872628725296E-2</v>
      </c>
      <c r="N1037" s="10">
        <v>-5.4200542005420682E-2</v>
      </c>
      <c r="O1037" s="10">
        <v>-1.4999999999997682E-2</v>
      </c>
      <c r="P1037" s="10">
        <v>-3.2500000000004525E-2</v>
      </c>
      <c r="Q1037" s="10">
        <v>-0.17500000000000004</v>
      </c>
      <c r="R1037" s="10">
        <v>-0.995</v>
      </c>
      <c r="S1037" s="10">
        <v>-1</v>
      </c>
      <c r="T1037" s="10">
        <v>-1</v>
      </c>
      <c r="U1037" s="1">
        <v>1853</v>
      </c>
      <c r="W1037" s="1">
        <v>1717111</v>
      </c>
    </row>
    <row r="1038" spans="1:23" x14ac:dyDescent="0.25">
      <c r="A1038" s="76">
        <v>1.5</v>
      </c>
      <c r="B1038" s="91" t="s">
        <v>54</v>
      </c>
      <c r="C1038" s="76">
        <v>2000</v>
      </c>
      <c r="D1038" s="76" t="str">
        <f t="shared" si="83"/>
        <v>Y00L</v>
      </c>
      <c r="E1038" s="76" t="s">
        <v>147</v>
      </c>
      <c r="F1038" s="89" t="s">
        <v>480</v>
      </c>
      <c r="G1038" s="90">
        <v>0.51111466687513007</v>
      </c>
      <c r="H1038" s="88">
        <v>36772</v>
      </c>
      <c r="I1038" s="88">
        <v>42311</v>
      </c>
      <c r="J1038" s="3">
        <f t="shared" si="84"/>
        <v>15</v>
      </c>
      <c r="K1038" s="10">
        <v>-5.7354925775978449E-2</v>
      </c>
      <c r="L1038" s="10">
        <v>-0.12262872628726285</v>
      </c>
      <c r="M1038" s="10">
        <v>-0.19241192411924124</v>
      </c>
      <c r="N1038" s="10">
        <v>-0.21883468834688302</v>
      </c>
      <c r="O1038" s="10">
        <v>-0.27000000000000168</v>
      </c>
      <c r="P1038" s="10">
        <v>-0.47999999999999832</v>
      </c>
      <c r="Q1038" s="10">
        <v>-0.99750000000000227</v>
      </c>
      <c r="R1038" s="10">
        <v>-0.99749999999999939</v>
      </c>
      <c r="S1038" s="10">
        <v>-1</v>
      </c>
      <c r="T1038" s="10">
        <v>-1</v>
      </c>
      <c r="U1038" s="1">
        <v>3596</v>
      </c>
      <c r="W1038" s="1">
        <v>2075598</v>
      </c>
    </row>
    <row r="1039" spans="1:23" x14ac:dyDescent="0.25">
      <c r="A1039" s="76">
        <v>1.5</v>
      </c>
      <c r="B1039" s="91" t="s">
        <v>54</v>
      </c>
      <c r="C1039" s="76">
        <v>2000</v>
      </c>
      <c r="D1039" s="76" t="str">
        <f t="shared" si="83"/>
        <v>Y00L</v>
      </c>
      <c r="E1039" s="76" t="s">
        <v>147</v>
      </c>
      <c r="F1039" s="89" t="s">
        <v>481</v>
      </c>
      <c r="G1039" s="90">
        <v>0.55896301907442192</v>
      </c>
      <c r="H1039" s="88">
        <v>36642</v>
      </c>
      <c r="I1039" s="88">
        <v>42284</v>
      </c>
      <c r="J1039" s="3">
        <f t="shared" si="84"/>
        <v>15</v>
      </c>
      <c r="K1039" s="10">
        <v>-5.0607287449393135E-2</v>
      </c>
      <c r="L1039" s="10">
        <v>-2.9132791327912799E-2</v>
      </c>
      <c r="M1039" s="10">
        <v>-2.9132791327913576E-2</v>
      </c>
      <c r="N1039" s="10">
        <v>-3.5907859078591065E-2</v>
      </c>
      <c r="O1039" s="10">
        <v>-8.2499999999998908E-2</v>
      </c>
      <c r="P1039" s="10">
        <v>-0.59250000000000114</v>
      </c>
      <c r="Q1039" s="10">
        <v>-0.99749999999999661</v>
      </c>
      <c r="R1039" s="10">
        <v>-1</v>
      </c>
      <c r="S1039" s="10">
        <v>-1</v>
      </c>
      <c r="T1039" s="10">
        <v>-1</v>
      </c>
      <c r="U1039" s="1">
        <v>2293</v>
      </c>
      <c r="W1039" s="1">
        <v>2412144</v>
      </c>
    </row>
    <row r="1040" spans="1:23" x14ac:dyDescent="0.25">
      <c r="A1040" s="76">
        <v>1.5</v>
      </c>
      <c r="B1040" s="91" t="s">
        <v>54</v>
      </c>
      <c r="C1040" s="76">
        <v>2000</v>
      </c>
      <c r="D1040" s="76" t="str">
        <f t="shared" si="83"/>
        <v>Y00L</v>
      </c>
      <c r="E1040" s="76" t="s">
        <v>147</v>
      </c>
      <c r="F1040" s="89" t="s">
        <v>482</v>
      </c>
      <c r="G1040" s="90">
        <v>0.72182955743172839</v>
      </c>
      <c r="H1040" s="88">
        <v>36649</v>
      </c>
      <c r="I1040" s="88">
        <v>42311</v>
      </c>
      <c r="J1040" s="3">
        <f t="shared" si="84"/>
        <v>15</v>
      </c>
      <c r="K1040" s="10">
        <v>-2.496626180836703E-2</v>
      </c>
      <c r="L1040" s="10">
        <v>-1.8292682926829396E-2</v>
      </c>
      <c r="M1040" s="10">
        <v>-2.168021680216814E-2</v>
      </c>
      <c r="N1040" s="10">
        <v>-7.8590785907859062E-2</v>
      </c>
      <c r="O1040" s="10">
        <v>-7.4999999999999956E-2</v>
      </c>
      <c r="P1040" s="10">
        <v>-0.32999999999999829</v>
      </c>
      <c r="Q1040" s="10">
        <v>-0.37250000000000227</v>
      </c>
      <c r="R1040" s="10">
        <v>-0.69749999999999945</v>
      </c>
      <c r="S1040" s="10">
        <v>-0.99499999999999889</v>
      </c>
      <c r="T1040" s="10">
        <v>-1</v>
      </c>
      <c r="U1040" s="1">
        <v>2882</v>
      </c>
      <c r="W1040" s="1">
        <v>2091615</v>
      </c>
    </row>
    <row r="1041" spans="1:23" x14ac:dyDescent="0.25">
      <c r="A1041" s="76">
        <v>1.5</v>
      </c>
      <c r="B1041" s="91" t="s">
        <v>54</v>
      </c>
      <c r="C1041" s="76">
        <v>2000</v>
      </c>
      <c r="D1041" s="76" t="str">
        <f t="shared" si="83"/>
        <v>Y00L</v>
      </c>
      <c r="E1041" s="76" t="s">
        <v>147</v>
      </c>
      <c r="F1041" s="89" t="s">
        <v>483</v>
      </c>
      <c r="G1041" s="90">
        <v>0.51832269981238266</v>
      </c>
      <c r="H1041" s="88">
        <v>36588</v>
      </c>
      <c r="I1041" s="88">
        <v>42313</v>
      </c>
      <c r="J1041" s="3">
        <f t="shared" si="84"/>
        <v>15</v>
      </c>
      <c r="K1041" s="10">
        <v>-5.802968960863697E-2</v>
      </c>
      <c r="L1041" s="10">
        <v>-7.9268292682926567E-2</v>
      </c>
      <c r="M1041" s="10">
        <v>-7.92682926829269E-2</v>
      </c>
      <c r="N1041" s="10">
        <v>-0.17682926829268286</v>
      </c>
      <c r="O1041" s="10">
        <v>-0.30749999999999889</v>
      </c>
      <c r="P1041" s="10">
        <v>-0.47250000000000225</v>
      </c>
      <c r="Q1041" s="10">
        <v>-0.99499999999999889</v>
      </c>
      <c r="R1041" s="10">
        <v>-0.99749999999999939</v>
      </c>
      <c r="S1041" s="10">
        <v>-1</v>
      </c>
      <c r="T1041" s="10">
        <v>-1</v>
      </c>
      <c r="U1041" s="1">
        <v>3257</v>
      </c>
      <c r="W1041" s="1">
        <v>2229013</v>
      </c>
    </row>
    <row r="1042" spans="1:23" x14ac:dyDescent="0.25">
      <c r="A1042" s="76">
        <v>1.5</v>
      </c>
      <c r="B1042" s="91" t="s">
        <v>54</v>
      </c>
      <c r="C1042" s="76">
        <v>2000</v>
      </c>
      <c r="D1042" s="76" t="str">
        <f t="shared" si="83"/>
        <v>Y00L</v>
      </c>
      <c r="E1042" s="76" t="s">
        <v>147</v>
      </c>
      <c r="F1042" s="89" t="s">
        <v>484</v>
      </c>
      <c r="G1042" s="90">
        <v>0.39555472930998559</v>
      </c>
      <c r="H1042" s="88">
        <v>36747</v>
      </c>
      <c r="I1042" s="88">
        <v>42236</v>
      </c>
      <c r="J1042" s="3">
        <f t="shared" si="84"/>
        <v>15</v>
      </c>
      <c r="K1042" s="10">
        <v>-5.5330634278002666E-2</v>
      </c>
      <c r="L1042" s="10">
        <v>-4.4037940379402785E-2</v>
      </c>
      <c r="M1042" s="10">
        <v>-8.943089430894402E-2</v>
      </c>
      <c r="N1042" s="10">
        <v>-8.6720867208671448E-2</v>
      </c>
      <c r="O1042" s="10">
        <v>-0.33250000000000024</v>
      </c>
      <c r="P1042" s="10">
        <v>-0.99499999999999955</v>
      </c>
      <c r="Q1042" s="10">
        <v>-0.99750000000000016</v>
      </c>
      <c r="R1042" s="10">
        <v>-1</v>
      </c>
      <c r="S1042" s="10">
        <v>-1</v>
      </c>
      <c r="T1042" s="10">
        <v>-1</v>
      </c>
      <c r="U1042" s="1">
        <v>2851</v>
      </c>
      <c r="W1042" s="1">
        <v>2280825</v>
      </c>
    </row>
    <row r="1043" spans="1:23" ht="25.5" x14ac:dyDescent="0.25">
      <c r="A1043" s="76">
        <v>1.5</v>
      </c>
      <c r="B1043" s="91" t="s">
        <v>1283</v>
      </c>
      <c r="C1043" s="76">
        <v>2001</v>
      </c>
      <c r="D1043" s="76" t="str">
        <f>LEFT(F1043,4)</f>
        <v>Y00N</v>
      </c>
      <c r="E1043" s="76" t="s">
        <v>65</v>
      </c>
      <c r="F1043" s="77" t="s">
        <v>231</v>
      </c>
      <c r="G1043" s="78">
        <v>0.70970400292646463</v>
      </c>
      <c r="H1043" s="79">
        <v>36942</v>
      </c>
      <c r="I1043" s="79">
        <v>41237</v>
      </c>
      <c r="J1043" s="3">
        <f t="shared" si="84"/>
        <v>11</v>
      </c>
    </row>
    <row r="1044" spans="1:23" ht="25.5" x14ac:dyDescent="0.25">
      <c r="A1044" s="76">
        <v>1.5</v>
      </c>
      <c r="B1044" s="91" t="s">
        <v>1283</v>
      </c>
      <c r="C1044" s="76">
        <v>2001</v>
      </c>
      <c r="D1044" s="76" t="str">
        <f>LEFT(F1044,4)</f>
        <v>Y00N</v>
      </c>
      <c r="E1044" s="76" t="s">
        <v>65</v>
      </c>
      <c r="F1044" s="77" t="s">
        <v>603</v>
      </c>
      <c r="G1044" s="78">
        <v>0.50497612339649556</v>
      </c>
      <c r="H1044" s="88">
        <v>36907</v>
      </c>
      <c r="I1044" s="88">
        <v>42243</v>
      </c>
      <c r="J1044" s="3">
        <f t="shared" si="84"/>
        <v>14</v>
      </c>
      <c r="K1044" s="10">
        <v>-1.1523046092184241E-2</v>
      </c>
      <c r="L1044" s="10">
        <v>-1.0306686777274976E-2</v>
      </c>
      <c r="M1044" s="10">
        <v>-1.5342052313883303E-2</v>
      </c>
      <c r="N1044" s="10">
        <v>-2.0392749244712904E-2</v>
      </c>
      <c r="O1044" s="10">
        <v>-6.3595393089637797E-2</v>
      </c>
      <c r="P1044" s="10">
        <v>-0.94005994005993776</v>
      </c>
      <c r="Q1044" s="10">
        <v>-1</v>
      </c>
      <c r="R1044" s="10">
        <v>-1</v>
      </c>
      <c r="S1044" s="10">
        <v>-1</v>
      </c>
      <c r="T1044" s="10">
        <v>-1</v>
      </c>
      <c r="U1044" s="1">
        <v>5069</v>
      </c>
      <c r="W1044" s="1">
        <v>455512</v>
      </c>
    </row>
    <row r="1045" spans="1:23" x14ac:dyDescent="0.25">
      <c r="A1045" s="76">
        <v>3</v>
      </c>
      <c r="B1045" s="91" t="s">
        <v>54</v>
      </c>
      <c r="C1045" s="76">
        <v>1982</v>
      </c>
      <c r="D1045" s="76" t="str">
        <f t="shared" ref="D1045:D1055" si="85">LEFT(F1045,4)</f>
        <v>A82S</v>
      </c>
      <c r="E1045" s="76" t="s">
        <v>1296</v>
      </c>
      <c r="F1045" s="89" t="s">
        <v>623</v>
      </c>
      <c r="G1045" s="90">
        <v>0.78861245402703806</v>
      </c>
      <c r="H1045" s="88">
        <v>35531</v>
      </c>
      <c r="I1045" s="88">
        <v>42257</v>
      </c>
      <c r="J1045" s="3">
        <f t="shared" si="84"/>
        <v>18</v>
      </c>
      <c r="K1045" s="10">
        <v>2.8333333333333766E-2</v>
      </c>
      <c r="L1045" s="10">
        <v>2.6430244228839106E-2</v>
      </c>
      <c r="M1045" s="10">
        <v>2.9510395707578629E-2</v>
      </c>
      <c r="N1045" s="10">
        <v>3.890006706908089E-2</v>
      </c>
      <c r="O1045" s="10">
        <v>6.4537591483699197E-2</v>
      </c>
      <c r="P1045" s="10">
        <v>3.286384976525869E-2</v>
      </c>
      <c r="Q1045" s="10">
        <v>-0.81220657276995412</v>
      </c>
      <c r="R1045" s="10">
        <v>-1</v>
      </c>
      <c r="S1045" s="10">
        <v>-1</v>
      </c>
      <c r="T1045" s="10">
        <v>-1</v>
      </c>
      <c r="U1045" s="1">
        <v>3157</v>
      </c>
      <c r="W1045" s="1">
        <v>1878565</v>
      </c>
    </row>
    <row r="1046" spans="1:23" x14ac:dyDescent="0.25">
      <c r="A1046" s="76">
        <v>3</v>
      </c>
      <c r="B1046" s="91" t="s">
        <v>54</v>
      </c>
      <c r="C1046" s="76">
        <v>1982</v>
      </c>
      <c r="D1046" s="76" t="str">
        <f t="shared" si="85"/>
        <v>A82S</v>
      </c>
      <c r="E1046" s="76" t="s">
        <v>1296</v>
      </c>
      <c r="F1046" s="89" t="s">
        <v>624</v>
      </c>
      <c r="G1046" s="90">
        <v>0.71676684823475156</v>
      </c>
      <c r="H1046" s="88">
        <v>35524</v>
      </c>
      <c r="I1046" s="88">
        <v>42257</v>
      </c>
      <c r="J1046" s="3">
        <f t="shared" si="84"/>
        <v>18</v>
      </c>
      <c r="K1046" s="10">
        <v>-0.63400000000000001</v>
      </c>
      <c r="L1046" s="10">
        <v>6.1893609902977653E-2</v>
      </c>
      <c r="M1046" s="10">
        <v>9.1884641180415727E-2</v>
      </c>
      <c r="N1046" s="10">
        <v>8.7189805499664486E-2</v>
      </c>
      <c r="O1046" s="10">
        <v>6.4537591483699197E-2</v>
      </c>
      <c r="P1046" s="10">
        <v>-0.22199865861837531</v>
      </c>
      <c r="Q1046" s="10">
        <v>-1</v>
      </c>
      <c r="R1046" s="10">
        <v>-1</v>
      </c>
      <c r="S1046" s="10">
        <v>-1</v>
      </c>
      <c r="T1046" s="10">
        <v>-1</v>
      </c>
      <c r="U1046" s="1">
        <v>7318</v>
      </c>
      <c r="W1046" s="1">
        <v>1820419</v>
      </c>
    </row>
    <row r="1047" spans="1:23" x14ac:dyDescent="0.25">
      <c r="A1047" s="76">
        <v>3</v>
      </c>
      <c r="B1047" s="91" t="s">
        <v>54</v>
      </c>
      <c r="C1047" s="76">
        <v>1982</v>
      </c>
      <c r="D1047" s="76" t="str">
        <f t="shared" si="85"/>
        <v>A82S</v>
      </c>
      <c r="E1047" s="76" t="s">
        <v>1296</v>
      </c>
      <c r="F1047" s="89" t="s">
        <v>625</v>
      </c>
      <c r="G1047" s="90">
        <v>0.72826996551689982</v>
      </c>
      <c r="H1047" s="88">
        <v>35339</v>
      </c>
      <c r="I1047" s="88">
        <v>42261</v>
      </c>
      <c r="J1047" s="3">
        <f t="shared" si="84"/>
        <v>19</v>
      </c>
      <c r="K1047" s="10">
        <v>-6.7333333333333356E-2</v>
      </c>
      <c r="L1047" s="10">
        <v>-7.3268651722984246E-2</v>
      </c>
      <c r="M1047" s="10">
        <v>-7.3105298457411427E-2</v>
      </c>
      <c r="N1047" s="10">
        <v>-7.4446680080483052E-2</v>
      </c>
      <c r="O1047" s="10">
        <v>-6.8529607451763064E-2</v>
      </c>
      <c r="P1047" s="10">
        <v>-0.10127431254191976</v>
      </c>
      <c r="Q1047" s="10">
        <v>-0.38296445338698548</v>
      </c>
      <c r="R1047" s="10">
        <v>-1</v>
      </c>
      <c r="S1047" s="10">
        <v>-1</v>
      </c>
      <c r="T1047" s="10">
        <v>-1</v>
      </c>
      <c r="U1047" s="1">
        <v>8794</v>
      </c>
      <c r="W1047" s="1">
        <v>1883607</v>
      </c>
    </row>
    <row r="1048" spans="1:23" x14ac:dyDescent="0.25">
      <c r="A1048" s="76">
        <v>3</v>
      </c>
      <c r="B1048" s="91" t="s">
        <v>54</v>
      </c>
      <c r="C1048" s="76">
        <v>1982</v>
      </c>
      <c r="D1048" s="76" t="str">
        <f t="shared" si="85"/>
        <v>A82S</v>
      </c>
      <c r="E1048" s="76" t="s">
        <v>1296</v>
      </c>
      <c r="F1048" s="89" t="s">
        <v>626</v>
      </c>
      <c r="G1048" s="90">
        <v>0.4859804632280702</v>
      </c>
      <c r="H1048" s="88">
        <v>35901</v>
      </c>
      <c r="I1048" s="88">
        <v>38261</v>
      </c>
      <c r="J1048" s="3">
        <f t="shared" si="84"/>
        <v>6</v>
      </c>
      <c r="K1048" s="10">
        <v>6.6666666666668206E-3</v>
      </c>
      <c r="L1048" s="10">
        <v>9.7022415523582151E-3</v>
      </c>
      <c r="M1048" s="10">
        <v>8.7189805499663375E-3</v>
      </c>
      <c r="N1048" s="10">
        <v>-3.4205231388330315E-2</v>
      </c>
      <c r="O1048" s="10">
        <v>-9.5143047238854028E-2</v>
      </c>
      <c r="P1048" s="10">
        <v>-1</v>
      </c>
      <c r="Q1048" s="10">
        <v>-1</v>
      </c>
      <c r="R1048" s="10">
        <v>-0.98658618376927931</v>
      </c>
      <c r="S1048" s="10">
        <v>-1</v>
      </c>
      <c r="T1048" s="10">
        <v>-1</v>
      </c>
      <c r="U1048" s="1">
        <v>3037</v>
      </c>
      <c r="W1048" s="1">
        <v>2193337</v>
      </c>
    </row>
    <row r="1049" spans="1:23" x14ac:dyDescent="0.25">
      <c r="A1049" s="76">
        <v>3</v>
      </c>
      <c r="B1049" s="91" t="s">
        <v>54</v>
      </c>
      <c r="C1049" s="76">
        <v>1982</v>
      </c>
      <c r="D1049" s="76" t="str">
        <f t="shared" si="85"/>
        <v>A82S</v>
      </c>
      <c r="E1049" s="76" t="s">
        <v>1296</v>
      </c>
      <c r="F1049" s="89" t="s">
        <v>627</v>
      </c>
      <c r="G1049" s="90">
        <v>0.56856067288531087</v>
      </c>
      <c r="H1049" s="88">
        <v>36297</v>
      </c>
      <c r="I1049" s="88">
        <v>42257</v>
      </c>
      <c r="J1049" s="3">
        <f t="shared" si="84"/>
        <v>16</v>
      </c>
      <c r="K1049" s="10">
        <v>5.933333333333346E-2</v>
      </c>
      <c r="L1049" s="10">
        <v>5.3195048511207821E-2</v>
      </c>
      <c r="M1049" s="10">
        <v>4.3594902749832132E-2</v>
      </c>
      <c r="N1049" s="10">
        <v>1.2072434607645732E-2</v>
      </c>
      <c r="O1049" s="10">
        <v>-5.5222887558213807E-2</v>
      </c>
      <c r="P1049" s="10">
        <v>-0.7317236753856472</v>
      </c>
      <c r="Q1049" s="10">
        <v>-1</v>
      </c>
      <c r="R1049" s="10">
        <v>-1</v>
      </c>
      <c r="S1049" s="10">
        <v>-1</v>
      </c>
      <c r="T1049" s="10">
        <v>-1</v>
      </c>
      <c r="U1049" s="1">
        <v>5145</v>
      </c>
      <c r="W1049" s="1">
        <v>1829866</v>
      </c>
    </row>
    <row r="1050" spans="1:23" x14ac:dyDescent="0.25">
      <c r="A1050" s="76">
        <v>3</v>
      </c>
      <c r="B1050" s="91" t="s">
        <v>54</v>
      </c>
      <c r="C1050" s="76">
        <v>1982</v>
      </c>
      <c r="D1050" s="76" t="str">
        <f t="shared" si="85"/>
        <v>A82S</v>
      </c>
      <c r="E1050" s="76" t="s">
        <v>1296</v>
      </c>
      <c r="F1050" s="89" t="s">
        <v>628</v>
      </c>
      <c r="G1050" s="90">
        <v>0.81823233853353006</v>
      </c>
      <c r="H1050" s="88">
        <v>36249</v>
      </c>
      <c r="I1050" s="88">
        <v>42257</v>
      </c>
      <c r="J1050" s="3">
        <f t="shared" si="84"/>
        <v>16</v>
      </c>
      <c r="K1050" s="10">
        <v>3.4666666666666623E-2</v>
      </c>
      <c r="L1050" s="10">
        <v>2.843760455001676E-2</v>
      </c>
      <c r="M1050" s="10">
        <v>2.8169014084506783E-2</v>
      </c>
      <c r="N1050" s="10">
        <v>2.7498323272971081E-2</v>
      </c>
      <c r="O1050" s="10">
        <v>5.123087159014994E-2</v>
      </c>
      <c r="P1050" s="10">
        <v>6.0362173038230882E-3</v>
      </c>
      <c r="Q1050" s="10">
        <v>-0.27565392354125051</v>
      </c>
      <c r="R1050" s="10">
        <v>-0.98658618376927931</v>
      </c>
      <c r="S1050" s="10">
        <v>-1</v>
      </c>
      <c r="T1050" s="10">
        <v>-1</v>
      </c>
      <c r="U1050" s="1">
        <v>2879</v>
      </c>
      <c r="W1050" s="1">
        <v>1827618</v>
      </c>
    </row>
    <row r="1051" spans="1:23" x14ac:dyDescent="0.25">
      <c r="A1051" s="76">
        <v>3</v>
      </c>
      <c r="B1051" s="91" t="s">
        <v>54</v>
      </c>
      <c r="C1051" s="76">
        <v>1982</v>
      </c>
      <c r="D1051" s="76" t="str">
        <f t="shared" si="85"/>
        <v>A82S</v>
      </c>
      <c r="E1051" s="76" t="s">
        <v>1296</v>
      </c>
      <c r="F1051" s="89" t="s">
        <v>629</v>
      </c>
      <c r="G1051" s="90">
        <v>0.90716411996631197</v>
      </c>
      <c r="H1051" s="88">
        <v>34968</v>
      </c>
      <c r="I1051" s="88">
        <v>42261</v>
      </c>
      <c r="J1051" s="3">
        <f t="shared" si="84"/>
        <v>20</v>
      </c>
      <c r="K1051" s="10">
        <v>4.0666666666666629E-2</v>
      </c>
      <c r="L1051" s="10">
        <v>3.7136165941786592E-2</v>
      </c>
      <c r="M1051" s="10">
        <v>3.8229376257545189E-2</v>
      </c>
      <c r="N1051" s="10">
        <v>3.8229376257545189E-2</v>
      </c>
      <c r="O1051" s="10">
        <v>6.4537591483699197E-2</v>
      </c>
      <c r="P1051" s="10">
        <v>4.627766599597738E-2</v>
      </c>
      <c r="Q1051" s="10">
        <v>-7.3775989268939357E-3</v>
      </c>
      <c r="R1051" s="10">
        <v>-0.1951710261569416</v>
      </c>
      <c r="S1051" s="10">
        <v>-1</v>
      </c>
      <c r="T1051" s="10">
        <v>-1</v>
      </c>
      <c r="U1051" s="1">
        <v>7789</v>
      </c>
      <c r="W1051" s="1">
        <v>1832018</v>
      </c>
    </row>
    <row r="1052" spans="1:23" x14ac:dyDescent="0.25">
      <c r="A1052" s="76">
        <v>3</v>
      </c>
      <c r="B1052" s="91" t="s">
        <v>54</v>
      </c>
      <c r="C1052" s="76">
        <v>1982</v>
      </c>
      <c r="D1052" s="76" t="str">
        <f t="shared" si="85"/>
        <v>A82S</v>
      </c>
      <c r="E1052" s="76" t="s">
        <v>1296</v>
      </c>
      <c r="F1052" s="89" t="s">
        <v>630</v>
      </c>
      <c r="G1052" s="90">
        <v>3.4874555152941689E-4</v>
      </c>
      <c r="H1052" s="88">
        <v>35202</v>
      </c>
      <c r="I1052" s="88">
        <v>42261</v>
      </c>
      <c r="J1052" s="3">
        <f t="shared" si="84"/>
        <v>19</v>
      </c>
      <c r="K1052" s="10">
        <v>-0.99399999999999977</v>
      </c>
      <c r="L1052" s="10">
        <v>-0.99665439946470391</v>
      </c>
      <c r="M1052" s="10">
        <v>-0.9993293091884643</v>
      </c>
      <c r="N1052" s="10">
        <v>-1</v>
      </c>
      <c r="O1052" s="10">
        <v>-1</v>
      </c>
      <c r="P1052" s="10">
        <v>-1</v>
      </c>
      <c r="Q1052" s="10">
        <v>-1</v>
      </c>
      <c r="R1052" s="10">
        <v>-1</v>
      </c>
      <c r="S1052" s="10">
        <v>-1</v>
      </c>
      <c r="T1052" s="10">
        <v>-1</v>
      </c>
      <c r="U1052" s="1">
        <v>5382</v>
      </c>
      <c r="W1052" s="1">
        <v>1880373</v>
      </c>
    </row>
    <row r="1053" spans="1:23" x14ac:dyDescent="0.25">
      <c r="A1053" s="76">
        <v>3</v>
      </c>
      <c r="B1053" s="91" t="s">
        <v>54</v>
      </c>
      <c r="C1053" s="76">
        <v>1982</v>
      </c>
      <c r="D1053" s="76" t="str">
        <f t="shared" si="85"/>
        <v>A82S</v>
      </c>
      <c r="E1053" s="76" t="s">
        <v>1296</v>
      </c>
      <c r="F1053" s="89" t="s">
        <v>631</v>
      </c>
      <c r="G1053" s="90">
        <v>0.87867911642594376</v>
      </c>
      <c r="H1053" s="88">
        <v>35830</v>
      </c>
      <c r="I1053" s="88">
        <v>42257</v>
      </c>
      <c r="J1053" s="3">
        <f t="shared" si="84"/>
        <v>17</v>
      </c>
      <c r="K1053" s="10">
        <v>-6.6666666666681529E-4</v>
      </c>
      <c r="L1053" s="10">
        <v>-1.5724322515891176E-2</v>
      </c>
      <c r="M1053" s="10">
        <v>-1.9450033534540889E-2</v>
      </c>
      <c r="N1053" s="10">
        <v>-1.140174379610992E-2</v>
      </c>
      <c r="O1053" s="10">
        <v>1.1310711909509941E-2</v>
      </c>
      <c r="P1053" s="10">
        <v>1.9450033534543554E-2</v>
      </c>
      <c r="Q1053" s="10">
        <v>-7.3775989268975994E-3</v>
      </c>
      <c r="R1053" s="10">
        <v>-0.12810194500335348</v>
      </c>
      <c r="S1053" s="10">
        <v>-1</v>
      </c>
      <c r="T1053" s="10">
        <v>-1</v>
      </c>
      <c r="U1053" s="1">
        <v>3441</v>
      </c>
      <c r="W1053" s="1">
        <v>1821121</v>
      </c>
    </row>
    <row r="1054" spans="1:23" x14ac:dyDescent="0.25">
      <c r="A1054" s="76">
        <v>3</v>
      </c>
      <c r="B1054" s="91" t="s">
        <v>54</v>
      </c>
      <c r="C1054" s="76">
        <v>2007</v>
      </c>
      <c r="D1054" s="76" t="str">
        <f t="shared" si="85"/>
        <v>A07X</v>
      </c>
      <c r="E1054" s="76" t="s">
        <v>33</v>
      </c>
      <c r="F1054" s="89" t="s">
        <v>674</v>
      </c>
      <c r="G1054" s="78">
        <v>0.95065125413307117</v>
      </c>
      <c r="H1054" s="88">
        <v>39136</v>
      </c>
      <c r="I1054" s="88">
        <v>39136</v>
      </c>
      <c r="J1054" s="3" t="str">
        <f t="shared" si="84"/>
        <v/>
      </c>
      <c r="K1054" s="10">
        <v>-2.6455026455028952E-3</v>
      </c>
      <c r="L1054" s="10">
        <v>-6.1284305888619217E-3</v>
      </c>
      <c r="M1054" s="10">
        <v>-7.2057646116896468E-3</v>
      </c>
      <c r="N1054" s="10">
        <v>-6.281742849505112E-3</v>
      </c>
      <c r="O1054" s="10">
        <v>0</v>
      </c>
      <c r="P1054" s="10">
        <v>-5.0000000000011147E-3</v>
      </c>
      <c r="Q1054" s="10">
        <v>0</v>
      </c>
      <c r="R1054" s="10">
        <v>-6.4999999999997726E-2</v>
      </c>
      <c r="S1054" s="10">
        <v>-0.42000000000000459</v>
      </c>
      <c r="T1054" s="10">
        <v>-1</v>
      </c>
      <c r="U1054" s="1" t="s">
        <v>1116</v>
      </c>
      <c r="W1054" s="1">
        <v>1587927</v>
      </c>
    </row>
    <row r="1055" spans="1:23" x14ac:dyDescent="0.25">
      <c r="A1055" s="76">
        <v>3</v>
      </c>
      <c r="B1055" s="76" t="s">
        <v>54</v>
      </c>
      <c r="C1055" s="91">
        <v>2007</v>
      </c>
      <c r="D1055" s="76" t="str">
        <f t="shared" si="85"/>
        <v>A07X</v>
      </c>
      <c r="E1055" s="76" t="s">
        <v>33</v>
      </c>
      <c r="F1055" s="89" t="s">
        <v>675</v>
      </c>
      <c r="G1055" s="78">
        <v>0.92198508140921231</v>
      </c>
      <c r="H1055" s="88">
        <v>39136</v>
      </c>
      <c r="I1055" s="88">
        <v>39136</v>
      </c>
      <c r="J1055" s="3" t="str">
        <f t="shared" si="84"/>
        <v/>
      </c>
      <c r="K1055" s="10">
        <v>1.8518518518518601E-2</v>
      </c>
      <c r="L1055" s="10">
        <v>1.252331468158796E-2</v>
      </c>
      <c r="M1055" s="10">
        <v>1.3477448625567767E-2</v>
      </c>
      <c r="N1055" s="10">
        <v>1.1093290564020197E-2</v>
      </c>
      <c r="O1055" s="10">
        <v>9.9999999999966782E-3</v>
      </c>
      <c r="P1055" s="10">
        <v>0</v>
      </c>
      <c r="Q1055" s="10">
        <v>-1.4999999999997682E-2</v>
      </c>
      <c r="R1055" s="10">
        <v>-8.5000000000002296E-2</v>
      </c>
      <c r="S1055" s="10">
        <v>-0.99749999999999661</v>
      </c>
      <c r="T1055" s="10">
        <v>-1</v>
      </c>
      <c r="U1055" s="1" t="s">
        <v>1116</v>
      </c>
      <c r="W1055" s="1">
        <v>1588079</v>
      </c>
    </row>
    <row r="1056" spans="1:23" x14ac:dyDescent="0.25">
      <c r="A1056" s="76">
        <v>3</v>
      </c>
      <c r="B1056" s="76" t="s">
        <v>54</v>
      </c>
      <c r="C1056" s="91">
        <v>2007</v>
      </c>
      <c r="D1056" s="76" t="str">
        <f>LEFT(F1056,4)</f>
        <v>A07X</v>
      </c>
      <c r="E1056" s="76" t="s">
        <v>33</v>
      </c>
      <c r="F1056" s="89" t="s">
        <v>681</v>
      </c>
      <c r="G1056" s="78">
        <v>0.9414148750504675</v>
      </c>
      <c r="H1056" s="88">
        <v>39157</v>
      </c>
      <c r="I1056" s="88">
        <v>39157</v>
      </c>
      <c r="J1056" s="3" t="str">
        <f t="shared" si="84"/>
        <v/>
      </c>
      <c r="K1056" s="10">
        <v>-2.6809651474533069E-3</v>
      </c>
      <c r="L1056" s="10">
        <v>-3.7899296155928797E-3</v>
      </c>
      <c r="M1056" s="10">
        <v>-3.387533875338522E-3</v>
      </c>
      <c r="N1056" s="10">
        <v>6.765899864680236E-4</v>
      </c>
      <c r="O1056" s="10">
        <v>4.5000000000001705E-2</v>
      </c>
      <c r="P1056" s="10">
        <v>1.2499999999999956E-2</v>
      </c>
      <c r="Q1056" s="10">
        <v>2.999999999999825E-2</v>
      </c>
      <c r="R1056" s="10">
        <v>2.5000000000006128E-3</v>
      </c>
      <c r="S1056" s="10">
        <v>-0.99000000000000055</v>
      </c>
      <c r="T1056" s="10">
        <v>-1</v>
      </c>
      <c r="U1056" s="1" t="s">
        <v>1116</v>
      </c>
      <c r="W1056" s="1">
        <v>1855174</v>
      </c>
    </row>
    <row r="1057" spans="1:23" x14ac:dyDescent="0.25">
      <c r="A1057" s="76">
        <v>3</v>
      </c>
      <c r="B1057" s="76" t="s">
        <v>54</v>
      </c>
      <c r="C1057" s="91">
        <v>2007</v>
      </c>
      <c r="D1057" s="76" t="str">
        <f>LEFT(F1057,4)</f>
        <v>A07X</v>
      </c>
      <c r="E1057" s="76" t="s">
        <v>33</v>
      </c>
      <c r="F1057" s="89" t="s">
        <v>685</v>
      </c>
      <c r="G1057" s="78">
        <v>0.9548732164828142</v>
      </c>
      <c r="H1057" s="88">
        <v>39156</v>
      </c>
      <c r="I1057" s="88">
        <v>39156</v>
      </c>
      <c r="J1057" s="3" t="str">
        <f t="shared" si="84"/>
        <v/>
      </c>
      <c r="K1057" s="10">
        <v>-1.3404825737266535E-3</v>
      </c>
      <c r="L1057" s="10">
        <v>-3.7899296155924356E-3</v>
      </c>
      <c r="M1057" s="10">
        <v>9.4850948509486166E-3</v>
      </c>
      <c r="N1057" s="10">
        <v>-1.3531799729362692E-3</v>
      </c>
      <c r="O1057" s="10">
        <v>-3.0000000000001137E-2</v>
      </c>
      <c r="P1057" s="10">
        <v>2.5000000000006128E-3</v>
      </c>
      <c r="Q1057" s="10">
        <v>7.4999999999989519E-3</v>
      </c>
      <c r="R1057" s="10">
        <v>-8.4999999999999409E-2</v>
      </c>
      <c r="S1057" s="10">
        <v>-0.28000000000000114</v>
      </c>
      <c r="T1057" s="10">
        <v>-1</v>
      </c>
      <c r="U1057" s="1" t="s">
        <v>1116</v>
      </c>
      <c r="W1057" s="35">
        <v>1855735</v>
      </c>
    </row>
    <row r="1058" spans="1:23" x14ac:dyDescent="0.25">
      <c r="A1058" s="76">
        <v>3</v>
      </c>
      <c r="B1058" s="76" t="s">
        <v>54</v>
      </c>
      <c r="C1058" s="91">
        <v>2007</v>
      </c>
      <c r="D1058" s="76" t="str">
        <f>LEFT(F1058,4)</f>
        <v>A07X</v>
      </c>
      <c r="E1058" s="76" t="s">
        <v>33</v>
      </c>
      <c r="F1058" s="89" t="s">
        <v>686</v>
      </c>
      <c r="G1058" s="78">
        <v>0.93975291796900706</v>
      </c>
      <c r="H1058" s="88">
        <v>39136</v>
      </c>
      <c r="I1058" s="88">
        <v>39136</v>
      </c>
      <c r="J1058" s="3" t="str">
        <f t="shared" si="84"/>
        <v/>
      </c>
      <c r="K1058" s="10">
        <v>1.0053619302949457E-2</v>
      </c>
      <c r="L1058" s="10">
        <v>6.3616675690312263E-3</v>
      </c>
      <c r="M1058" s="10">
        <v>8.8075880758797798E-3</v>
      </c>
      <c r="N1058" s="10">
        <v>1.3531799729365135E-2</v>
      </c>
      <c r="O1058" s="10">
        <v>5.0000000000000044E-2</v>
      </c>
      <c r="P1058" s="10">
        <v>1.7499999999995408E-2</v>
      </c>
      <c r="Q1058" s="10">
        <v>1.0000000000002229E-2</v>
      </c>
      <c r="R1058" s="10">
        <v>-5.5000000000001159E-2</v>
      </c>
      <c r="S1058" s="10">
        <v>-0.99749999999999661</v>
      </c>
      <c r="T1058" s="10">
        <v>-1</v>
      </c>
      <c r="U1058" s="1" t="s">
        <v>1116</v>
      </c>
      <c r="W1058" s="1">
        <v>1587961</v>
      </c>
    </row>
    <row r="1059" spans="1:23" x14ac:dyDescent="0.25">
      <c r="A1059" s="76">
        <v>3</v>
      </c>
      <c r="B1059" s="76" t="s">
        <v>54</v>
      </c>
      <c r="C1059" s="91">
        <v>2007</v>
      </c>
      <c r="D1059" s="76" t="str">
        <f>LEFT(F1059,4)</f>
        <v>A07X</v>
      </c>
      <c r="E1059" s="76" t="s">
        <v>33</v>
      </c>
      <c r="F1059" s="89" t="s">
        <v>687</v>
      </c>
      <c r="G1059" s="78">
        <v>0.93026896278342375</v>
      </c>
      <c r="H1059" s="88">
        <v>42152</v>
      </c>
      <c r="I1059" s="88">
        <v>42152</v>
      </c>
      <c r="J1059" s="3" t="str">
        <f t="shared" si="84"/>
        <v/>
      </c>
      <c r="K1059" s="10">
        <v>1.0723860589812118E-2</v>
      </c>
      <c r="L1059" s="10">
        <v>1.1775852734163594E-2</v>
      </c>
      <c r="M1059" s="10">
        <v>1.2195121951218635E-2</v>
      </c>
      <c r="N1059" s="10">
        <v>1.4208389715832714E-2</v>
      </c>
      <c r="O1059" s="10">
        <v>4.2500000000001092E-2</v>
      </c>
      <c r="P1059" s="10">
        <v>7.4999999999989519E-3</v>
      </c>
      <c r="Q1059" s="10">
        <v>-1.2499999999999956E-2</v>
      </c>
      <c r="R1059" s="10">
        <v>-9.9999999999999978E-2</v>
      </c>
      <c r="S1059" s="10">
        <v>-0.99750000000000227</v>
      </c>
      <c r="T1059" s="10">
        <v>-1</v>
      </c>
      <c r="U1059" s="1">
        <v>5016</v>
      </c>
      <c r="W1059" s="1">
        <v>1630954</v>
      </c>
    </row>
    <row r="1060" spans="1:23" x14ac:dyDescent="0.25">
      <c r="A1060" s="76">
        <v>3</v>
      </c>
      <c r="B1060" s="76" t="s">
        <v>54</v>
      </c>
      <c r="C1060" s="91">
        <v>2007</v>
      </c>
      <c r="D1060" s="76" t="str">
        <f>LEFT(F1060,4)</f>
        <v>A07X</v>
      </c>
      <c r="E1060" s="76" t="s">
        <v>33</v>
      </c>
      <c r="F1060" s="89" t="s">
        <v>697</v>
      </c>
      <c r="G1060" s="78">
        <v>0.97881383726317628</v>
      </c>
      <c r="H1060" s="88">
        <v>42180</v>
      </c>
      <c r="I1060" s="88">
        <v>42180</v>
      </c>
      <c r="J1060" s="3" t="str">
        <f t="shared" si="84"/>
        <v/>
      </c>
      <c r="K1060" s="10">
        <v>2.9617662897138963E-3</v>
      </c>
      <c r="L1060" s="10">
        <v>1.6242555495398214E-3</v>
      </c>
      <c r="M1060" s="10">
        <v>4.0650406504065817E-3</v>
      </c>
      <c r="N1060" s="10">
        <v>4.7425474254740863E-3</v>
      </c>
      <c r="O1060" s="10">
        <v>9.9999999999993427E-3</v>
      </c>
      <c r="P1060" s="10">
        <v>2.5000000000006128E-3</v>
      </c>
      <c r="Q1060" s="10">
        <v>4.9999999999983391E-3</v>
      </c>
      <c r="R1060" s="10">
        <v>4.5000000000001705E-2</v>
      </c>
      <c r="S1060" s="10">
        <v>-0.19749999999999945</v>
      </c>
      <c r="T1060" s="10">
        <v>-1</v>
      </c>
      <c r="U1060" s="1">
        <v>4488</v>
      </c>
      <c r="W1060" s="1">
        <v>1846132</v>
      </c>
    </row>
    <row r="1061" spans="1:23" x14ac:dyDescent="0.25">
      <c r="A1061" s="76">
        <v>3</v>
      </c>
      <c r="B1061" s="76" t="s">
        <v>54</v>
      </c>
      <c r="C1061" s="91">
        <v>2007</v>
      </c>
      <c r="D1061" s="76" t="str">
        <f t="shared" ref="D1061:D1077" si="86">LEFT(F1061,4)</f>
        <v>A07X</v>
      </c>
      <c r="E1061" s="76" t="s">
        <v>33</v>
      </c>
      <c r="F1061" s="89" t="s">
        <v>710</v>
      </c>
      <c r="G1061" s="78">
        <v>0.96250207209527872</v>
      </c>
      <c r="H1061" s="88">
        <v>39169</v>
      </c>
      <c r="I1061" s="88">
        <v>39169</v>
      </c>
      <c r="J1061" s="3" t="str">
        <f t="shared" si="84"/>
        <v/>
      </c>
      <c r="K1061" s="10">
        <v>3.3783783783782884E-3</v>
      </c>
      <c r="L1061" s="10">
        <v>-2.1088435374149617E-2</v>
      </c>
      <c r="M1061" s="10">
        <v>-1.0847457627118806E-2</v>
      </c>
      <c r="N1061" s="10">
        <v>-7.4525745257448817E-3</v>
      </c>
      <c r="O1061" s="10">
        <v>7.4999999999989519E-3</v>
      </c>
      <c r="P1061" s="10">
        <v>1.2499999999999956E-2</v>
      </c>
      <c r="Q1061" s="10">
        <v>-5.0000000000011147E-3</v>
      </c>
      <c r="R1061" s="10">
        <v>-3.2499999999998863E-2</v>
      </c>
      <c r="S1061" s="10">
        <v>-0.33000000000000118</v>
      </c>
      <c r="T1061" s="10">
        <v>-1</v>
      </c>
      <c r="U1061" s="1" t="s">
        <v>1116</v>
      </c>
      <c r="W1061" s="1">
        <v>2053811</v>
      </c>
    </row>
    <row r="1062" spans="1:23" x14ac:dyDescent="0.25">
      <c r="A1062" s="76">
        <v>3</v>
      </c>
      <c r="B1062" s="76" t="s">
        <v>54</v>
      </c>
      <c r="C1062" s="91">
        <v>2007</v>
      </c>
      <c r="D1062" s="76" t="str">
        <f t="shared" si="86"/>
        <v>A07X</v>
      </c>
      <c r="E1062" s="76" t="s">
        <v>33</v>
      </c>
      <c r="F1062" s="89" t="s">
        <v>711</v>
      </c>
      <c r="G1062" s="78">
        <v>0.87674038432261714</v>
      </c>
      <c r="H1062" s="88">
        <v>42137</v>
      </c>
      <c r="I1062" s="88">
        <v>42137</v>
      </c>
      <c r="J1062" s="3" t="str">
        <f t="shared" si="84"/>
        <v/>
      </c>
      <c r="K1062" s="10">
        <v>8.7837837837849708E-3</v>
      </c>
      <c r="L1062" s="10">
        <v>1.0204081632652517E-2</v>
      </c>
      <c r="M1062" s="10">
        <v>4.0677966101694274E-3</v>
      </c>
      <c r="N1062" s="10">
        <v>8.1300813008131634E-3</v>
      </c>
      <c r="O1062" s="10">
        <v>2.4999999999999911E-2</v>
      </c>
      <c r="P1062" s="10">
        <v>2.4999999999999911E-2</v>
      </c>
      <c r="Q1062" s="10">
        <v>-5.4999999999999716E-2</v>
      </c>
      <c r="R1062" s="10">
        <v>-0.75</v>
      </c>
      <c r="S1062" s="10">
        <v>-0.99500000000000166</v>
      </c>
      <c r="T1062" s="10">
        <v>-1</v>
      </c>
      <c r="U1062" s="1">
        <v>5679</v>
      </c>
      <c r="W1062" s="1">
        <v>451983</v>
      </c>
    </row>
    <row r="1063" spans="1:23" x14ac:dyDescent="0.25">
      <c r="A1063" s="76">
        <v>3</v>
      </c>
      <c r="B1063" s="76" t="s">
        <v>54</v>
      </c>
      <c r="C1063" s="91">
        <v>2007</v>
      </c>
      <c r="D1063" s="76" t="str">
        <f t="shared" si="86"/>
        <v>A07X</v>
      </c>
      <c r="E1063" s="76" t="s">
        <v>33</v>
      </c>
      <c r="F1063" s="89" t="s">
        <v>712</v>
      </c>
      <c r="G1063" s="78">
        <v>0.62988410465891431</v>
      </c>
      <c r="H1063" s="88">
        <v>39637</v>
      </c>
      <c r="I1063" s="88">
        <v>39637</v>
      </c>
      <c r="J1063" s="3" t="str">
        <f t="shared" si="84"/>
        <v/>
      </c>
      <c r="K1063" s="10">
        <v>-5.4054054054051281E-3</v>
      </c>
      <c r="L1063" s="10">
        <v>3.4013605442175798E-3</v>
      </c>
      <c r="M1063" s="10">
        <v>0</v>
      </c>
      <c r="N1063" s="10">
        <v>-1.0840108401083959E-2</v>
      </c>
      <c r="O1063" s="10">
        <v>-9.4999999999998863E-2</v>
      </c>
      <c r="P1063" s="10">
        <v>-0.3200000000000045</v>
      </c>
      <c r="Q1063" s="10">
        <v>-0.99749999999999661</v>
      </c>
      <c r="R1063" s="10">
        <v>-0.99750000000000227</v>
      </c>
      <c r="S1063" s="10">
        <v>-0.99499999999999889</v>
      </c>
      <c r="T1063" s="10">
        <v>-1</v>
      </c>
      <c r="U1063" s="1" t="s">
        <v>1116</v>
      </c>
      <c r="W1063" s="1">
        <v>24333</v>
      </c>
    </row>
    <row r="1064" spans="1:23" x14ac:dyDescent="0.25">
      <c r="A1064" s="76">
        <v>3</v>
      </c>
      <c r="B1064" s="76" t="s">
        <v>54</v>
      </c>
      <c r="C1064" s="91">
        <v>2007</v>
      </c>
      <c r="D1064" s="76" t="str">
        <f t="shared" si="86"/>
        <v>A07X</v>
      </c>
      <c r="E1064" s="76" t="s">
        <v>33</v>
      </c>
      <c r="F1064" s="89" t="s">
        <v>713</v>
      </c>
      <c r="G1064" s="78">
        <v>0.94683964767486595</v>
      </c>
      <c r="H1064" s="88">
        <v>42137</v>
      </c>
      <c r="I1064" s="88">
        <v>42137</v>
      </c>
      <c r="J1064" s="3" t="str">
        <f t="shared" si="84"/>
        <v/>
      </c>
      <c r="K1064" s="10">
        <v>6.7567567567583531E-4</v>
      </c>
      <c r="L1064" s="10">
        <v>1.6326530612245538E-2</v>
      </c>
      <c r="M1064" s="10">
        <v>-4.745762711864665E-3</v>
      </c>
      <c r="N1064" s="10">
        <v>8.1300813008127193E-3</v>
      </c>
      <c r="O1064" s="10">
        <v>0</v>
      </c>
      <c r="P1064" s="10">
        <v>-1.7500000000001181E-2</v>
      </c>
      <c r="Q1064" s="10">
        <v>-5.0000000000011147E-3</v>
      </c>
      <c r="R1064" s="10">
        <v>-5.0000000000000044E-2</v>
      </c>
      <c r="S1064" s="10">
        <v>-0.4924999999999955</v>
      </c>
      <c r="T1064" s="10">
        <v>-1</v>
      </c>
      <c r="U1064" s="1">
        <v>5570</v>
      </c>
      <c r="W1064" s="1">
        <v>394181</v>
      </c>
    </row>
    <row r="1065" spans="1:23" x14ac:dyDescent="0.25">
      <c r="A1065" s="76">
        <v>3</v>
      </c>
      <c r="B1065" s="76" t="s">
        <v>54</v>
      </c>
      <c r="C1065" s="91">
        <v>2007</v>
      </c>
      <c r="D1065" s="76" t="str">
        <f t="shared" si="86"/>
        <v>A07X</v>
      </c>
      <c r="E1065" s="76" t="s">
        <v>33</v>
      </c>
      <c r="F1065" s="89" t="s">
        <v>714</v>
      </c>
      <c r="G1065" s="78">
        <v>0</v>
      </c>
      <c r="H1065" s="88">
        <v>42153</v>
      </c>
      <c r="I1065" s="88">
        <v>42153</v>
      </c>
      <c r="J1065" s="3" t="str">
        <f t="shared" si="84"/>
        <v/>
      </c>
      <c r="K1065" s="10">
        <v>-1</v>
      </c>
      <c r="L1065" s="10">
        <v>-1</v>
      </c>
      <c r="M1065" s="10">
        <v>-1</v>
      </c>
      <c r="N1065" s="10">
        <v>-1</v>
      </c>
      <c r="O1065" s="10">
        <v>-1</v>
      </c>
      <c r="P1065" s="10">
        <v>-1</v>
      </c>
      <c r="Q1065" s="10">
        <v>-1</v>
      </c>
      <c r="R1065" s="10">
        <v>-1</v>
      </c>
      <c r="S1065" s="10">
        <v>-1</v>
      </c>
      <c r="T1065" s="10">
        <v>-1</v>
      </c>
      <c r="U1065" s="1">
        <v>6290</v>
      </c>
      <c r="W1065" s="1">
        <v>122505</v>
      </c>
    </row>
    <row r="1066" spans="1:23" x14ac:dyDescent="0.25">
      <c r="A1066" s="76">
        <v>3</v>
      </c>
      <c r="B1066" s="76" t="s">
        <v>54</v>
      </c>
      <c r="C1066" s="91">
        <v>2007</v>
      </c>
      <c r="D1066" s="76" t="str">
        <f t="shared" si="86"/>
        <v>A07X</v>
      </c>
      <c r="E1066" s="76" t="s">
        <v>33</v>
      </c>
      <c r="F1066" s="89" t="s">
        <v>715</v>
      </c>
      <c r="G1066" s="78">
        <v>0.86237960946582648</v>
      </c>
      <c r="H1066" s="88">
        <v>39198</v>
      </c>
      <c r="I1066" s="88">
        <v>39198</v>
      </c>
      <c r="J1066" s="3" t="str">
        <f t="shared" si="84"/>
        <v/>
      </c>
      <c r="K1066" s="10">
        <v>-7.432432432432412E-3</v>
      </c>
      <c r="L1066" s="10">
        <v>9.5238095238092679E-3</v>
      </c>
      <c r="M1066" s="10">
        <v>1.3559322033900312E-3</v>
      </c>
      <c r="N1066" s="10">
        <v>1.7615176151761114E-2</v>
      </c>
      <c r="O1066" s="10">
        <v>2.4999999999999911E-2</v>
      </c>
      <c r="P1066" s="10">
        <v>2.0000000000001794E-2</v>
      </c>
      <c r="Q1066" s="10">
        <v>-0.21500000000000052</v>
      </c>
      <c r="R1066" s="10">
        <v>-0.65749999999999886</v>
      </c>
      <c r="S1066" s="10">
        <v>-0.99500000000000166</v>
      </c>
      <c r="T1066" s="10">
        <v>-1</v>
      </c>
      <c r="U1066" s="1" t="s">
        <v>1116</v>
      </c>
      <c r="W1066" s="1">
        <v>2926008</v>
      </c>
    </row>
    <row r="1067" spans="1:23" x14ac:dyDescent="0.25">
      <c r="A1067" s="76">
        <v>3</v>
      </c>
      <c r="B1067" s="76" t="s">
        <v>54</v>
      </c>
      <c r="C1067" s="91">
        <v>2007</v>
      </c>
      <c r="D1067" s="76" t="str">
        <f t="shared" si="86"/>
        <v>A07X</v>
      </c>
      <c r="E1067" s="76" t="s">
        <v>33</v>
      </c>
      <c r="F1067" s="89" t="s">
        <v>716</v>
      </c>
      <c r="G1067" s="78">
        <v>0.88464959185505132</v>
      </c>
      <c r="H1067" s="88">
        <v>42139</v>
      </c>
      <c r="I1067" s="88">
        <v>42139</v>
      </c>
      <c r="J1067" s="3" t="str">
        <f t="shared" si="84"/>
        <v/>
      </c>
      <c r="K1067" s="10">
        <v>-6.7567567567567988E-3</v>
      </c>
      <c r="L1067" s="10">
        <v>1.7687074829931371E-2</v>
      </c>
      <c r="M1067" s="10">
        <v>1.1525423728813822E-2</v>
      </c>
      <c r="N1067" s="10">
        <v>2.032520325203846E-3</v>
      </c>
      <c r="O1067" s="10">
        <v>9.9999999999966782E-3</v>
      </c>
      <c r="P1067" s="10">
        <v>1.2499999999999956E-2</v>
      </c>
      <c r="Q1067" s="10">
        <v>-3.7499999999999978E-2</v>
      </c>
      <c r="R1067" s="10">
        <v>-0.58249999999999891</v>
      </c>
      <c r="S1067" s="10">
        <v>-0.99250000000000116</v>
      </c>
      <c r="T1067" s="10">
        <v>-1</v>
      </c>
      <c r="U1067" s="1">
        <v>6118</v>
      </c>
      <c r="W1067" s="1">
        <v>3355128</v>
      </c>
    </row>
    <row r="1068" spans="1:23" x14ac:dyDescent="0.25">
      <c r="A1068" s="76">
        <v>3</v>
      </c>
      <c r="B1068" s="76" t="s">
        <v>54</v>
      </c>
      <c r="C1068" s="91">
        <v>2007</v>
      </c>
      <c r="D1068" s="76" t="str">
        <f t="shared" si="86"/>
        <v>A07X</v>
      </c>
      <c r="E1068" s="76" t="s">
        <v>33</v>
      </c>
      <c r="F1068" s="89" t="s">
        <v>717</v>
      </c>
      <c r="G1068" s="78">
        <v>0.96544861992559716</v>
      </c>
      <c r="H1068" s="88">
        <v>39197</v>
      </c>
      <c r="I1068" s="88">
        <v>39197</v>
      </c>
      <c r="J1068" s="3" t="str">
        <f t="shared" si="84"/>
        <v/>
      </c>
      <c r="K1068" s="10">
        <v>-1.3513513513501163E-3</v>
      </c>
      <c r="L1068" s="10">
        <v>-1.2244897959184931E-2</v>
      </c>
      <c r="M1068" s="10">
        <v>-8.8135593220335373E-3</v>
      </c>
      <c r="N1068" s="10">
        <v>-4.0650406504064707E-3</v>
      </c>
      <c r="O1068" s="10">
        <v>7.4999999999989519E-3</v>
      </c>
      <c r="P1068" s="10">
        <v>1.5000000000003455E-2</v>
      </c>
      <c r="Q1068" s="10">
        <v>-7.4999999999988409E-3</v>
      </c>
      <c r="R1068" s="10">
        <v>-2.5000000000000022E-2</v>
      </c>
      <c r="S1068" s="10">
        <v>-0.30750000000000455</v>
      </c>
      <c r="T1068" s="10">
        <v>-1</v>
      </c>
      <c r="U1068" s="1" t="s">
        <v>1116</v>
      </c>
      <c r="W1068" s="1">
        <v>2726882</v>
      </c>
    </row>
    <row r="1069" spans="1:23" x14ac:dyDescent="0.25">
      <c r="A1069" s="76">
        <v>3</v>
      </c>
      <c r="B1069" s="76" t="s">
        <v>54</v>
      </c>
      <c r="C1069" s="91">
        <v>2007</v>
      </c>
      <c r="D1069" s="76" t="str">
        <f t="shared" si="86"/>
        <v>A07X</v>
      </c>
      <c r="E1069" s="76" t="s">
        <v>33</v>
      </c>
      <c r="F1069" s="89" t="s">
        <v>718</v>
      </c>
      <c r="G1069" s="78">
        <v>0.86424090461389036</v>
      </c>
      <c r="H1069" s="88">
        <v>42152</v>
      </c>
      <c r="I1069" s="88">
        <v>42152</v>
      </c>
      <c r="J1069" s="3" t="str">
        <f t="shared" si="84"/>
        <v/>
      </c>
      <c r="K1069" s="10">
        <v>8.1081081081091355E-3</v>
      </c>
      <c r="L1069" s="10">
        <v>6.8027210884353817E-3</v>
      </c>
      <c r="M1069" s="10">
        <v>2.2372881355932295E-2</v>
      </c>
      <c r="N1069" s="10">
        <v>2.9132791327913132E-2</v>
      </c>
      <c r="O1069" s="10">
        <v>-1.5000000000000568E-2</v>
      </c>
      <c r="P1069" s="10">
        <v>-3.7499999999999978E-2</v>
      </c>
      <c r="Q1069" s="10">
        <v>-0.22249999999999948</v>
      </c>
      <c r="R1069" s="10">
        <v>-0.4</v>
      </c>
      <c r="S1069" s="10">
        <v>-0.92249999999999943</v>
      </c>
      <c r="T1069" s="10">
        <v>-1</v>
      </c>
      <c r="U1069" s="1" t="s">
        <v>1116</v>
      </c>
      <c r="W1069" s="1">
        <v>1661264</v>
      </c>
    </row>
    <row r="1070" spans="1:23" x14ac:dyDescent="0.25">
      <c r="A1070" s="76">
        <v>3</v>
      </c>
      <c r="B1070" s="76" t="s">
        <v>54</v>
      </c>
      <c r="C1070" s="91">
        <v>2007</v>
      </c>
      <c r="D1070" s="76" t="str">
        <f t="shared" si="86"/>
        <v>A07X</v>
      </c>
      <c r="E1070" s="76" t="s">
        <v>33</v>
      </c>
      <c r="F1070" s="89" t="s">
        <v>719</v>
      </c>
      <c r="G1070" s="78">
        <v>0.93802611647751177</v>
      </c>
      <c r="H1070" s="88">
        <v>42149</v>
      </c>
      <c r="I1070" s="88">
        <v>42149</v>
      </c>
      <c r="J1070" s="3" t="str">
        <f t="shared" si="84"/>
        <v/>
      </c>
      <c r="K1070" s="10">
        <v>6.0810810810816296E-3</v>
      </c>
      <c r="L1070" s="10">
        <v>5.4421768707479945E-3</v>
      </c>
      <c r="M1070" s="10">
        <v>8.1355932203392989E-3</v>
      </c>
      <c r="N1070" s="10">
        <v>-5.5511151231257827E-16</v>
      </c>
      <c r="O1070" s="10">
        <v>5.7499999999998774E-2</v>
      </c>
      <c r="P1070" s="10">
        <v>2.750000000000119E-2</v>
      </c>
      <c r="Q1070" s="10">
        <v>-1.7499999999999849E-2</v>
      </c>
      <c r="R1070" s="10">
        <v>-7.7500000000000235E-2</v>
      </c>
      <c r="S1070" s="10">
        <v>-0.98999999999999988</v>
      </c>
      <c r="T1070" s="10">
        <v>-1</v>
      </c>
      <c r="U1070" s="1">
        <v>3860</v>
      </c>
      <c r="W1070" s="1">
        <v>2182238</v>
      </c>
    </row>
    <row r="1071" spans="1:23" x14ac:dyDescent="0.25">
      <c r="A1071" s="76">
        <v>3</v>
      </c>
      <c r="B1071" s="76" t="s">
        <v>54</v>
      </c>
      <c r="C1071" s="91">
        <v>2007</v>
      </c>
      <c r="D1071" s="76" t="str">
        <f t="shared" ref="D1071:D1076" si="87">LEFT(F1071,4)</f>
        <v>A07X</v>
      </c>
      <c r="E1071" s="76" t="s">
        <v>33</v>
      </c>
      <c r="F1071" s="89" t="s">
        <v>1083</v>
      </c>
      <c r="G1071" s="78">
        <v>0.9209893638589316</v>
      </c>
      <c r="H1071" s="88">
        <v>39192</v>
      </c>
      <c r="I1071" s="29"/>
      <c r="J1071" s="3">
        <f t="shared" si="84"/>
        <v>-107</v>
      </c>
      <c r="K1071" s="10">
        <v>-4.6296296296295392E-3</v>
      </c>
      <c r="L1071" s="10">
        <v>8.6898395721917154E-3</v>
      </c>
      <c r="M1071" s="10">
        <v>-1.2709030100333529E-2</v>
      </c>
      <c r="N1071" s="10">
        <v>4.0133779264213132E-3</v>
      </c>
      <c r="O1071" s="10">
        <v>7.5000000000002842E-3</v>
      </c>
      <c r="P1071" s="10">
        <v>1.7499999999999627E-2</v>
      </c>
      <c r="Q1071" s="10">
        <v>-2.5000000000000022E-2</v>
      </c>
      <c r="R1071" s="10">
        <v>-8.7500000000000022E-2</v>
      </c>
      <c r="S1071" s="10">
        <v>-0.99000000000000055</v>
      </c>
      <c r="T1071" s="10">
        <v>-1</v>
      </c>
      <c r="U1071" s="1" t="s">
        <v>1116</v>
      </c>
      <c r="W1071" s="1">
        <v>2040026</v>
      </c>
    </row>
    <row r="1072" spans="1:23" x14ac:dyDescent="0.25">
      <c r="A1072" s="76">
        <v>3</v>
      </c>
      <c r="B1072" s="76" t="s">
        <v>54</v>
      </c>
      <c r="C1072" s="91">
        <v>2007</v>
      </c>
      <c r="D1072" s="76" t="str">
        <f t="shared" si="87"/>
        <v>A07X</v>
      </c>
      <c r="E1072" s="76" t="s">
        <v>33</v>
      </c>
      <c r="F1072" s="89" t="s">
        <v>1084</v>
      </c>
      <c r="G1072" s="78">
        <v>0.94329091926367237</v>
      </c>
      <c r="H1072" s="88">
        <v>42137</v>
      </c>
      <c r="I1072" s="88">
        <v>42137</v>
      </c>
      <c r="J1072" s="3" t="str">
        <f t="shared" si="84"/>
        <v/>
      </c>
      <c r="K1072" s="10">
        <v>-2.0502645502645245E-2</v>
      </c>
      <c r="L1072" s="10">
        <v>-2.6737967914435279E-3</v>
      </c>
      <c r="M1072" s="10">
        <v>-7.3578595317734807E-3</v>
      </c>
      <c r="N1072" s="10">
        <v>-6.6889632107023367E-3</v>
      </c>
      <c r="O1072" s="10">
        <v>-2.4999999999977263E-3</v>
      </c>
      <c r="P1072" s="10">
        <v>1.2499999999999956E-2</v>
      </c>
      <c r="Q1072" s="10">
        <v>-7.4999999999988409E-3</v>
      </c>
      <c r="R1072" s="10">
        <v>-7.4999999999988409E-3</v>
      </c>
      <c r="S1072" s="10">
        <v>-0.65250000000000341</v>
      </c>
      <c r="T1072" s="10">
        <v>-1</v>
      </c>
      <c r="U1072" s="1">
        <v>3993</v>
      </c>
      <c r="W1072" s="1">
        <v>408931</v>
      </c>
    </row>
    <row r="1073" spans="1:23" x14ac:dyDescent="0.25">
      <c r="A1073" s="76">
        <v>3</v>
      </c>
      <c r="B1073" s="76" t="s">
        <v>54</v>
      </c>
      <c r="C1073" s="91">
        <v>2007</v>
      </c>
      <c r="D1073" s="76" t="str">
        <f t="shared" si="87"/>
        <v>A07X</v>
      </c>
      <c r="E1073" s="76" t="s">
        <v>33</v>
      </c>
      <c r="F1073" s="89" t="s">
        <v>1085</v>
      </c>
      <c r="G1073" s="78">
        <v>0.93389359696718444</v>
      </c>
      <c r="H1073" s="88">
        <v>42137</v>
      </c>
      <c r="I1073" s="88">
        <v>42137</v>
      </c>
      <c r="J1073" s="3" t="str">
        <f t="shared" si="84"/>
        <v/>
      </c>
      <c r="K1073" s="10">
        <v>-3.7698412698412676E-2</v>
      </c>
      <c r="L1073" s="10">
        <v>1.0695187165775444E-2</v>
      </c>
      <c r="M1073" s="10">
        <v>-7.3578595317723705E-3</v>
      </c>
      <c r="N1073" s="10">
        <v>1.2709030100334306E-2</v>
      </c>
      <c r="O1073" s="10">
        <v>1.5000000000000568E-2</v>
      </c>
      <c r="P1073" s="10">
        <v>3.2499999999998863E-2</v>
      </c>
      <c r="Q1073" s="10">
        <v>9.9999999999993427E-3</v>
      </c>
      <c r="R1073" s="10">
        <v>-3.7499999999999978E-2</v>
      </c>
      <c r="S1073" s="10">
        <v>-0.98999999999999777</v>
      </c>
      <c r="T1073" s="10">
        <v>-1</v>
      </c>
      <c r="U1073" s="1">
        <v>4947</v>
      </c>
      <c r="W1073" s="1">
        <v>1918028</v>
      </c>
    </row>
    <row r="1074" spans="1:23" x14ac:dyDescent="0.25">
      <c r="A1074" s="76">
        <v>3</v>
      </c>
      <c r="B1074" s="76" t="s">
        <v>54</v>
      </c>
      <c r="C1074" s="91">
        <v>2007</v>
      </c>
      <c r="D1074" s="76" t="str">
        <f t="shared" si="87"/>
        <v>A07X</v>
      </c>
      <c r="E1074" s="76" t="s">
        <v>33</v>
      </c>
      <c r="F1074" s="89" t="s">
        <v>1086</v>
      </c>
      <c r="G1074" s="78">
        <v>0.85941793756591545</v>
      </c>
      <c r="H1074" s="88">
        <v>42137</v>
      </c>
      <c r="I1074" s="88">
        <v>42137</v>
      </c>
      <c r="J1074" s="3" t="str">
        <f t="shared" si="84"/>
        <v/>
      </c>
      <c r="K1074" s="10">
        <v>-3.4391534391534306E-2</v>
      </c>
      <c r="L1074" s="10">
        <v>-1.0695187165775333E-2</v>
      </c>
      <c r="M1074" s="10">
        <v>-4.4816053511706033E-2</v>
      </c>
      <c r="N1074" s="10">
        <v>-3.8127090301003697E-2</v>
      </c>
      <c r="O1074" s="10">
        <v>-8.7500000000000022E-2</v>
      </c>
      <c r="P1074" s="10">
        <v>-3.7499999999999978E-2</v>
      </c>
      <c r="Q1074" s="10">
        <v>5.0000000000012257E-3</v>
      </c>
      <c r="R1074" s="10">
        <v>-0.4</v>
      </c>
      <c r="S1074" s="10">
        <v>-0.9774999999999977</v>
      </c>
      <c r="T1074" s="10">
        <v>-1</v>
      </c>
      <c r="U1074" s="1">
        <v>2931</v>
      </c>
      <c r="W1074" s="1">
        <v>410985</v>
      </c>
    </row>
    <row r="1075" spans="1:23" x14ac:dyDescent="0.25">
      <c r="A1075" s="76">
        <v>3</v>
      </c>
      <c r="B1075" s="76" t="s">
        <v>54</v>
      </c>
      <c r="C1075" s="91">
        <v>2007</v>
      </c>
      <c r="D1075" s="76" t="str">
        <f t="shared" si="87"/>
        <v>A07X</v>
      </c>
      <c r="E1075" s="76" t="s">
        <v>33</v>
      </c>
      <c r="F1075" s="89" t="s">
        <v>1087</v>
      </c>
      <c r="G1075" s="78">
        <v>0.72253906256524159</v>
      </c>
      <c r="H1075" s="88">
        <v>39167</v>
      </c>
      <c r="I1075" s="88">
        <v>42167</v>
      </c>
      <c r="J1075" s="3">
        <f t="shared" si="84"/>
        <v>8</v>
      </c>
      <c r="K1075" s="10">
        <v>-0.22949735449735442</v>
      </c>
      <c r="L1075" s="10">
        <v>-0.23195187165775333</v>
      </c>
      <c r="M1075" s="10">
        <v>-0.10033444816053516</v>
      </c>
      <c r="N1075" s="10">
        <v>-0.37123745819397991</v>
      </c>
      <c r="O1075" s="10">
        <v>-0.23500000000000232</v>
      </c>
      <c r="P1075" s="10">
        <v>-0.19249999999999545</v>
      </c>
      <c r="Q1075" s="10">
        <v>-0.17249999999999999</v>
      </c>
      <c r="R1075" s="10">
        <v>-0.2649999999999999</v>
      </c>
      <c r="S1075" s="10">
        <v>-0.99500000000000033</v>
      </c>
      <c r="T1075" s="10">
        <v>-1</v>
      </c>
      <c r="U1075" s="1">
        <v>1807</v>
      </c>
      <c r="W1075" s="1">
        <v>2118858</v>
      </c>
    </row>
    <row r="1076" spans="1:23" x14ac:dyDescent="0.25">
      <c r="A1076" s="76">
        <v>3</v>
      </c>
      <c r="B1076" s="76" t="s">
        <v>54</v>
      </c>
      <c r="C1076" s="91">
        <v>2007</v>
      </c>
      <c r="D1076" s="76" t="str">
        <f t="shared" si="87"/>
        <v>A07X</v>
      </c>
      <c r="E1076" s="76" t="s">
        <v>33</v>
      </c>
      <c r="F1076" s="89" t="s">
        <v>1088</v>
      </c>
      <c r="G1076" s="78">
        <v>0.94155851516109645</v>
      </c>
      <c r="H1076" s="88">
        <v>42137</v>
      </c>
      <c r="I1076" s="88">
        <v>42137</v>
      </c>
      <c r="J1076" s="3" t="str">
        <f t="shared" si="84"/>
        <v/>
      </c>
      <c r="K1076" s="10">
        <v>7.9365079365081304E-3</v>
      </c>
      <c r="L1076" s="10">
        <v>-5.347593582887944E-3</v>
      </c>
      <c r="M1076" s="10">
        <v>2.5418060200668613E-2</v>
      </c>
      <c r="N1076" s="10">
        <v>2.1404682274247744E-2</v>
      </c>
      <c r="O1076" s="10">
        <v>2.4999999999999911E-2</v>
      </c>
      <c r="P1076" s="10">
        <v>4.2500000000001092E-2</v>
      </c>
      <c r="Q1076" s="10">
        <v>2.4999999999977263E-3</v>
      </c>
      <c r="R1076" s="10">
        <v>-3.4999999999996589E-2</v>
      </c>
      <c r="S1076" s="10">
        <v>-0.99250000000000116</v>
      </c>
      <c r="T1076" s="10">
        <v>-1</v>
      </c>
      <c r="U1076" s="1">
        <v>3078</v>
      </c>
      <c r="W1076" s="1">
        <v>393861</v>
      </c>
    </row>
    <row r="1077" spans="1:23" x14ac:dyDescent="0.25">
      <c r="A1077" s="76">
        <v>3</v>
      </c>
      <c r="B1077" s="91" t="s">
        <v>54</v>
      </c>
      <c r="C1077" s="76">
        <v>1997</v>
      </c>
      <c r="D1077" s="76" t="str">
        <f t="shared" si="86"/>
        <v>A97S</v>
      </c>
      <c r="E1077" s="76" t="s">
        <v>1296</v>
      </c>
      <c r="F1077" s="89" t="s">
        <v>720</v>
      </c>
      <c r="G1077" s="90">
        <v>0.81980739453222651</v>
      </c>
      <c r="H1077" s="88">
        <v>36411</v>
      </c>
      <c r="I1077" s="88">
        <v>42203</v>
      </c>
      <c r="J1077" s="3">
        <f t="shared" si="84"/>
        <v>16</v>
      </c>
      <c r="K1077" s="10">
        <v>3.9263471432435804E-3</v>
      </c>
      <c r="L1077" s="10">
        <v>5.4458815520765924E-3</v>
      </c>
      <c r="M1077" s="10">
        <v>-7.4626865671632014E-3</v>
      </c>
      <c r="N1077" s="10">
        <v>-3.0549898167006151E-2</v>
      </c>
      <c r="O1077" s="10">
        <v>-7.4999999999996181E-3</v>
      </c>
      <c r="P1077" s="10">
        <v>-4.0000000000000591E-2</v>
      </c>
      <c r="Q1077" s="10">
        <v>-0.27000000000000024</v>
      </c>
      <c r="R1077" s="10">
        <v>-0.79500000000000026</v>
      </c>
      <c r="S1077" s="10">
        <v>-0.99499999999999889</v>
      </c>
      <c r="T1077" s="10">
        <v>-1</v>
      </c>
      <c r="U1077" s="1">
        <v>1886</v>
      </c>
      <c r="W1077" s="1">
        <v>691623</v>
      </c>
    </row>
    <row r="1078" spans="1:23" x14ac:dyDescent="0.25">
      <c r="A1078" s="76">
        <v>3</v>
      </c>
      <c r="B1078" s="91" t="s">
        <v>54</v>
      </c>
      <c r="C1078" s="76">
        <v>1997</v>
      </c>
      <c r="D1078" s="76" t="str">
        <f>LEFT(F1078,4)</f>
        <v>A97S</v>
      </c>
      <c r="E1078" s="76" t="s">
        <v>1296</v>
      </c>
      <c r="F1078" s="89" t="s">
        <v>722</v>
      </c>
      <c r="G1078" s="90">
        <v>0.40815792957299424</v>
      </c>
      <c r="H1078" s="88">
        <v>35717</v>
      </c>
      <c r="I1078" s="88">
        <v>35717</v>
      </c>
      <c r="J1078" s="3" t="str">
        <f t="shared" si="84"/>
        <v/>
      </c>
      <c r="K1078" s="10">
        <v>1.2049823991334918E-2</v>
      </c>
      <c r="L1078" s="10">
        <v>3.4036759700482033E-3</v>
      </c>
      <c r="M1078" s="10">
        <v>8.8195386702853984E-3</v>
      </c>
      <c r="N1078" s="10">
        <v>-0.27766463000678987</v>
      </c>
      <c r="O1078" s="10">
        <v>-0.58499999999999663</v>
      </c>
      <c r="P1078" s="10">
        <v>-0.69499999999999884</v>
      </c>
      <c r="Q1078" s="10">
        <v>-0.99750000000000227</v>
      </c>
      <c r="R1078" s="10">
        <v>-0.99499999999999889</v>
      </c>
      <c r="S1078" s="10">
        <v>-1</v>
      </c>
      <c r="T1078" s="10">
        <v>-1</v>
      </c>
      <c r="U1078" s="1" t="s">
        <v>1116</v>
      </c>
      <c r="W1078" s="1">
        <v>1211341</v>
      </c>
    </row>
    <row r="1079" spans="1:23" x14ac:dyDescent="0.25">
      <c r="A1079" s="76">
        <v>3</v>
      </c>
      <c r="B1079" s="91" t="s">
        <v>54</v>
      </c>
      <c r="C1079" s="76">
        <v>1997</v>
      </c>
      <c r="D1079" s="76" t="str">
        <f>LEFT(F1079,4)</f>
        <v>A97S</v>
      </c>
      <c r="E1079" s="76" t="s">
        <v>1296</v>
      </c>
      <c r="F1079" s="89" t="s">
        <v>723</v>
      </c>
      <c r="G1079" s="90">
        <v>0.56678358517862504</v>
      </c>
      <c r="H1079" s="88">
        <v>38000</v>
      </c>
      <c r="I1079" s="88">
        <v>42151</v>
      </c>
      <c r="J1079" s="3">
        <f t="shared" si="84"/>
        <v>11</v>
      </c>
      <c r="K1079" s="10">
        <v>-2.3151909017059547E-2</v>
      </c>
      <c r="L1079" s="10">
        <v>-1.6337644656228778E-2</v>
      </c>
      <c r="M1079" s="10">
        <v>-5.4274084124829591E-2</v>
      </c>
      <c r="N1079" s="10">
        <v>-8.8934147997285717E-2</v>
      </c>
      <c r="O1079" s="10">
        <v>-0.13000000000000012</v>
      </c>
      <c r="P1079" s="10">
        <v>-0.5</v>
      </c>
      <c r="Q1079" s="10">
        <v>-0.99750000000000016</v>
      </c>
      <c r="R1079" s="10">
        <v>-0.99749999999999983</v>
      </c>
      <c r="S1079" s="10">
        <v>-1</v>
      </c>
      <c r="T1079" s="10">
        <v>-1</v>
      </c>
      <c r="U1079" s="1">
        <v>1165</v>
      </c>
      <c r="W1079" s="1">
        <v>4455401</v>
      </c>
    </row>
    <row r="1080" spans="1:23" x14ac:dyDescent="0.25">
      <c r="A1080" s="76">
        <v>3</v>
      </c>
      <c r="B1080" s="91" t="s">
        <v>54</v>
      </c>
      <c r="C1080" s="76">
        <v>1997</v>
      </c>
      <c r="D1080" s="76" t="str">
        <f>LEFT(F1080,4)</f>
        <v>A97S</v>
      </c>
      <c r="E1080" s="76" t="s">
        <v>1296</v>
      </c>
      <c r="F1080" s="89" t="s">
        <v>724</v>
      </c>
      <c r="G1080" s="90">
        <v>0.81445197130477198</v>
      </c>
      <c r="H1080" s="88">
        <v>35884</v>
      </c>
      <c r="I1080" s="88">
        <v>42203</v>
      </c>
      <c r="J1080" s="3">
        <f t="shared" si="84"/>
        <v>17</v>
      </c>
      <c r="K1080" s="10">
        <v>-1.6382344976982988E-2</v>
      </c>
      <c r="L1080" s="10">
        <v>8.1688223281144445E-3</v>
      </c>
      <c r="M1080" s="10">
        <v>-3.3921302578027168E-3</v>
      </c>
      <c r="N1080" s="10">
        <v>-4.752206381533397E-3</v>
      </c>
      <c r="O1080" s="10">
        <v>-5.0000000000011147E-3</v>
      </c>
      <c r="P1080" s="10">
        <v>-6.25E-2</v>
      </c>
      <c r="Q1080" s="10">
        <v>-0.1649999999999977</v>
      </c>
      <c r="R1080" s="10">
        <v>-0.99500000000000455</v>
      </c>
      <c r="S1080" s="10">
        <v>-1</v>
      </c>
      <c r="T1080" s="10">
        <v>-1</v>
      </c>
      <c r="U1080" s="1">
        <v>2575</v>
      </c>
      <c r="W1080" s="1">
        <v>3134751</v>
      </c>
    </row>
    <row r="1081" spans="1:23" x14ac:dyDescent="0.25">
      <c r="A1081" s="76">
        <v>3</v>
      </c>
      <c r="B1081" s="91" t="s">
        <v>54</v>
      </c>
      <c r="C1081" s="76">
        <v>1997</v>
      </c>
      <c r="D1081" s="76" t="str">
        <f>LEFT(F1081,4)</f>
        <v>A97S</v>
      </c>
      <c r="E1081" s="76" t="s">
        <v>1296</v>
      </c>
      <c r="F1081" s="89" t="s">
        <v>726</v>
      </c>
      <c r="G1081" s="90">
        <v>0.46103327277139461</v>
      </c>
      <c r="H1081" s="88">
        <v>37932</v>
      </c>
      <c r="I1081" s="88">
        <v>42141</v>
      </c>
      <c r="J1081" s="3">
        <f t="shared" si="84"/>
        <v>12</v>
      </c>
      <c r="K1081" s="10">
        <v>1.2185215272135785E-3</v>
      </c>
      <c r="L1081" s="10">
        <v>6.1266167460858334E-3</v>
      </c>
      <c r="M1081" s="10">
        <v>-3.4599728629579496E-2</v>
      </c>
      <c r="N1081" s="10">
        <v>-2.6476578411404716E-2</v>
      </c>
      <c r="O1081" s="10">
        <v>-0.11000000000000232</v>
      </c>
      <c r="P1081" s="10">
        <v>-0.99749999999999939</v>
      </c>
      <c r="Q1081" s="10">
        <v>-0.99749999999999939</v>
      </c>
      <c r="R1081" s="10">
        <v>-0.99749999999999939</v>
      </c>
      <c r="S1081" s="10">
        <v>-1</v>
      </c>
      <c r="T1081" s="10">
        <v>-1</v>
      </c>
      <c r="U1081" s="1">
        <v>3092</v>
      </c>
      <c r="W1081" s="1">
        <v>1214179</v>
      </c>
    </row>
    <row r="1082" spans="1:23" x14ac:dyDescent="0.25">
      <c r="A1082" s="76">
        <v>3</v>
      </c>
      <c r="B1082" s="91" t="s">
        <v>54</v>
      </c>
      <c r="C1082" s="76">
        <v>1997</v>
      </c>
      <c r="D1082" s="76" t="str">
        <f t="shared" ref="D1082:D1091" si="88">LEFT(F1082,4)</f>
        <v>A97S</v>
      </c>
      <c r="E1082" s="76" t="s">
        <v>1296</v>
      </c>
      <c r="F1082" s="89" t="s">
        <v>1047</v>
      </c>
      <c r="G1082" s="90">
        <v>0.42611406901290039</v>
      </c>
      <c r="H1082" s="88">
        <v>42156</v>
      </c>
      <c r="I1082" s="88">
        <v>42156</v>
      </c>
      <c r="J1082" s="3" t="str">
        <f t="shared" si="84"/>
        <v/>
      </c>
      <c r="K1082" s="10">
        <v>-2.2545090180361327E-2</v>
      </c>
      <c r="L1082" s="10">
        <v>-2.4274274274274088E-2</v>
      </c>
      <c r="M1082" s="10">
        <v>-3.4784784784784972E-2</v>
      </c>
      <c r="N1082" s="10">
        <v>-6.4064064064063952E-2</v>
      </c>
      <c r="O1082" s="10">
        <v>-0.23000000000000109</v>
      </c>
      <c r="P1082" s="10">
        <v>-1</v>
      </c>
      <c r="Q1082" s="10">
        <v>-1</v>
      </c>
      <c r="R1082" s="10">
        <v>-1</v>
      </c>
      <c r="S1082" s="10">
        <v>-1</v>
      </c>
      <c r="T1082" s="10">
        <v>-1</v>
      </c>
      <c r="U1082" s="1" t="s">
        <v>1116</v>
      </c>
      <c r="W1082" s="1">
        <v>3088839</v>
      </c>
    </row>
    <row r="1083" spans="1:23" x14ac:dyDescent="0.25">
      <c r="A1083" s="76">
        <v>3</v>
      </c>
      <c r="B1083" s="91" t="s">
        <v>54</v>
      </c>
      <c r="C1083" s="76">
        <v>1997</v>
      </c>
      <c r="D1083" s="76" t="str">
        <f t="shared" si="88"/>
        <v>A97S</v>
      </c>
      <c r="E1083" s="76" t="s">
        <v>1296</v>
      </c>
      <c r="F1083" s="89" t="s">
        <v>1048</v>
      </c>
      <c r="G1083" s="90">
        <v>0.92313039644029105</v>
      </c>
      <c r="H1083" s="88">
        <v>38075</v>
      </c>
      <c r="I1083" s="88">
        <v>42382</v>
      </c>
      <c r="J1083" s="3">
        <f t="shared" si="84"/>
        <v>12</v>
      </c>
      <c r="K1083" s="10">
        <v>-2.0541082164328817E-2</v>
      </c>
      <c r="L1083" s="10">
        <v>-7.5075075075075048E-3</v>
      </c>
      <c r="M1083" s="10">
        <v>6.0060060060058706E-3</v>
      </c>
      <c r="N1083" s="10">
        <v>1.8018018018017834E-2</v>
      </c>
      <c r="O1083" s="10">
        <v>4.7500000000002318E-2</v>
      </c>
      <c r="P1083" s="10">
        <v>6.8588469184890588E-2</v>
      </c>
      <c r="Q1083" s="10">
        <v>-3.9999999999997704E-2</v>
      </c>
      <c r="R1083" s="10">
        <v>-0.33000000000000684</v>
      </c>
      <c r="S1083" s="10">
        <v>-0.99499999999999322</v>
      </c>
      <c r="T1083" s="10">
        <v>-1</v>
      </c>
      <c r="U1083" s="1">
        <v>1855</v>
      </c>
      <c r="W1083" s="1">
        <v>492752</v>
      </c>
    </row>
    <row r="1084" spans="1:23" x14ac:dyDescent="0.25">
      <c r="A1084" s="76">
        <v>3</v>
      </c>
      <c r="B1084" s="91" t="s">
        <v>54</v>
      </c>
      <c r="C1084" s="76">
        <v>1997</v>
      </c>
      <c r="D1084" s="76" t="str">
        <f t="shared" si="88"/>
        <v>A97S</v>
      </c>
      <c r="E1084" s="76" t="s">
        <v>1296</v>
      </c>
      <c r="F1084" s="89" t="s">
        <v>1049</v>
      </c>
      <c r="G1084" s="90">
        <v>0.81841309316403887</v>
      </c>
      <c r="H1084" s="88">
        <v>41966</v>
      </c>
      <c r="I1084" s="88">
        <v>39268</v>
      </c>
      <c r="J1084" s="3">
        <f t="shared" si="84"/>
        <v>-7</v>
      </c>
      <c r="K1084" s="10">
        <v>-1.4529058116232618E-2</v>
      </c>
      <c r="L1084" s="10">
        <v>-1.3013013013012942E-2</v>
      </c>
      <c r="M1084" s="10">
        <v>-1.2262262262262458E-2</v>
      </c>
      <c r="N1084" s="10">
        <v>-1.0260260260260279E-2</v>
      </c>
      <c r="O1084" s="10">
        <v>-7.4999999999988409E-3</v>
      </c>
      <c r="P1084" s="10">
        <v>3.9761431411553527E-3</v>
      </c>
      <c r="Q1084" s="10">
        <v>-0.23500000000000232</v>
      </c>
      <c r="R1084" s="10">
        <v>-1</v>
      </c>
      <c r="S1084" s="10">
        <v>-1</v>
      </c>
      <c r="T1084" s="10">
        <v>-1</v>
      </c>
      <c r="U1084" s="1">
        <v>438</v>
      </c>
      <c r="W1084" s="1">
        <v>183181</v>
      </c>
    </row>
    <row r="1085" spans="1:23" x14ac:dyDescent="0.25">
      <c r="A1085" s="76">
        <v>3</v>
      </c>
      <c r="B1085" s="91" t="s">
        <v>54</v>
      </c>
      <c r="C1085" s="76">
        <v>1997</v>
      </c>
      <c r="D1085" s="76" t="str">
        <f t="shared" si="88"/>
        <v>A97S</v>
      </c>
      <c r="E1085" s="76" t="s">
        <v>1296</v>
      </c>
      <c r="F1085" s="89" t="s">
        <v>1050</v>
      </c>
      <c r="G1085" s="90">
        <v>0.82084391871859075</v>
      </c>
      <c r="H1085" s="88">
        <v>35884</v>
      </c>
      <c r="I1085" s="88">
        <v>42203</v>
      </c>
      <c r="J1085" s="3">
        <f t="shared" si="84"/>
        <v>17</v>
      </c>
      <c r="K1085" s="10">
        <v>-2.5050100200406655E-3</v>
      </c>
      <c r="L1085" s="10">
        <v>-5.0050050050065575E-4</v>
      </c>
      <c r="M1085" s="10">
        <v>-3.5035035035034801E-3</v>
      </c>
      <c r="N1085" s="10">
        <v>-3.2532532532534297E-3</v>
      </c>
      <c r="O1085" s="10">
        <v>-2.4999999999977263E-3</v>
      </c>
      <c r="P1085" s="10">
        <v>8.9463220675920496E-3</v>
      </c>
      <c r="Q1085" s="10">
        <v>-0.25500000000000678</v>
      </c>
      <c r="R1085" s="10">
        <v>-1</v>
      </c>
      <c r="S1085" s="10">
        <v>-1</v>
      </c>
      <c r="T1085" s="10">
        <v>-1</v>
      </c>
      <c r="U1085" s="1">
        <v>2135</v>
      </c>
      <c r="W1085" s="1">
        <v>3133346</v>
      </c>
    </row>
    <row r="1086" spans="1:23" x14ac:dyDescent="0.25">
      <c r="A1086" s="76">
        <v>3</v>
      </c>
      <c r="B1086" s="91" t="s">
        <v>54</v>
      </c>
      <c r="C1086" s="76">
        <v>1997</v>
      </c>
      <c r="D1086" s="76" t="str">
        <f t="shared" si="88"/>
        <v>A97S</v>
      </c>
      <c r="E1086" s="76" t="s">
        <v>1296</v>
      </c>
      <c r="F1086" s="89" t="s">
        <v>1051</v>
      </c>
      <c r="G1086" s="90">
        <v>0.66012014801050012</v>
      </c>
      <c r="H1086" s="88">
        <v>39902</v>
      </c>
      <c r="I1086" s="88">
        <v>42203</v>
      </c>
      <c r="J1086" s="3">
        <f t="shared" si="84"/>
        <v>6</v>
      </c>
      <c r="K1086" s="10">
        <v>-6.7635270541083203E-3</v>
      </c>
      <c r="L1086" s="10">
        <v>-1.0010010010010006E-2</v>
      </c>
      <c r="M1086" s="10">
        <v>-1.7517517517517844E-2</v>
      </c>
      <c r="N1086" s="10">
        <v>-3.1031031031030998E-2</v>
      </c>
      <c r="O1086" s="10">
        <v>-9.4999999999998863E-2</v>
      </c>
      <c r="P1086" s="10">
        <v>-0.17495029821074015</v>
      </c>
      <c r="Q1086" s="10">
        <v>-1</v>
      </c>
      <c r="R1086" s="10">
        <v>-1</v>
      </c>
      <c r="S1086" s="10">
        <v>-1</v>
      </c>
      <c r="T1086" s="10">
        <v>-1</v>
      </c>
      <c r="U1086" s="1">
        <v>2201</v>
      </c>
      <c r="W1086" s="1">
        <v>3132471</v>
      </c>
    </row>
    <row r="1087" spans="1:23" x14ac:dyDescent="0.25">
      <c r="A1087" s="76">
        <v>3</v>
      </c>
      <c r="B1087" s="91" t="s">
        <v>54</v>
      </c>
      <c r="C1087" s="76">
        <v>1997</v>
      </c>
      <c r="D1087" s="76" t="str">
        <f t="shared" si="88"/>
        <v>A97S</v>
      </c>
      <c r="E1087" s="76" t="s">
        <v>1296</v>
      </c>
      <c r="F1087" s="89" t="s">
        <v>1052</v>
      </c>
      <c r="G1087" s="90">
        <v>0.89741936029355573</v>
      </c>
      <c r="H1087" s="88">
        <v>36062</v>
      </c>
      <c r="I1087" s="88">
        <v>42203</v>
      </c>
      <c r="J1087" s="3">
        <f t="shared" si="84"/>
        <v>17</v>
      </c>
      <c r="K1087" s="10">
        <v>-1.2525050100200441E-2</v>
      </c>
      <c r="L1087" s="10">
        <v>-1.3763763763764092E-2</v>
      </c>
      <c r="M1087" s="10">
        <v>-1.4514514514514132E-2</v>
      </c>
      <c r="N1087" s="10">
        <v>-9.2592592592591894E-3</v>
      </c>
      <c r="O1087" s="10">
        <v>4.9999999999983391E-3</v>
      </c>
      <c r="P1087" s="10">
        <v>2.385685884691946E-2</v>
      </c>
      <c r="Q1087" s="10">
        <v>-7.4999999999999956E-2</v>
      </c>
      <c r="R1087" s="10">
        <v>-0.2899999999999977</v>
      </c>
      <c r="S1087" s="10">
        <v>-1</v>
      </c>
      <c r="T1087" s="10">
        <v>-1</v>
      </c>
      <c r="U1087" s="1">
        <v>3927</v>
      </c>
      <c r="W1087" s="1">
        <v>3132943</v>
      </c>
    </row>
    <row r="1088" spans="1:23" x14ac:dyDescent="0.25">
      <c r="A1088" s="76">
        <v>3</v>
      </c>
      <c r="B1088" s="91" t="s">
        <v>54</v>
      </c>
      <c r="C1088" s="76">
        <v>1997</v>
      </c>
      <c r="D1088" s="76" t="str">
        <f t="shared" si="88"/>
        <v>A97S</v>
      </c>
      <c r="E1088" s="76" t="s">
        <v>1296</v>
      </c>
      <c r="F1088" s="89" t="s">
        <v>1053</v>
      </c>
      <c r="G1088" s="90">
        <v>0.81543428787720706</v>
      </c>
      <c r="H1088" s="88">
        <v>35814</v>
      </c>
      <c r="I1088" s="88">
        <v>42203</v>
      </c>
      <c r="J1088" s="3">
        <f t="shared" si="84"/>
        <v>17</v>
      </c>
      <c r="K1088" s="10">
        <v>7.7655310621242979E-3</v>
      </c>
      <c r="L1088" s="10">
        <v>7.2572572572571215E-3</v>
      </c>
      <c r="M1088" s="10">
        <v>7.7577577577572221E-3</v>
      </c>
      <c r="N1088" s="10">
        <v>7.2572572572571215E-3</v>
      </c>
      <c r="O1088" s="10">
        <v>4.9999999999983391E-3</v>
      </c>
      <c r="P1088" s="10">
        <v>-5.9642147117296984E-3</v>
      </c>
      <c r="Q1088" s="10">
        <v>-0.3049999999999955</v>
      </c>
      <c r="R1088" s="10">
        <v>-1</v>
      </c>
      <c r="S1088" s="10">
        <v>-1</v>
      </c>
      <c r="T1088" s="10">
        <v>-1</v>
      </c>
      <c r="U1088" s="1">
        <v>3603</v>
      </c>
      <c r="W1088" s="1">
        <v>3132511</v>
      </c>
    </row>
    <row r="1089" spans="1:23" x14ac:dyDescent="0.25">
      <c r="A1089" s="76">
        <v>3</v>
      </c>
      <c r="B1089" s="91" t="s">
        <v>54</v>
      </c>
      <c r="C1089" s="76">
        <v>1997</v>
      </c>
      <c r="D1089" s="76" t="str">
        <f t="shared" si="88"/>
        <v>A97S</v>
      </c>
      <c r="E1089" s="76" t="s">
        <v>1296</v>
      </c>
      <c r="F1089" s="89" t="s">
        <v>1054</v>
      </c>
      <c r="G1089" s="90">
        <v>0.51521409097214987</v>
      </c>
      <c r="H1089" s="88">
        <v>35727</v>
      </c>
      <c r="I1089" s="29"/>
      <c r="J1089" s="3">
        <f t="shared" si="84"/>
        <v>-97</v>
      </c>
      <c r="K1089" s="10">
        <v>-2.1292585170340717E-2</v>
      </c>
      <c r="L1089" s="10">
        <v>-2.1771771771772142E-2</v>
      </c>
      <c r="M1089" s="10">
        <v>-2.5525525525525339E-2</v>
      </c>
      <c r="N1089" s="10">
        <v>-3.4284284284284872E-2</v>
      </c>
      <c r="O1089" s="10">
        <v>-9.9999999999999978E-2</v>
      </c>
      <c r="P1089" s="10">
        <v>-0.76640159045725698</v>
      </c>
      <c r="Q1089" s="10">
        <v>-1</v>
      </c>
      <c r="R1089" s="10">
        <v>-1</v>
      </c>
      <c r="S1089" s="10">
        <v>-1</v>
      </c>
      <c r="T1089" s="10">
        <v>-1</v>
      </c>
      <c r="U1089" s="1">
        <v>2621</v>
      </c>
      <c r="W1089" s="1">
        <v>1746545</v>
      </c>
    </row>
    <row r="1090" spans="1:23" x14ac:dyDescent="0.25">
      <c r="A1090" s="76">
        <v>3</v>
      </c>
      <c r="B1090" s="91" t="s">
        <v>54</v>
      </c>
      <c r="C1090" s="76">
        <v>1997</v>
      </c>
      <c r="D1090" s="76" t="str">
        <f t="shared" si="88"/>
        <v>A97S</v>
      </c>
      <c r="E1090" s="76" t="s">
        <v>1296</v>
      </c>
      <c r="F1090" s="89" t="s">
        <v>1055</v>
      </c>
      <c r="G1090" s="90">
        <v>0.46998612867526879</v>
      </c>
      <c r="H1090" s="88">
        <v>35647</v>
      </c>
      <c r="I1090" s="88">
        <v>42203</v>
      </c>
      <c r="J1090" s="3">
        <f t="shared" si="84"/>
        <v>18</v>
      </c>
      <c r="K1090" s="10">
        <v>1.2024048096192175E-2</v>
      </c>
      <c r="L1090" s="10">
        <v>1.1261261261261479E-2</v>
      </c>
      <c r="M1090" s="10">
        <v>8.5085085085083723E-3</v>
      </c>
      <c r="N1090" s="10">
        <v>3.2532532532532077E-3</v>
      </c>
      <c r="O1090" s="10">
        <v>-9.249999999999825E-2</v>
      </c>
      <c r="P1090" s="10">
        <v>-1</v>
      </c>
      <c r="Q1090" s="10">
        <v>-1</v>
      </c>
      <c r="R1090" s="10">
        <v>-1</v>
      </c>
      <c r="S1090" s="10">
        <v>-1</v>
      </c>
      <c r="T1090" s="10">
        <v>-1</v>
      </c>
      <c r="U1090" s="1">
        <v>7605</v>
      </c>
      <c r="W1090" s="1">
        <v>1182234</v>
      </c>
    </row>
    <row r="1091" spans="1:23" x14ac:dyDescent="0.25">
      <c r="A1091" s="76">
        <v>3</v>
      </c>
      <c r="B1091" s="91" t="s">
        <v>54</v>
      </c>
      <c r="C1091" s="76">
        <v>1997</v>
      </c>
      <c r="D1091" s="76" t="str">
        <f t="shared" si="88"/>
        <v>A97S</v>
      </c>
      <c r="E1091" s="76" t="s">
        <v>1296</v>
      </c>
      <c r="F1091" s="89" t="s">
        <v>1056</v>
      </c>
      <c r="G1091" s="90">
        <v>0.97947009258453865</v>
      </c>
      <c r="H1091" s="88">
        <v>35667</v>
      </c>
      <c r="I1091" s="88">
        <v>42202</v>
      </c>
      <c r="J1091" s="3">
        <f t="shared" si="84"/>
        <v>18</v>
      </c>
      <c r="K1091" s="10">
        <v>-3.0060120240484878E-3</v>
      </c>
      <c r="L1091" s="10">
        <v>-3.2532532532533187E-3</v>
      </c>
      <c r="M1091" s="10">
        <v>-4.0040040040040248E-3</v>
      </c>
      <c r="N1091" s="10">
        <v>2.752752752752885E-3</v>
      </c>
      <c r="O1091" s="10">
        <v>-0.49250000000000116</v>
      </c>
      <c r="P1091" s="10">
        <v>0.520874751491049</v>
      </c>
      <c r="Q1091" s="10">
        <v>-9.9999999999909051E-3</v>
      </c>
      <c r="R1091" s="10">
        <v>-0.15000000000000002</v>
      </c>
      <c r="S1091" s="10">
        <v>-0.24000000000000909</v>
      </c>
      <c r="T1091" s="10">
        <v>-0.24000000000000909</v>
      </c>
      <c r="U1091" s="1">
        <v>2666</v>
      </c>
      <c r="W1091" s="1">
        <v>2238292</v>
      </c>
    </row>
    <row r="1092" spans="1:23" x14ac:dyDescent="0.25">
      <c r="A1092" s="76">
        <v>3</v>
      </c>
      <c r="B1092" s="76" t="s">
        <v>54</v>
      </c>
      <c r="C1092" s="91">
        <v>1996</v>
      </c>
      <c r="D1092" s="76" t="str">
        <f>LEFT(F1092,4)</f>
        <v>A96T</v>
      </c>
      <c r="E1092" s="76" t="s">
        <v>374</v>
      </c>
      <c r="F1092" s="89" t="s">
        <v>721</v>
      </c>
      <c r="G1092" s="78">
        <v>0.34450052822518329</v>
      </c>
      <c r="H1092" s="88">
        <v>37258</v>
      </c>
      <c r="I1092" s="88">
        <v>42201</v>
      </c>
      <c r="J1092" s="3">
        <f t="shared" si="84"/>
        <v>13</v>
      </c>
      <c r="K1092" s="10">
        <v>5.2802599512591364E-3</v>
      </c>
      <c r="L1092" s="10">
        <v>-4.0844111640575553E-3</v>
      </c>
      <c r="M1092" s="10">
        <v>-5.7666214382633085E-2</v>
      </c>
      <c r="N1092" s="10">
        <v>5.1595383570944175E-2</v>
      </c>
      <c r="O1092" s="10">
        <v>-0.6875</v>
      </c>
      <c r="P1092" s="10">
        <v>-0.93999999999999773</v>
      </c>
      <c r="Q1092" s="10">
        <v>-0.99500000000000455</v>
      </c>
      <c r="R1092" s="10">
        <v>-1</v>
      </c>
      <c r="S1092" s="10">
        <v>-1</v>
      </c>
      <c r="T1092" s="10">
        <v>-1</v>
      </c>
      <c r="U1092" s="1">
        <v>2031</v>
      </c>
      <c r="W1092" s="1">
        <v>1752103</v>
      </c>
    </row>
    <row r="1093" spans="1:23" x14ac:dyDescent="0.25">
      <c r="A1093" s="76">
        <v>3</v>
      </c>
      <c r="B1093" s="76" t="s">
        <v>54</v>
      </c>
      <c r="C1093" s="91">
        <v>1996</v>
      </c>
      <c r="D1093" s="76" t="str">
        <f t="shared" ref="D1093:D1101" si="89">LEFT(F1093,4)</f>
        <v>A96T</v>
      </c>
      <c r="E1093" s="76" t="s">
        <v>374</v>
      </c>
      <c r="F1093" s="89" t="s">
        <v>853</v>
      </c>
      <c r="G1093" s="78">
        <v>0.6630968376844506</v>
      </c>
      <c r="H1093" s="88">
        <v>35432</v>
      </c>
      <c r="I1093" s="88">
        <v>42200</v>
      </c>
      <c r="J1093" s="3">
        <f t="shared" ref="J1093:J1156" si="90">IF(YEAR(I1093)-YEAR(H1093)=0,"",YEAR(I1093)-YEAR(H1093))</f>
        <v>18</v>
      </c>
      <c r="K1093" s="10">
        <v>-0.31757656458055916</v>
      </c>
      <c r="L1093" s="10">
        <v>7.3284477015322924E-3</v>
      </c>
      <c r="M1093" s="10">
        <v>4.4017607042818874E-3</v>
      </c>
      <c r="N1093" s="10">
        <v>3.9840637450194727E-3</v>
      </c>
      <c r="O1093" s="10">
        <v>2.2500000000002185E-2</v>
      </c>
      <c r="P1093" s="10">
        <v>-0.49750000000000227</v>
      </c>
      <c r="Q1093" s="10">
        <v>-0.61999999999999889</v>
      </c>
      <c r="R1093" s="10">
        <v>-0.79250000000000109</v>
      </c>
      <c r="S1093" s="10">
        <v>-1</v>
      </c>
      <c r="T1093" s="10">
        <v>-1</v>
      </c>
      <c r="U1093" s="1">
        <v>3620</v>
      </c>
      <c r="W1093" s="1">
        <v>2193256</v>
      </c>
    </row>
    <row r="1094" spans="1:23" x14ac:dyDescent="0.25">
      <c r="A1094" s="76">
        <v>3</v>
      </c>
      <c r="B1094" s="76" t="s">
        <v>54</v>
      </c>
      <c r="C1094" s="91">
        <v>1996</v>
      </c>
      <c r="D1094" s="76" t="str">
        <f t="shared" si="89"/>
        <v>A96T</v>
      </c>
      <c r="E1094" s="76" t="s">
        <v>374</v>
      </c>
      <c r="F1094" s="89" t="s">
        <v>854</v>
      </c>
      <c r="G1094" s="78">
        <v>0.56247847046490729</v>
      </c>
      <c r="H1094" s="29"/>
      <c r="I1094" s="29"/>
      <c r="J1094" s="3" t="str">
        <f t="shared" si="90"/>
        <v/>
      </c>
      <c r="K1094" s="10">
        <v>-0.29360852197070475</v>
      </c>
      <c r="L1094" s="10">
        <v>-6.4623584277148871E-2</v>
      </c>
      <c r="M1094" s="10">
        <v>-6.9627851140456221E-2</v>
      </c>
      <c r="N1094" s="10">
        <v>-7.370517928286846E-2</v>
      </c>
      <c r="O1094" s="10">
        <v>-7.2500000000000897E-2</v>
      </c>
      <c r="P1094" s="10">
        <v>-0.51249999999999996</v>
      </c>
      <c r="Q1094" s="10">
        <v>-0.99249999999999972</v>
      </c>
      <c r="R1094" s="10">
        <v>-0.99249999999999972</v>
      </c>
      <c r="S1094" s="10">
        <v>-1</v>
      </c>
      <c r="T1094" s="10">
        <v>-1</v>
      </c>
    </row>
    <row r="1095" spans="1:23" x14ac:dyDescent="0.25">
      <c r="A1095" s="76">
        <v>3</v>
      </c>
      <c r="B1095" s="76" t="s">
        <v>54</v>
      </c>
      <c r="C1095" s="91">
        <v>1996</v>
      </c>
      <c r="D1095" s="76" t="str">
        <f t="shared" si="89"/>
        <v>A96T</v>
      </c>
      <c r="E1095" s="76" t="s">
        <v>374</v>
      </c>
      <c r="F1095" s="89" t="s">
        <v>855</v>
      </c>
      <c r="G1095" s="78">
        <v>0.61663685316662376</v>
      </c>
      <c r="H1095" s="88">
        <v>35537</v>
      </c>
      <c r="I1095" s="88">
        <v>42201</v>
      </c>
      <c r="J1095" s="3">
        <f t="shared" si="90"/>
        <v>18</v>
      </c>
      <c r="K1095" s="10">
        <v>-0.32623169107856176</v>
      </c>
      <c r="L1095" s="10">
        <v>-0.10792804796802147</v>
      </c>
      <c r="M1095" s="10">
        <v>-0.10897692410297433</v>
      </c>
      <c r="N1095" s="10">
        <v>-0.10358565737051828</v>
      </c>
      <c r="O1095" s="10">
        <v>-6.9999999999998841E-2</v>
      </c>
      <c r="P1095" s="10">
        <v>-0.47750000000000059</v>
      </c>
      <c r="Q1095" s="10">
        <v>-0.54749999999999943</v>
      </c>
      <c r="R1095" s="10">
        <v>-0.99250000000000116</v>
      </c>
      <c r="S1095" s="10">
        <v>-1</v>
      </c>
      <c r="T1095" s="10">
        <v>-1</v>
      </c>
      <c r="U1095" s="1">
        <v>2684</v>
      </c>
      <c r="W1095" s="1">
        <v>2235731</v>
      </c>
    </row>
    <row r="1096" spans="1:23" x14ac:dyDescent="0.25">
      <c r="A1096" s="76">
        <v>3</v>
      </c>
      <c r="B1096" s="76" t="s">
        <v>54</v>
      </c>
      <c r="C1096" s="91">
        <v>1996</v>
      </c>
      <c r="D1096" s="76" t="str">
        <f t="shared" si="89"/>
        <v>A96T</v>
      </c>
      <c r="E1096" s="76" t="s">
        <v>374</v>
      </c>
      <c r="F1096" s="89" t="s">
        <v>856</v>
      </c>
      <c r="G1096" s="78">
        <v>0.5651814832456773</v>
      </c>
      <c r="H1096" s="88">
        <v>35355</v>
      </c>
      <c r="I1096" s="88">
        <v>42203</v>
      </c>
      <c r="J1096" s="3">
        <f t="shared" si="90"/>
        <v>19</v>
      </c>
      <c r="K1096" s="10">
        <v>-0.33288948069241053</v>
      </c>
      <c r="L1096" s="10">
        <v>-0.12924716855429685</v>
      </c>
      <c r="M1096" s="10">
        <v>-2.4276377217553935E-2</v>
      </c>
      <c r="N1096" s="10">
        <v>-3.984063745019828E-2</v>
      </c>
      <c r="O1096" s="10">
        <v>-5.0000000000000044E-2</v>
      </c>
      <c r="P1096" s="10">
        <v>-0.51999999999999891</v>
      </c>
      <c r="Q1096" s="10">
        <v>-0.99250000000000116</v>
      </c>
      <c r="R1096" s="10">
        <v>-0.99250000000000116</v>
      </c>
      <c r="S1096" s="10">
        <v>-1</v>
      </c>
      <c r="T1096" s="10">
        <v>-1</v>
      </c>
      <c r="U1096" s="1">
        <v>3898</v>
      </c>
      <c r="W1096" s="1">
        <v>818071</v>
      </c>
    </row>
    <row r="1097" spans="1:23" x14ac:dyDescent="0.25">
      <c r="A1097" s="76">
        <v>3</v>
      </c>
      <c r="B1097" s="76" t="s">
        <v>54</v>
      </c>
      <c r="C1097" s="91">
        <v>1996</v>
      </c>
      <c r="D1097" s="76" t="str">
        <f t="shared" si="89"/>
        <v>A96T</v>
      </c>
      <c r="E1097" s="76" t="s">
        <v>374</v>
      </c>
      <c r="F1097" s="89" t="s">
        <v>857</v>
      </c>
      <c r="G1097" s="78">
        <v>0.37817582245764525</v>
      </c>
      <c r="H1097" s="88">
        <v>35443</v>
      </c>
      <c r="I1097" s="88">
        <v>42202</v>
      </c>
      <c r="J1097" s="3">
        <f t="shared" si="90"/>
        <v>18</v>
      </c>
      <c r="K1097" s="10">
        <v>-0.27629826897470044</v>
      </c>
      <c r="L1097" s="10">
        <v>-6.3957361758827824E-2</v>
      </c>
      <c r="M1097" s="10">
        <v>-5.3621448579431186E-2</v>
      </c>
      <c r="N1097" s="10">
        <v>-2.7888446215139528E-2</v>
      </c>
      <c r="O1097" s="10">
        <v>-0.39000000000000057</v>
      </c>
      <c r="P1097" s="10">
        <v>-0.99499999999999889</v>
      </c>
      <c r="Q1097" s="10">
        <v>-0.99500000000000166</v>
      </c>
      <c r="R1097" s="10">
        <v>-0.99499999999999889</v>
      </c>
      <c r="S1097" s="10">
        <v>-1</v>
      </c>
      <c r="T1097" s="10">
        <v>-1</v>
      </c>
      <c r="U1097" s="1">
        <v>4964</v>
      </c>
      <c r="W1097" s="1">
        <v>2201984</v>
      </c>
    </row>
    <row r="1098" spans="1:23" x14ac:dyDescent="0.25">
      <c r="A1098" s="76">
        <v>3</v>
      </c>
      <c r="B1098" s="76" t="s">
        <v>54</v>
      </c>
      <c r="C1098" s="91">
        <v>1996</v>
      </c>
      <c r="D1098" s="76" t="str">
        <f t="shared" si="89"/>
        <v>A96T</v>
      </c>
      <c r="E1098" s="76" t="s">
        <v>374</v>
      </c>
      <c r="F1098" s="89" t="s">
        <v>858</v>
      </c>
      <c r="G1098" s="78">
        <v>0.43731601172076617</v>
      </c>
      <c r="H1098" s="88">
        <v>42143</v>
      </c>
      <c r="I1098" s="88">
        <v>42143</v>
      </c>
      <c r="J1098" s="3" t="str">
        <f t="shared" si="90"/>
        <v/>
      </c>
      <c r="K1098" s="10">
        <v>-0.15113182423435412</v>
      </c>
      <c r="L1098" s="10">
        <v>-8.7275149900067017E-2</v>
      </c>
      <c r="M1098" s="10">
        <v>-5.9623849539815921E-2</v>
      </c>
      <c r="N1098" s="10">
        <v>-2.6560424966799334E-2</v>
      </c>
      <c r="O1098" s="10">
        <v>-0.15499999999999969</v>
      </c>
      <c r="P1098" s="10">
        <v>-0.99000000000000055</v>
      </c>
      <c r="Q1098" s="10">
        <v>-0.99500000000000033</v>
      </c>
      <c r="R1098" s="10">
        <v>-1</v>
      </c>
      <c r="S1098" s="10">
        <v>-1</v>
      </c>
      <c r="T1098" s="10">
        <v>-1</v>
      </c>
      <c r="U1098" s="1">
        <v>7149</v>
      </c>
      <c r="W1098" s="1">
        <v>1171127</v>
      </c>
    </row>
    <row r="1099" spans="1:23" x14ac:dyDescent="0.25">
      <c r="A1099" s="76">
        <v>3</v>
      </c>
      <c r="B1099" s="76" t="s">
        <v>54</v>
      </c>
      <c r="C1099" s="91">
        <v>1996</v>
      </c>
      <c r="D1099" s="76" t="str">
        <f t="shared" si="89"/>
        <v>A96T</v>
      </c>
      <c r="E1099" s="76" t="s">
        <v>374</v>
      </c>
      <c r="F1099" s="89" t="s">
        <v>859</v>
      </c>
      <c r="G1099" s="78">
        <v>0.56448995729561369</v>
      </c>
      <c r="H1099" s="88">
        <v>35443</v>
      </c>
      <c r="I1099" s="88">
        <v>42201</v>
      </c>
      <c r="J1099" s="3">
        <f t="shared" si="90"/>
        <v>18</v>
      </c>
      <c r="K1099" s="10">
        <v>-0.2762982689747</v>
      </c>
      <c r="L1099" s="10">
        <v>-3.5976015989340082E-2</v>
      </c>
      <c r="M1099" s="10">
        <v>-3.8948912898494115E-2</v>
      </c>
      <c r="N1099" s="10">
        <v>-3.3864541832669293E-2</v>
      </c>
      <c r="O1099" s="10">
        <v>-8.250000000000024E-2</v>
      </c>
      <c r="P1099" s="10">
        <v>-0.52500000000000002</v>
      </c>
      <c r="Q1099" s="10">
        <v>-0.99500000000000033</v>
      </c>
      <c r="R1099" s="10">
        <v>-0.99500000000000033</v>
      </c>
      <c r="S1099" s="10">
        <v>-1</v>
      </c>
      <c r="T1099" s="10">
        <v>-1</v>
      </c>
      <c r="U1099" s="1">
        <v>4772</v>
      </c>
      <c r="W1099" s="1">
        <v>2203601</v>
      </c>
    </row>
    <row r="1100" spans="1:23" x14ac:dyDescent="0.25">
      <c r="A1100" s="76">
        <v>3</v>
      </c>
      <c r="B1100" s="76" t="s">
        <v>54</v>
      </c>
      <c r="C1100" s="91">
        <v>1996</v>
      </c>
      <c r="D1100" s="76" t="str">
        <f t="shared" si="89"/>
        <v>A96T</v>
      </c>
      <c r="E1100" s="76" t="s">
        <v>374</v>
      </c>
      <c r="F1100" s="89" t="s">
        <v>860</v>
      </c>
      <c r="G1100" s="78">
        <v>0.42680778459112689</v>
      </c>
      <c r="H1100" s="88">
        <v>35354</v>
      </c>
      <c r="I1100" s="88">
        <v>42202</v>
      </c>
      <c r="J1100" s="3">
        <f t="shared" si="90"/>
        <v>19</v>
      </c>
      <c r="K1100" s="10">
        <v>-0.26098535286284952</v>
      </c>
      <c r="L1100" s="10">
        <v>-2.3317788141239748E-2</v>
      </c>
      <c r="M1100" s="10">
        <v>-3.7615046018406151E-2</v>
      </c>
      <c r="N1100" s="10">
        <v>-5.6440903054449487E-2</v>
      </c>
      <c r="O1100" s="10">
        <v>-0.1875</v>
      </c>
      <c r="P1100" s="10">
        <v>-0.99750000000000227</v>
      </c>
      <c r="Q1100" s="10">
        <v>-0.99750000000000227</v>
      </c>
      <c r="R1100" s="10">
        <v>-0.99499999999999889</v>
      </c>
      <c r="S1100" s="10">
        <v>-1</v>
      </c>
      <c r="T1100" s="10">
        <v>-1</v>
      </c>
      <c r="U1100" s="1">
        <v>4716</v>
      </c>
      <c r="W1100" s="1">
        <v>2201747</v>
      </c>
    </row>
    <row r="1101" spans="1:23" x14ac:dyDescent="0.25">
      <c r="A1101" s="76">
        <v>3</v>
      </c>
      <c r="B1101" s="76" t="s">
        <v>54</v>
      </c>
      <c r="C1101" s="91">
        <v>1996</v>
      </c>
      <c r="D1101" s="76" t="str">
        <f t="shared" si="89"/>
        <v>A96T</v>
      </c>
      <c r="E1101" s="76" t="s">
        <v>374</v>
      </c>
      <c r="F1101" s="89" t="s">
        <v>861</v>
      </c>
      <c r="G1101" s="78">
        <v>0.39242417608066682</v>
      </c>
      <c r="H1101" s="88">
        <v>36990</v>
      </c>
      <c r="I1101" s="88">
        <v>42203</v>
      </c>
      <c r="J1101" s="3">
        <f t="shared" si="90"/>
        <v>14</v>
      </c>
      <c r="K1101" s="10">
        <v>-0.2936085219707063</v>
      </c>
      <c r="L1101" s="10">
        <v>-6.7288474350433058E-2</v>
      </c>
      <c r="M1101" s="10">
        <v>-7.8964919301052872E-2</v>
      </c>
      <c r="N1101" s="10">
        <v>-9.9601593625498586E-2</v>
      </c>
      <c r="O1101" s="10">
        <v>-0.29250000000000109</v>
      </c>
      <c r="P1101" s="10">
        <v>-0.995</v>
      </c>
      <c r="Q1101" s="10">
        <v>-0.995</v>
      </c>
      <c r="R1101" s="10">
        <v>-1</v>
      </c>
      <c r="S1101" s="10">
        <v>-1</v>
      </c>
      <c r="T1101" s="10">
        <v>-1</v>
      </c>
      <c r="U1101" s="1">
        <v>3059</v>
      </c>
      <c r="W1101" s="1">
        <v>821101</v>
      </c>
    </row>
    <row r="1102" spans="1:23" x14ac:dyDescent="0.25">
      <c r="A1102" s="76">
        <v>3</v>
      </c>
      <c r="B1102" s="91" t="s">
        <v>54</v>
      </c>
      <c r="C1102" s="76">
        <v>1991</v>
      </c>
      <c r="D1102" s="76" t="str">
        <f>LEFT(F1102,4)</f>
        <v>A95S</v>
      </c>
      <c r="E1102" s="76" t="s">
        <v>1296</v>
      </c>
      <c r="F1102" s="89" t="s">
        <v>725</v>
      </c>
      <c r="G1102" s="90">
        <v>0.46006195962011565</v>
      </c>
      <c r="H1102" s="29"/>
      <c r="I1102" s="29"/>
      <c r="J1102" s="3" t="str">
        <f t="shared" si="90"/>
        <v/>
      </c>
      <c r="K1102" s="10">
        <v>3.2493907392359134E-3</v>
      </c>
      <c r="L1102" s="10">
        <v>8.8495575221234635E-3</v>
      </c>
      <c r="M1102" s="10">
        <v>-3.7313432835820115E-2</v>
      </c>
      <c r="N1102" s="10">
        <v>-4.684317718940878E-2</v>
      </c>
      <c r="O1102" s="10">
        <v>-0.17000000000000459</v>
      </c>
      <c r="P1102" s="10">
        <v>-0.9375</v>
      </c>
      <c r="Q1102" s="10">
        <v>-0.99749999999999661</v>
      </c>
      <c r="R1102" s="10">
        <v>-0.99750000000000227</v>
      </c>
      <c r="S1102" s="10">
        <v>-1</v>
      </c>
      <c r="T1102" s="10">
        <v>-1</v>
      </c>
    </row>
    <row r="1103" spans="1:23" x14ac:dyDescent="0.25">
      <c r="A1103" s="76">
        <v>3</v>
      </c>
      <c r="B1103" s="76" t="s">
        <v>54</v>
      </c>
      <c r="C1103" s="91">
        <v>1991</v>
      </c>
      <c r="D1103" s="76" t="str">
        <f>LEFT(F1103,4)</f>
        <v>A91S</v>
      </c>
      <c r="E1103" s="76" t="s">
        <v>1296</v>
      </c>
      <c r="F1103" s="89" t="s">
        <v>804</v>
      </c>
      <c r="G1103" s="78">
        <v>0.71982166220374733</v>
      </c>
      <c r="H1103" s="88">
        <v>34297</v>
      </c>
      <c r="I1103" s="88">
        <v>34297</v>
      </c>
      <c r="J1103" s="3" t="str">
        <f t="shared" si="90"/>
        <v/>
      </c>
      <c r="K1103" s="10">
        <v>-2.8056112224448815E-2</v>
      </c>
      <c r="L1103" s="10">
        <v>-2.6052104208416971E-2</v>
      </c>
      <c r="M1103" s="10">
        <v>-2.7081243731193361E-2</v>
      </c>
      <c r="N1103" s="10">
        <v>-2.200000000000002E-2</v>
      </c>
      <c r="O1103" s="10">
        <v>-5.0000000000011147E-3</v>
      </c>
      <c r="P1103" s="10">
        <v>-3.9840637450198058E-3</v>
      </c>
      <c r="Q1103" s="10">
        <v>-1</v>
      </c>
      <c r="R1103" s="10">
        <v>-1</v>
      </c>
      <c r="S1103" s="10">
        <v>-1</v>
      </c>
      <c r="T1103" s="10">
        <v>-1</v>
      </c>
      <c r="U1103" s="1" t="s">
        <v>1116</v>
      </c>
      <c r="W1103" s="1">
        <v>120855</v>
      </c>
    </row>
    <row r="1104" spans="1:23" x14ac:dyDescent="0.25">
      <c r="A1104" s="76">
        <v>3</v>
      </c>
      <c r="B1104" s="76" t="s">
        <v>54</v>
      </c>
      <c r="C1104" s="91">
        <v>1991</v>
      </c>
      <c r="D1104" s="76" t="str">
        <f>LEFT(F1104,4)</f>
        <v>A91S</v>
      </c>
      <c r="E1104" s="76" t="s">
        <v>1296</v>
      </c>
      <c r="F1104" s="89" t="s">
        <v>805</v>
      </c>
      <c r="G1104" s="78">
        <v>0.71120402773006086</v>
      </c>
      <c r="H1104" s="88">
        <v>35982</v>
      </c>
      <c r="I1104" s="88">
        <v>42203</v>
      </c>
      <c r="J1104" s="3">
        <f t="shared" si="90"/>
        <v>17</v>
      </c>
      <c r="K1104" s="10">
        <v>-6.212424849699405E-2</v>
      </c>
      <c r="L1104" s="10">
        <v>-5.1102204408817409E-2</v>
      </c>
      <c r="M1104" s="10">
        <v>-5.0651955867602738E-2</v>
      </c>
      <c r="N1104" s="10">
        <v>-4.0000000000000036E-2</v>
      </c>
      <c r="O1104" s="10">
        <v>9.9999999999966782E-3</v>
      </c>
      <c r="P1104" s="10">
        <v>-4.3824701195216753E-2</v>
      </c>
      <c r="Q1104" s="10">
        <v>-0.97011952191235518</v>
      </c>
      <c r="R1104" s="10">
        <v>-1</v>
      </c>
      <c r="S1104" s="10">
        <v>-1</v>
      </c>
      <c r="T1104" s="10">
        <v>-1</v>
      </c>
      <c r="U1104" s="1">
        <v>3017</v>
      </c>
      <c r="W1104" s="1">
        <v>825069</v>
      </c>
    </row>
    <row r="1105" spans="1:23" x14ac:dyDescent="0.25">
      <c r="A1105" s="76">
        <v>3</v>
      </c>
      <c r="B1105" s="76" t="s">
        <v>54</v>
      </c>
      <c r="C1105" s="91">
        <v>1991</v>
      </c>
      <c r="D1105" s="76" t="str">
        <f>LEFT(F1105,4)</f>
        <v>A91S</v>
      </c>
      <c r="E1105" s="76" t="s">
        <v>1296</v>
      </c>
      <c r="F1105" s="89" t="s">
        <v>806</v>
      </c>
      <c r="G1105" s="78">
        <v>0.89999025826787815</v>
      </c>
      <c r="H1105" s="88">
        <v>42143</v>
      </c>
      <c r="I1105" s="88">
        <v>42143</v>
      </c>
      <c r="J1105" s="3" t="str">
        <f t="shared" si="90"/>
        <v/>
      </c>
      <c r="K1105" s="10">
        <v>3.5571142284569035E-2</v>
      </c>
      <c r="L1105" s="10">
        <v>3.8577154308617079E-2</v>
      </c>
      <c r="M1105" s="10">
        <v>3.3099297893681046E-2</v>
      </c>
      <c r="N1105" s="10">
        <v>3.8500000000000201E-2</v>
      </c>
      <c r="O1105" s="10">
        <v>7.5000000000009281E-2</v>
      </c>
      <c r="P1105" s="10">
        <v>4.5816733067728377E-2</v>
      </c>
      <c r="Q1105" s="10">
        <v>-0.11354581673306707</v>
      </c>
      <c r="R1105" s="10">
        <v>-0.72166998011928452</v>
      </c>
      <c r="S1105" s="10">
        <v>-0.92047713717693869</v>
      </c>
      <c r="T1105" s="10">
        <v>-1</v>
      </c>
      <c r="U1105" s="1">
        <v>4800</v>
      </c>
      <c r="W1105" s="1">
        <v>2473275</v>
      </c>
    </row>
    <row r="1106" spans="1:23" x14ac:dyDescent="0.25">
      <c r="A1106" s="76">
        <v>3</v>
      </c>
      <c r="B1106" s="76" t="s">
        <v>54</v>
      </c>
      <c r="C1106" s="91">
        <v>1991</v>
      </c>
      <c r="D1106" s="76" t="str">
        <f>LEFT(F1106,4)</f>
        <v>A91S</v>
      </c>
      <c r="E1106" s="76" t="s">
        <v>1296</v>
      </c>
      <c r="F1106" s="89" t="s">
        <v>807</v>
      </c>
      <c r="G1106" s="78">
        <v>0.9673238719816164</v>
      </c>
      <c r="H1106" s="88">
        <v>34360</v>
      </c>
      <c r="I1106" s="88">
        <v>42152</v>
      </c>
      <c r="J1106" s="3">
        <f t="shared" si="90"/>
        <v>21</v>
      </c>
      <c r="K1106" s="10">
        <v>-1.1022044088176419E-2</v>
      </c>
      <c r="L1106" s="10">
        <v>-1.3026052104207819E-2</v>
      </c>
      <c r="M1106" s="10">
        <v>-1.8555667001003084E-2</v>
      </c>
      <c r="N1106" s="10">
        <v>-6.4999999999999503E-3</v>
      </c>
      <c r="O1106" s="10">
        <v>-5.0000000000011147E-3</v>
      </c>
      <c r="P1106" s="10">
        <v>1.5936254980078557E-2</v>
      </c>
      <c r="Q1106" s="10">
        <v>-1.3944223107566267E-2</v>
      </c>
      <c r="R1106" s="10">
        <v>-1.5904572564614639E-2</v>
      </c>
      <c r="S1106" s="10">
        <v>-0.20477137176938376</v>
      </c>
      <c r="T1106" s="10">
        <v>-1</v>
      </c>
      <c r="U1106" s="1">
        <v>5907</v>
      </c>
      <c r="W1106" s="1">
        <v>1651153</v>
      </c>
    </row>
    <row r="1107" spans="1:23" x14ac:dyDescent="0.25">
      <c r="A1107" s="76">
        <v>3</v>
      </c>
      <c r="B1107" s="91" t="s">
        <v>54</v>
      </c>
      <c r="C1107" s="76">
        <v>1998</v>
      </c>
      <c r="D1107" s="76" t="str">
        <f t="shared" ref="D1107:D1124" si="91">LEFT(F1107,4)</f>
        <v>A98N</v>
      </c>
      <c r="E1107" s="76" t="s">
        <v>898</v>
      </c>
      <c r="F1107" s="89" t="s">
        <v>888</v>
      </c>
      <c r="G1107" s="90">
        <v>0.7952103885561066</v>
      </c>
      <c r="H1107" s="88">
        <v>36560</v>
      </c>
      <c r="I1107" s="88">
        <v>42203</v>
      </c>
      <c r="J1107" s="3">
        <f t="shared" si="90"/>
        <v>15</v>
      </c>
      <c r="K1107" s="10">
        <v>1.2837837837837762E-2</v>
      </c>
      <c r="L1107" s="10">
        <v>1.0869565217391797E-2</v>
      </c>
      <c r="M1107" s="10">
        <v>1.287262872628725E-2</v>
      </c>
      <c r="N1107" s="10">
        <v>-5.5511151231257827E-16</v>
      </c>
      <c r="O1107" s="10">
        <v>1.2499999999999956E-2</v>
      </c>
      <c r="P1107" s="10">
        <v>0</v>
      </c>
      <c r="Q1107" s="10">
        <v>-0.55749999999999889</v>
      </c>
      <c r="R1107" s="10">
        <v>-0.9</v>
      </c>
      <c r="S1107" s="10">
        <v>-1</v>
      </c>
      <c r="T1107" s="10">
        <v>-1</v>
      </c>
      <c r="U1107" s="1">
        <v>1885</v>
      </c>
      <c r="W1107" s="1">
        <v>820415</v>
      </c>
    </row>
    <row r="1108" spans="1:23" x14ac:dyDescent="0.25">
      <c r="A1108" s="76">
        <v>3</v>
      </c>
      <c r="B1108" s="91" t="s">
        <v>54</v>
      </c>
      <c r="C1108" s="76">
        <v>1998</v>
      </c>
      <c r="D1108" s="76" t="str">
        <f t="shared" si="91"/>
        <v>A98N</v>
      </c>
      <c r="E1108" s="76" t="s">
        <v>898</v>
      </c>
      <c r="F1108" s="89" t="s">
        <v>889</v>
      </c>
      <c r="G1108" s="90">
        <v>8.5192401250004046E-2</v>
      </c>
      <c r="H1108" s="88">
        <v>42185</v>
      </c>
      <c r="I1108" s="88">
        <v>42185</v>
      </c>
      <c r="J1108" s="3" t="str">
        <f t="shared" si="90"/>
        <v/>
      </c>
      <c r="K1108" s="10">
        <v>-0.30810810810810807</v>
      </c>
      <c r="L1108" s="10">
        <v>-0.56657608695652162</v>
      </c>
      <c r="M1108" s="10">
        <v>-0.78997289972899742</v>
      </c>
      <c r="N1108" s="10">
        <v>-0.87737127371273693</v>
      </c>
      <c r="O1108" s="10">
        <v>-1</v>
      </c>
      <c r="P1108" s="10">
        <v>-1</v>
      </c>
      <c r="Q1108" s="10">
        <v>-1</v>
      </c>
      <c r="R1108" s="10">
        <v>-1</v>
      </c>
      <c r="S1108" s="10">
        <v>-1</v>
      </c>
      <c r="T1108" s="10">
        <v>-1</v>
      </c>
      <c r="U1108" s="1">
        <v>1274</v>
      </c>
      <c r="W1108" s="1">
        <v>3259153</v>
      </c>
    </row>
    <row r="1109" spans="1:23" x14ac:dyDescent="0.25">
      <c r="A1109" s="76">
        <v>3</v>
      </c>
      <c r="B1109" s="91" t="s">
        <v>54</v>
      </c>
      <c r="C1109" s="76">
        <v>1998</v>
      </c>
      <c r="D1109" s="76" t="str">
        <f t="shared" si="91"/>
        <v>A98N</v>
      </c>
      <c r="E1109" s="76" t="s">
        <v>898</v>
      </c>
      <c r="F1109" s="89" t="s">
        <v>890</v>
      </c>
      <c r="G1109" s="90">
        <v>0.45617824111777461</v>
      </c>
      <c r="H1109" s="88">
        <v>42009</v>
      </c>
      <c r="I1109" s="88">
        <v>42185</v>
      </c>
      <c r="J1109" s="3" t="str">
        <f t="shared" si="90"/>
        <v/>
      </c>
      <c r="K1109" s="10">
        <v>2.0270270270266177E-3</v>
      </c>
      <c r="L1109" s="10">
        <v>4.7554347826077592E-3</v>
      </c>
      <c r="M1109" s="10">
        <v>-2.0325203252031576E-2</v>
      </c>
      <c r="N1109" s="10">
        <v>-4.4037940379404339E-2</v>
      </c>
      <c r="O1109" s="10">
        <v>-0.13500000000000223</v>
      </c>
      <c r="P1109" s="10">
        <v>-0.9924999999999955</v>
      </c>
      <c r="Q1109" s="10">
        <v>-0.99500000000000455</v>
      </c>
      <c r="R1109" s="10">
        <v>-1</v>
      </c>
      <c r="S1109" s="10">
        <v>-1</v>
      </c>
      <c r="T1109" s="10">
        <v>-1</v>
      </c>
      <c r="U1109" s="1">
        <v>1211</v>
      </c>
      <c r="W1109" s="1">
        <v>3211738</v>
      </c>
    </row>
    <row r="1110" spans="1:23" x14ac:dyDescent="0.25">
      <c r="A1110" s="76">
        <v>3</v>
      </c>
      <c r="B1110" s="91" t="s">
        <v>54</v>
      </c>
      <c r="C1110" s="76">
        <v>1998</v>
      </c>
      <c r="D1110" s="76" t="str">
        <f t="shared" si="91"/>
        <v>A98N</v>
      </c>
      <c r="E1110" s="76" t="s">
        <v>898</v>
      </c>
      <c r="F1110" s="89" t="s">
        <v>891</v>
      </c>
      <c r="G1110" s="90">
        <v>0</v>
      </c>
      <c r="H1110" s="88">
        <v>42185</v>
      </c>
      <c r="I1110" s="88">
        <v>42185</v>
      </c>
      <c r="J1110" s="3" t="str">
        <f t="shared" si="90"/>
        <v/>
      </c>
      <c r="K1110" s="10">
        <v>-1</v>
      </c>
      <c r="L1110" s="10">
        <v>-1</v>
      </c>
      <c r="M1110" s="10">
        <v>-1</v>
      </c>
      <c r="N1110" s="10">
        <v>-1</v>
      </c>
      <c r="O1110" s="10">
        <v>-1</v>
      </c>
      <c r="P1110" s="10">
        <v>-1</v>
      </c>
      <c r="Q1110" s="10">
        <v>-1</v>
      </c>
      <c r="R1110" s="10">
        <v>-1</v>
      </c>
      <c r="S1110" s="10">
        <v>-1</v>
      </c>
      <c r="T1110" s="10">
        <v>-1</v>
      </c>
      <c r="U1110" s="1">
        <v>1309</v>
      </c>
      <c r="W1110" s="1">
        <v>3210571</v>
      </c>
    </row>
    <row r="1111" spans="1:23" x14ac:dyDescent="0.25">
      <c r="A1111" s="76">
        <v>3</v>
      </c>
      <c r="B1111" s="91" t="s">
        <v>54</v>
      </c>
      <c r="C1111" s="76">
        <v>1998</v>
      </c>
      <c r="D1111" s="76" t="str">
        <f t="shared" si="91"/>
        <v>A98N</v>
      </c>
      <c r="E1111" s="76" t="s">
        <v>898</v>
      </c>
      <c r="F1111" s="89" t="s">
        <v>892</v>
      </c>
      <c r="G1111" s="90">
        <v>1.1126316836123085E-2</v>
      </c>
      <c r="H1111" s="88">
        <v>42185</v>
      </c>
      <c r="I1111" s="88">
        <v>42185</v>
      </c>
      <c r="J1111" s="3" t="str">
        <f t="shared" si="90"/>
        <v/>
      </c>
      <c r="K1111" s="10">
        <v>-0.88716216216216182</v>
      </c>
      <c r="L1111" s="10">
        <v>-0.94089673913043448</v>
      </c>
      <c r="M1111" s="10">
        <v>-0.98238482384823911</v>
      </c>
      <c r="N1111" s="10">
        <v>-0.99119241192411878</v>
      </c>
      <c r="O1111" s="10">
        <v>-1</v>
      </c>
      <c r="P1111" s="10">
        <v>-1</v>
      </c>
      <c r="Q1111" s="10">
        <v>-1</v>
      </c>
      <c r="R1111" s="10">
        <v>-1</v>
      </c>
      <c r="S1111" s="10">
        <v>-1</v>
      </c>
      <c r="T1111" s="10">
        <v>-1</v>
      </c>
      <c r="U1111" s="1">
        <v>2380</v>
      </c>
      <c r="W1111" s="1">
        <v>3259803</v>
      </c>
    </row>
    <row r="1112" spans="1:23" x14ac:dyDescent="0.25">
      <c r="A1112" s="76">
        <v>3</v>
      </c>
      <c r="B1112" s="91" t="s">
        <v>54</v>
      </c>
      <c r="C1112" s="76">
        <v>1998</v>
      </c>
      <c r="D1112" s="76" t="str">
        <f t="shared" si="91"/>
        <v>A98N</v>
      </c>
      <c r="E1112" s="76" t="s">
        <v>898</v>
      </c>
      <c r="F1112" s="89" t="s">
        <v>893</v>
      </c>
      <c r="G1112" s="90">
        <v>0</v>
      </c>
      <c r="H1112" s="88">
        <v>42142</v>
      </c>
      <c r="I1112" s="88">
        <v>42142</v>
      </c>
      <c r="J1112" s="3" t="str">
        <f t="shared" si="90"/>
        <v/>
      </c>
      <c r="K1112" s="10">
        <v>-1</v>
      </c>
      <c r="L1112" s="10">
        <v>-1</v>
      </c>
      <c r="M1112" s="10">
        <v>-1</v>
      </c>
      <c r="N1112" s="10">
        <v>-1</v>
      </c>
      <c r="O1112" s="10">
        <v>-1</v>
      </c>
      <c r="P1112" s="10">
        <v>-1</v>
      </c>
      <c r="Q1112" s="10">
        <v>-1</v>
      </c>
      <c r="R1112" s="10">
        <v>-1</v>
      </c>
      <c r="S1112" s="10">
        <v>-1</v>
      </c>
      <c r="T1112" s="10">
        <v>-1</v>
      </c>
      <c r="U1112" s="1">
        <v>3339</v>
      </c>
      <c r="W1112" s="1">
        <v>3251781</v>
      </c>
    </row>
    <row r="1113" spans="1:23" x14ac:dyDescent="0.25">
      <c r="A1113" s="76">
        <v>3</v>
      </c>
      <c r="B1113" s="91" t="s">
        <v>54</v>
      </c>
      <c r="C1113" s="76">
        <v>1998</v>
      </c>
      <c r="D1113" s="76" t="str">
        <f t="shared" si="91"/>
        <v>A98N</v>
      </c>
      <c r="E1113" s="76" t="s">
        <v>898</v>
      </c>
      <c r="F1113" s="89" t="s">
        <v>894</v>
      </c>
      <c r="G1113" s="90">
        <v>8.9839659933196203E-2</v>
      </c>
      <c r="H1113" s="29"/>
      <c r="I1113" s="29"/>
      <c r="J1113" s="3" t="str">
        <f t="shared" si="90"/>
        <v/>
      </c>
      <c r="K1113" s="10">
        <v>-4.72972972973007E-3</v>
      </c>
      <c r="L1113" s="10">
        <v>-0.45448369565217417</v>
      </c>
      <c r="M1113" s="10">
        <v>-0.92682926829268242</v>
      </c>
      <c r="N1113" s="10">
        <v>-0.98983739837398377</v>
      </c>
      <c r="O1113" s="10">
        <v>-0.99750000000000227</v>
      </c>
      <c r="P1113" s="10">
        <v>-1</v>
      </c>
      <c r="Q1113" s="10">
        <v>-1</v>
      </c>
      <c r="R1113" s="10">
        <v>-1</v>
      </c>
      <c r="S1113" s="10">
        <v>-1</v>
      </c>
      <c r="T1113" s="10">
        <v>-1</v>
      </c>
      <c r="U1113" s="1" t="s">
        <v>1116</v>
      </c>
    </row>
    <row r="1114" spans="1:23" x14ac:dyDescent="0.25">
      <c r="A1114" s="76">
        <v>3</v>
      </c>
      <c r="B1114" s="91" t="s">
        <v>54</v>
      </c>
      <c r="C1114" s="76">
        <v>1998</v>
      </c>
      <c r="D1114" s="76" t="str">
        <f t="shared" si="91"/>
        <v>A98N</v>
      </c>
      <c r="E1114" s="76" t="s">
        <v>898</v>
      </c>
      <c r="F1114" s="89" t="s">
        <v>895</v>
      </c>
      <c r="G1114" s="90">
        <v>2.7125315277499173E-2</v>
      </c>
      <c r="H1114" s="88">
        <v>42185</v>
      </c>
      <c r="I1114" s="88">
        <v>42185</v>
      </c>
      <c r="J1114" s="3" t="str">
        <f t="shared" si="90"/>
        <v/>
      </c>
      <c r="K1114" s="10">
        <v>-0.68243243243243246</v>
      </c>
      <c r="L1114" s="10">
        <v>-0.87092391304347827</v>
      </c>
      <c r="M1114" s="10">
        <v>-0.95934959349593496</v>
      </c>
      <c r="N1114" s="10">
        <v>-0.98848238482384865</v>
      </c>
      <c r="O1114" s="10">
        <v>-1</v>
      </c>
      <c r="P1114" s="10">
        <v>-1</v>
      </c>
      <c r="Q1114" s="10">
        <v>-1</v>
      </c>
      <c r="R1114" s="10">
        <v>-1</v>
      </c>
      <c r="S1114" s="10">
        <v>-1</v>
      </c>
      <c r="T1114" s="10">
        <v>-1</v>
      </c>
      <c r="U1114" s="1">
        <v>3077</v>
      </c>
      <c r="W1114" s="1">
        <v>3252621</v>
      </c>
    </row>
    <row r="1115" spans="1:23" x14ac:dyDescent="0.25">
      <c r="A1115" s="76">
        <v>3</v>
      </c>
      <c r="B1115" s="91" t="s">
        <v>54</v>
      </c>
      <c r="C1115" s="76">
        <v>1998</v>
      </c>
      <c r="D1115" s="76" t="str">
        <f t="shared" si="91"/>
        <v>A98N</v>
      </c>
      <c r="E1115" s="76" t="s">
        <v>898</v>
      </c>
      <c r="F1115" s="89" t="s">
        <v>896</v>
      </c>
      <c r="G1115" s="90">
        <v>2.5861421445238841E-2</v>
      </c>
      <c r="H1115" s="88">
        <v>42185</v>
      </c>
      <c r="I1115" s="88">
        <v>42185</v>
      </c>
      <c r="J1115" s="3" t="str">
        <f t="shared" si="90"/>
        <v/>
      </c>
      <c r="K1115" s="10">
        <v>-0.5033783783783784</v>
      </c>
      <c r="L1115" s="10">
        <v>-0.99796195652173947</v>
      </c>
      <c r="M1115" s="10">
        <v>-0.99119241192411955</v>
      </c>
      <c r="N1115" s="10">
        <v>-0.99864498644986421</v>
      </c>
      <c r="O1115" s="10">
        <v>-0.99499999999999889</v>
      </c>
      <c r="P1115" s="10">
        <v>-0.99750000000000227</v>
      </c>
      <c r="Q1115" s="10">
        <v>-0.99499999999999889</v>
      </c>
      <c r="R1115" s="10">
        <v>-1</v>
      </c>
      <c r="S1115" s="10">
        <v>-1</v>
      </c>
      <c r="T1115" s="10">
        <v>-1</v>
      </c>
      <c r="U1115" s="1">
        <v>2320</v>
      </c>
      <c r="W1115" s="1">
        <v>3271625</v>
      </c>
    </row>
    <row r="1116" spans="1:23" x14ac:dyDescent="0.25">
      <c r="A1116" s="76">
        <v>3</v>
      </c>
      <c r="B1116" s="91" t="s">
        <v>54</v>
      </c>
      <c r="C1116" s="76">
        <v>1998</v>
      </c>
      <c r="D1116" s="76" t="str">
        <f t="shared" si="91"/>
        <v>A98N</v>
      </c>
      <c r="E1116" s="76" t="s">
        <v>898</v>
      </c>
      <c r="F1116" s="89" t="s">
        <v>897</v>
      </c>
      <c r="G1116" s="90">
        <v>2.1670698925263854E-2</v>
      </c>
      <c r="H1116" s="88">
        <v>36315</v>
      </c>
      <c r="I1116" s="88">
        <v>42202</v>
      </c>
      <c r="J1116" s="3">
        <f t="shared" si="90"/>
        <v>16</v>
      </c>
      <c r="K1116" s="10">
        <v>-0.81689189189189093</v>
      </c>
      <c r="L1116" s="10">
        <v>-0.91915760869565311</v>
      </c>
      <c r="M1116" s="10">
        <v>-0.94376693766937703</v>
      </c>
      <c r="N1116" s="10">
        <v>-0.97154471544715415</v>
      </c>
      <c r="O1116" s="10">
        <v>-0.99250000000000116</v>
      </c>
      <c r="P1116" s="10">
        <v>-1</v>
      </c>
      <c r="Q1116" s="10">
        <v>-1</v>
      </c>
      <c r="R1116" s="10">
        <v>-1</v>
      </c>
      <c r="S1116" s="10">
        <v>-1</v>
      </c>
      <c r="T1116" s="10">
        <v>-1</v>
      </c>
      <c r="U1116" s="1">
        <v>3234</v>
      </c>
      <c r="W1116" s="1">
        <v>2237989</v>
      </c>
    </row>
    <row r="1117" spans="1:23" x14ac:dyDescent="0.25">
      <c r="A1117" s="76">
        <v>1.5</v>
      </c>
      <c r="B1117" s="76" t="s">
        <v>54</v>
      </c>
      <c r="C1117" s="91">
        <v>2011</v>
      </c>
      <c r="D1117" s="76" t="str">
        <f t="shared" si="91"/>
        <v>Y11X</v>
      </c>
      <c r="E1117" s="76" t="s">
        <v>33</v>
      </c>
      <c r="F1117" s="89" t="s">
        <v>907</v>
      </c>
      <c r="G1117" s="78">
        <v>0.80830032122896234</v>
      </c>
      <c r="H1117" s="88">
        <v>40912</v>
      </c>
      <c r="I1117" s="88">
        <v>42334</v>
      </c>
      <c r="J1117" s="3">
        <f t="shared" si="90"/>
        <v>3</v>
      </c>
      <c r="K1117" s="10">
        <v>-0.64850136239781997</v>
      </c>
      <c r="L1117" s="10">
        <v>-0.49557522123893794</v>
      </c>
      <c r="M1117" s="10">
        <v>-0.48577235772357741</v>
      </c>
      <c r="N1117" s="10">
        <v>-0.32564450474898254</v>
      </c>
      <c r="O1117" s="10">
        <v>-2.999999999999825E-2</v>
      </c>
      <c r="P1117" s="10">
        <v>-2.2499999999999409E-2</v>
      </c>
      <c r="Q1117" s="10">
        <v>-2.2500000000002296E-2</v>
      </c>
      <c r="R1117" s="10">
        <v>-4.4999999999998819E-2</v>
      </c>
      <c r="S1117" s="10">
        <v>-0.59250000000000114</v>
      </c>
      <c r="T1117" s="10">
        <v>-1</v>
      </c>
      <c r="U1117" s="1">
        <v>8089</v>
      </c>
      <c r="W1117" s="1">
        <v>4335465</v>
      </c>
    </row>
    <row r="1118" spans="1:23" x14ac:dyDescent="0.25">
      <c r="A1118" s="76">
        <v>1.5</v>
      </c>
      <c r="B1118" s="76" t="s">
        <v>54</v>
      </c>
      <c r="C1118" s="91">
        <v>2011</v>
      </c>
      <c r="D1118" s="76" t="str">
        <f t="shared" si="91"/>
        <v>Y11X</v>
      </c>
      <c r="E1118" s="76" t="s">
        <v>33</v>
      </c>
      <c r="F1118" s="89" t="s">
        <v>908</v>
      </c>
      <c r="G1118" s="78">
        <v>0.88063900723080601</v>
      </c>
      <c r="H1118" s="88">
        <v>41058</v>
      </c>
      <c r="I1118" s="88">
        <v>41058</v>
      </c>
      <c r="J1118" s="3" t="str">
        <f t="shared" si="90"/>
        <v/>
      </c>
      <c r="K1118" s="10">
        <v>-4.2234332425067245E-2</v>
      </c>
      <c r="L1118" s="10">
        <v>-2.1102791014295796E-2</v>
      </c>
      <c r="M1118" s="10">
        <v>-2.7100271002710619E-2</v>
      </c>
      <c r="N1118" s="10">
        <v>-3.3921302578018397E-2</v>
      </c>
      <c r="O1118" s="10">
        <v>-1.2499999999999956E-2</v>
      </c>
      <c r="P1118" s="10">
        <v>5.0000000000012257E-3</v>
      </c>
      <c r="Q1118" s="10">
        <v>-6.0000000000002274E-2</v>
      </c>
      <c r="R1118" s="10">
        <v>-0.44999999999999996</v>
      </c>
      <c r="S1118" s="10">
        <v>-0.89499999999999891</v>
      </c>
      <c r="T1118" s="10">
        <v>-1</v>
      </c>
      <c r="U1118" s="1">
        <v>4471</v>
      </c>
      <c r="W1118" s="1">
        <v>1354965</v>
      </c>
    </row>
    <row r="1119" spans="1:23" x14ac:dyDescent="0.25">
      <c r="A1119" s="76">
        <v>1.5</v>
      </c>
      <c r="B1119" s="76" t="s">
        <v>54</v>
      </c>
      <c r="C1119" s="91">
        <v>2011</v>
      </c>
      <c r="D1119" s="76" t="str">
        <f t="shared" si="91"/>
        <v>Y11X</v>
      </c>
      <c r="E1119" s="76" t="s">
        <v>33</v>
      </c>
      <c r="F1119" s="89" t="s">
        <v>909</v>
      </c>
      <c r="G1119" s="78">
        <v>0.83628865251645879</v>
      </c>
      <c r="H1119" s="88">
        <v>40714</v>
      </c>
      <c r="I1119" s="88">
        <v>42324</v>
      </c>
      <c r="J1119" s="3">
        <f t="shared" si="90"/>
        <v>4</v>
      </c>
      <c r="K1119" s="10">
        <v>-0.50272479564032702</v>
      </c>
      <c r="L1119" s="10">
        <v>-0.48536419332879532</v>
      </c>
      <c r="M1119" s="10">
        <v>-0.48712737127371242</v>
      </c>
      <c r="N1119" s="10">
        <v>-0.34803256445047481</v>
      </c>
      <c r="O1119" s="10">
        <v>1.9999999999998908E-2</v>
      </c>
      <c r="P1119" s="10">
        <v>1.5000000000000568E-2</v>
      </c>
      <c r="Q1119" s="10">
        <v>5.0000000000012257E-3</v>
      </c>
      <c r="R1119" s="10">
        <v>-1.2499999999999956E-2</v>
      </c>
      <c r="S1119" s="10">
        <v>-0.66000000000000225</v>
      </c>
      <c r="T1119" s="10">
        <v>-1</v>
      </c>
      <c r="U1119" s="1">
        <v>500</v>
      </c>
      <c r="W1119" s="1">
        <v>833126</v>
      </c>
    </row>
    <row r="1120" spans="1:23" x14ac:dyDescent="0.25">
      <c r="A1120" s="76">
        <v>1.5</v>
      </c>
      <c r="B1120" s="76" t="s">
        <v>54</v>
      </c>
      <c r="C1120" s="91">
        <v>2011</v>
      </c>
      <c r="D1120" s="76" t="str">
        <f t="shared" si="91"/>
        <v>Y11X</v>
      </c>
      <c r="E1120" s="76" t="s">
        <v>33</v>
      </c>
      <c r="F1120" s="89" t="s">
        <v>910</v>
      </c>
      <c r="G1120" s="78">
        <v>0.91498557470788411</v>
      </c>
      <c r="H1120" s="88">
        <v>40722</v>
      </c>
      <c r="I1120" s="88">
        <v>42319</v>
      </c>
      <c r="J1120" s="3">
        <f t="shared" si="90"/>
        <v>4</v>
      </c>
      <c r="K1120" s="10">
        <v>-4.1553133514986129E-2</v>
      </c>
      <c r="L1120" s="10">
        <v>-2.3144996596324074E-2</v>
      </c>
      <c r="M1120" s="10">
        <v>-1.7615176151761447E-2</v>
      </c>
      <c r="N1120" s="10">
        <v>-9.4979647218453866E-3</v>
      </c>
      <c r="O1120" s="10">
        <v>9.9999999999966782E-3</v>
      </c>
      <c r="P1120" s="10">
        <v>2.4999999999999911E-2</v>
      </c>
      <c r="Q1120" s="10">
        <v>-1.9999999999998908E-2</v>
      </c>
      <c r="R1120" s="10">
        <v>-0.13499999999999657</v>
      </c>
      <c r="S1120" s="10">
        <v>-0.99500000000000455</v>
      </c>
      <c r="T1120" s="10">
        <v>-1</v>
      </c>
      <c r="U1120" s="1">
        <v>7852</v>
      </c>
      <c r="W1120" s="1">
        <v>3408841</v>
      </c>
    </row>
    <row r="1121" spans="1:23" x14ac:dyDescent="0.25">
      <c r="A1121" s="76">
        <v>1.5</v>
      </c>
      <c r="B1121" s="76" t="s">
        <v>54</v>
      </c>
      <c r="C1121" s="91">
        <v>2011</v>
      </c>
      <c r="D1121" s="76" t="str">
        <f t="shared" si="91"/>
        <v>Y11X</v>
      </c>
      <c r="E1121" s="76" t="s">
        <v>33</v>
      </c>
      <c r="F1121" s="89" t="s">
        <v>911</v>
      </c>
      <c r="G1121" s="78">
        <v>0.93330056241354309</v>
      </c>
      <c r="H1121" s="88">
        <v>42228</v>
      </c>
      <c r="I1121" s="88">
        <v>42228</v>
      </c>
      <c r="J1121" s="3" t="str">
        <f t="shared" si="90"/>
        <v/>
      </c>
      <c r="K1121" s="10">
        <v>-3.4059945504087197E-2</v>
      </c>
      <c r="L1121" s="10">
        <v>-3.6078965282505426E-2</v>
      </c>
      <c r="M1121" s="10">
        <v>-2.7100271002709841E-2</v>
      </c>
      <c r="N1121" s="10">
        <v>-2.7137042062415073E-3</v>
      </c>
      <c r="O1121" s="10">
        <v>9.9999999999993427E-3</v>
      </c>
      <c r="P1121" s="10">
        <v>9.9999999999993427E-3</v>
      </c>
      <c r="Q1121" s="10">
        <v>-2.4999999999977263E-3</v>
      </c>
      <c r="R1121" s="10">
        <v>-1.5000000000000568E-2</v>
      </c>
      <c r="S1121" s="10">
        <v>-0.79500000000000171</v>
      </c>
      <c r="T1121" s="10">
        <v>-1</v>
      </c>
      <c r="U1121" s="1">
        <v>1304</v>
      </c>
      <c r="W1121" s="1">
        <v>211109</v>
      </c>
    </row>
    <row r="1122" spans="1:23" x14ac:dyDescent="0.25">
      <c r="A1122" s="76">
        <v>1.5</v>
      </c>
      <c r="B1122" s="76" t="s">
        <v>54</v>
      </c>
      <c r="C1122" s="91">
        <v>2011</v>
      </c>
      <c r="D1122" s="76" t="str">
        <f t="shared" si="91"/>
        <v>Y11X</v>
      </c>
      <c r="E1122" s="76" t="s">
        <v>33</v>
      </c>
      <c r="F1122" s="89" t="s">
        <v>912</v>
      </c>
      <c r="G1122" s="78">
        <v>0.82578058032061552</v>
      </c>
      <c r="H1122" s="88">
        <v>42221</v>
      </c>
      <c r="I1122" s="88">
        <v>42221</v>
      </c>
      <c r="J1122" s="3" t="str">
        <f t="shared" si="90"/>
        <v/>
      </c>
      <c r="K1122" s="10">
        <v>-0.6335149863760221</v>
      </c>
      <c r="L1122" s="10">
        <v>-0.46494213750850988</v>
      </c>
      <c r="M1122" s="10">
        <v>-0.45528455284552782</v>
      </c>
      <c r="N1122" s="10">
        <v>-0.27001356852103187</v>
      </c>
      <c r="O1122" s="10">
        <v>3.5000000000002363E-2</v>
      </c>
      <c r="P1122" s="10">
        <v>3.0000000000001137E-2</v>
      </c>
      <c r="Q1122" s="10">
        <v>4.9999999999954525E-3</v>
      </c>
      <c r="R1122" s="10">
        <v>-3.2499999999998863E-2</v>
      </c>
      <c r="S1122" s="10">
        <v>-0.99250000000000116</v>
      </c>
      <c r="T1122" s="10">
        <v>-1</v>
      </c>
      <c r="U1122" s="1">
        <v>4721</v>
      </c>
      <c r="W1122" s="1">
        <v>298344</v>
      </c>
    </row>
    <row r="1123" spans="1:23" x14ac:dyDescent="0.25">
      <c r="A1123" s="76">
        <v>1.5</v>
      </c>
      <c r="B1123" s="76" t="s">
        <v>54</v>
      </c>
      <c r="C1123" s="91">
        <v>2011</v>
      </c>
      <c r="D1123" s="76" t="str">
        <f t="shared" si="91"/>
        <v>Y11X</v>
      </c>
      <c r="E1123" s="76" t="s">
        <v>33</v>
      </c>
      <c r="F1123" s="89" t="s">
        <v>913</v>
      </c>
      <c r="G1123" s="78">
        <v>0</v>
      </c>
      <c r="H1123" s="88">
        <v>42065</v>
      </c>
      <c r="I1123" s="88">
        <v>42065</v>
      </c>
      <c r="J1123" s="3" t="str">
        <f t="shared" si="90"/>
        <v/>
      </c>
      <c r="K1123" s="10">
        <v>-1</v>
      </c>
      <c r="L1123" s="10">
        <v>-1</v>
      </c>
      <c r="M1123" s="10">
        <v>-1</v>
      </c>
      <c r="N1123" s="10">
        <v>-1</v>
      </c>
      <c r="O1123" s="10">
        <v>-1</v>
      </c>
      <c r="P1123" s="10">
        <v>-1</v>
      </c>
      <c r="Q1123" s="10">
        <v>-1</v>
      </c>
      <c r="R1123" s="10">
        <v>-1</v>
      </c>
      <c r="S1123" s="10">
        <v>-1</v>
      </c>
      <c r="T1123" s="10">
        <v>-1</v>
      </c>
      <c r="U1123" s="1">
        <v>530</v>
      </c>
      <c r="W1123" s="1">
        <v>4873327</v>
      </c>
    </row>
    <row r="1124" spans="1:23" x14ac:dyDescent="0.25">
      <c r="A1124" s="76">
        <v>1.5</v>
      </c>
      <c r="B1124" s="76" t="s">
        <v>54</v>
      </c>
      <c r="C1124" s="91">
        <v>2011</v>
      </c>
      <c r="D1124" s="76" t="str">
        <f t="shared" si="91"/>
        <v>Y11X</v>
      </c>
      <c r="E1124" s="76" t="s">
        <v>33</v>
      </c>
      <c r="F1124" s="89" t="s">
        <v>914</v>
      </c>
      <c r="G1124" s="78">
        <v>0</v>
      </c>
      <c r="H1124" s="88">
        <v>40781</v>
      </c>
      <c r="I1124" s="88">
        <v>42324</v>
      </c>
      <c r="J1124" s="3">
        <f t="shared" si="90"/>
        <v>4</v>
      </c>
      <c r="K1124" s="10">
        <v>-1</v>
      </c>
      <c r="L1124" s="10">
        <v>-1</v>
      </c>
      <c r="M1124" s="10">
        <v>-1</v>
      </c>
      <c r="N1124" s="10">
        <v>-1</v>
      </c>
      <c r="O1124" s="10">
        <v>-1</v>
      </c>
      <c r="P1124" s="10">
        <v>-1</v>
      </c>
      <c r="Q1124" s="10">
        <v>-1</v>
      </c>
      <c r="R1124" s="10">
        <v>-1</v>
      </c>
      <c r="S1124" s="10">
        <v>-1</v>
      </c>
      <c r="T1124" s="10">
        <v>-1</v>
      </c>
      <c r="U1124" s="1">
        <v>1274</v>
      </c>
      <c r="W1124" s="1">
        <v>6090771</v>
      </c>
    </row>
    <row r="1125" spans="1:23" x14ac:dyDescent="0.25">
      <c r="A1125" s="76">
        <v>1.5</v>
      </c>
      <c r="B1125" s="91" t="s">
        <v>54</v>
      </c>
      <c r="C1125" s="76">
        <v>1998</v>
      </c>
      <c r="D1125" s="76" t="str">
        <f>LEFT(F1125,4)</f>
        <v>Y11X</v>
      </c>
      <c r="E1125" s="76" t="s">
        <v>33</v>
      </c>
      <c r="F1125" s="89" t="s">
        <v>985</v>
      </c>
      <c r="G1125" s="90">
        <v>0.93436977999999982</v>
      </c>
      <c r="H1125" s="88">
        <v>40603</v>
      </c>
      <c r="I1125" s="88">
        <v>40603</v>
      </c>
      <c r="J1125" s="3" t="str">
        <f t="shared" si="90"/>
        <v/>
      </c>
      <c r="K1125" s="10">
        <v>-7.4999999999999512E-3</v>
      </c>
      <c r="L1125" s="10">
        <v>-7.5000000000001732E-3</v>
      </c>
      <c r="M1125" s="10">
        <v>-9.0999999999996639E-3</v>
      </c>
      <c r="N1125" s="10">
        <v>-1.2100000000000333E-2</v>
      </c>
      <c r="O1125" s="10">
        <v>9.0000000000032276E-3</v>
      </c>
      <c r="P1125" s="10">
        <v>3.9999999999964508E-3</v>
      </c>
      <c r="Q1125" s="10">
        <v>-3.4000000000003139E-2</v>
      </c>
      <c r="R1125" s="10">
        <v>-8.6000000000001409E-2</v>
      </c>
      <c r="S1125" s="10">
        <v>-0.6579999999999927</v>
      </c>
      <c r="T1125" s="10">
        <v>-1</v>
      </c>
      <c r="U1125" s="1" t="s">
        <v>1116</v>
      </c>
      <c r="W1125" s="1">
        <v>4779517</v>
      </c>
    </row>
    <row r="1126" spans="1:23" x14ac:dyDescent="0.25">
      <c r="A1126" s="76">
        <v>1.5</v>
      </c>
      <c r="B1126" s="91" t="s">
        <v>54</v>
      </c>
      <c r="C1126" s="76">
        <v>1998</v>
      </c>
      <c r="D1126" s="76" t="str">
        <f t="shared" ref="D1126:D1135" si="92">LEFT(F1126,4)</f>
        <v>Y11X</v>
      </c>
      <c r="E1126" s="76" t="s">
        <v>33</v>
      </c>
      <c r="F1126" s="89" t="s">
        <v>986</v>
      </c>
      <c r="G1126" s="90">
        <v>0</v>
      </c>
      <c r="H1126" s="88">
        <v>42142</v>
      </c>
      <c r="I1126" s="88">
        <v>42142</v>
      </c>
      <c r="J1126" s="3" t="str">
        <f t="shared" si="90"/>
        <v/>
      </c>
      <c r="K1126" s="10">
        <v>-1</v>
      </c>
      <c r="L1126" s="10">
        <v>-1</v>
      </c>
      <c r="M1126" s="10">
        <v>-1</v>
      </c>
      <c r="N1126" s="10">
        <v>-1</v>
      </c>
      <c r="O1126" s="10">
        <v>-1</v>
      </c>
      <c r="P1126" s="10">
        <v>-1</v>
      </c>
      <c r="Q1126" s="10">
        <v>-1</v>
      </c>
      <c r="R1126" s="10">
        <v>-1</v>
      </c>
      <c r="S1126" s="10">
        <v>-1</v>
      </c>
      <c r="T1126" s="10">
        <v>-1</v>
      </c>
      <c r="U1126" s="1">
        <v>1917</v>
      </c>
      <c r="W1126" s="1">
        <v>1371428</v>
      </c>
    </row>
    <row r="1127" spans="1:23" x14ac:dyDescent="0.25">
      <c r="A1127" s="76">
        <v>1.5</v>
      </c>
      <c r="B1127" s="91" t="s">
        <v>54</v>
      </c>
      <c r="C1127" s="76">
        <v>1998</v>
      </c>
      <c r="D1127" s="76" t="str">
        <f t="shared" si="92"/>
        <v>Y11X</v>
      </c>
      <c r="E1127" s="76" t="s">
        <v>33</v>
      </c>
      <c r="F1127" s="89" t="s">
        <v>987</v>
      </c>
      <c r="G1127" s="90">
        <v>0</v>
      </c>
      <c r="H1127" s="88">
        <v>42185</v>
      </c>
      <c r="I1127" s="88">
        <v>42185</v>
      </c>
      <c r="J1127" s="3" t="str">
        <f t="shared" si="90"/>
        <v/>
      </c>
      <c r="K1127" s="10">
        <v>-1</v>
      </c>
      <c r="L1127" s="10">
        <v>-1</v>
      </c>
      <c r="M1127" s="10">
        <v>-1</v>
      </c>
      <c r="N1127" s="10">
        <v>-1</v>
      </c>
      <c r="O1127" s="10">
        <v>-1</v>
      </c>
      <c r="P1127" s="10">
        <v>-1</v>
      </c>
      <c r="Q1127" s="10">
        <v>-1</v>
      </c>
      <c r="R1127" s="10">
        <v>-1</v>
      </c>
      <c r="S1127" s="10">
        <v>-1</v>
      </c>
      <c r="T1127" s="10">
        <v>-1</v>
      </c>
      <c r="U1127" s="1">
        <v>391</v>
      </c>
      <c r="W1127" s="1">
        <v>3350576</v>
      </c>
    </row>
    <row r="1128" spans="1:23" x14ac:dyDescent="0.25">
      <c r="A1128" s="76">
        <v>1.5</v>
      </c>
      <c r="B1128" s="91" t="s">
        <v>54</v>
      </c>
      <c r="C1128" s="76">
        <v>1998</v>
      </c>
      <c r="D1128" s="76" t="str">
        <f t="shared" si="92"/>
        <v>Y11X</v>
      </c>
      <c r="E1128" s="76" t="s">
        <v>33</v>
      </c>
      <c r="F1128" s="89" t="s">
        <v>988</v>
      </c>
      <c r="G1128" s="90">
        <v>0.58201369999999963</v>
      </c>
      <c r="H1128" s="88">
        <v>42164</v>
      </c>
      <c r="I1128" s="88">
        <v>42164</v>
      </c>
      <c r="J1128" s="3" t="str">
        <f t="shared" si="90"/>
        <v/>
      </c>
      <c r="K1128" s="10">
        <v>-1</v>
      </c>
      <c r="L1128" s="10">
        <v>-1</v>
      </c>
      <c r="M1128" s="10">
        <v>-0.99960000000000004</v>
      </c>
      <c r="N1128" s="10">
        <v>-0.99979999999999991</v>
      </c>
      <c r="O1128" s="10">
        <v>3.0000000000001137E-3</v>
      </c>
      <c r="P1128" s="10">
        <v>-1.6000000000002457E-2</v>
      </c>
      <c r="Q1128" s="10">
        <v>-0.245999999999998</v>
      </c>
      <c r="R1128" s="10">
        <v>-0.70800000000000129</v>
      </c>
      <c r="S1128" s="10">
        <v>-1</v>
      </c>
      <c r="T1128" s="10">
        <v>-1</v>
      </c>
      <c r="U1128" s="1">
        <v>3424</v>
      </c>
      <c r="W1128" s="1">
        <v>3175219</v>
      </c>
    </row>
    <row r="1129" spans="1:23" x14ac:dyDescent="0.25">
      <c r="A1129" s="76">
        <v>1.5</v>
      </c>
      <c r="B1129" s="91" t="s">
        <v>54</v>
      </c>
      <c r="C1129" s="76">
        <v>1998</v>
      </c>
      <c r="D1129" s="76" t="str">
        <f t="shared" si="92"/>
        <v>Y11X</v>
      </c>
      <c r="E1129" s="76" t="s">
        <v>33</v>
      </c>
      <c r="F1129" s="89" t="s">
        <v>989</v>
      </c>
      <c r="G1129" s="90">
        <v>0.61218134000000102</v>
      </c>
      <c r="H1129" s="88">
        <v>42142</v>
      </c>
      <c r="I1129" s="88">
        <v>42142</v>
      </c>
      <c r="J1129" s="3" t="str">
        <f t="shared" si="90"/>
        <v/>
      </c>
      <c r="K1129" s="10">
        <v>-1.9600000000000395E-2</v>
      </c>
      <c r="L1129" s="10">
        <v>-2.1399999999999864E-2</v>
      </c>
      <c r="M1129" s="10">
        <v>-2.7999999999999803E-2</v>
      </c>
      <c r="N1129" s="10">
        <v>-2.9100000000000015E-2</v>
      </c>
      <c r="O1129" s="10">
        <v>-5.5000000000001159E-2</v>
      </c>
      <c r="P1129" s="10">
        <v>-0.40599999999999459</v>
      </c>
      <c r="Q1129" s="10">
        <v>-1</v>
      </c>
      <c r="R1129" s="10">
        <v>-1</v>
      </c>
      <c r="S1129" s="10">
        <v>-1</v>
      </c>
      <c r="T1129" s="10">
        <v>-1</v>
      </c>
      <c r="U1129" s="1">
        <v>257</v>
      </c>
      <c r="W1129" s="1">
        <v>3652051</v>
      </c>
    </row>
    <row r="1130" spans="1:23" x14ac:dyDescent="0.25">
      <c r="A1130" s="76">
        <v>1.5</v>
      </c>
      <c r="B1130" s="91" t="s">
        <v>54</v>
      </c>
      <c r="C1130" s="76">
        <v>1998</v>
      </c>
      <c r="D1130" s="76" t="str">
        <f t="shared" si="92"/>
        <v>Y11X</v>
      </c>
      <c r="E1130" s="76" t="s">
        <v>33</v>
      </c>
      <c r="F1130" s="89" t="s">
        <v>990</v>
      </c>
      <c r="G1130" s="90">
        <v>9.120000000084616E-6</v>
      </c>
      <c r="H1130" s="88">
        <v>42177</v>
      </c>
      <c r="I1130" s="88">
        <v>42177</v>
      </c>
      <c r="J1130" s="3" t="str">
        <f t="shared" si="90"/>
        <v/>
      </c>
      <c r="K1130" s="10">
        <v>-0.99979999999999958</v>
      </c>
      <c r="L1130" s="10">
        <v>-1</v>
      </c>
      <c r="M1130" s="10">
        <v>-1</v>
      </c>
      <c r="N1130" s="10">
        <v>-1</v>
      </c>
      <c r="O1130" s="10">
        <v>-1</v>
      </c>
      <c r="P1130" s="10">
        <v>-1</v>
      </c>
      <c r="Q1130" s="10">
        <v>-1</v>
      </c>
      <c r="R1130" s="10">
        <v>-1</v>
      </c>
      <c r="S1130" s="10">
        <v>-1</v>
      </c>
      <c r="T1130" s="10">
        <v>-1</v>
      </c>
      <c r="U1130" s="1">
        <v>972</v>
      </c>
      <c r="W1130" s="1">
        <v>5148235</v>
      </c>
    </row>
    <row r="1131" spans="1:23" x14ac:dyDescent="0.25">
      <c r="A1131" s="76">
        <v>1.5</v>
      </c>
      <c r="B1131" s="91" t="s">
        <v>54</v>
      </c>
      <c r="C1131" s="76">
        <v>1998</v>
      </c>
      <c r="D1131" s="76" t="str">
        <f t="shared" si="92"/>
        <v>Y11X</v>
      </c>
      <c r="E1131" s="76" t="s">
        <v>33</v>
      </c>
      <c r="F1131" s="89" t="s">
        <v>991</v>
      </c>
      <c r="G1131" s="90">
        <v>0</v>
      </c>
      <c r="H1131" s="88">
        <v>42178</v>
      </c>
      <c r="I1131" s="88">
        <v>42178</v>
      </c>
      <c r="J1131" s="3" t="str">
        <f t="shared" si="90"/>
        <v/>
      </c>
      <c r="K1131" s="10">
        <v>-1</v>
      </c>
      <c r="L1131" s="10">
        <v>-1</v>
      </c>
      <c r="M1131" s="10">
        <v>-1</v>
      </c>
      <c r="N1131" s="10">
        <v>-1</v>
      </c>
      <c r="O1131" s="10">
        <v>-1</v>
      </c>
      <c r="P1131" s="10">
        <v>-1</v>
      </c>
      <c r="Q1131" s="10">
        <v>-1</v>
      </c>
      <c r="R1131" s="10">
        <v>-1</v>
      </c>
      <c r="S1131" s="10">
        <v>-1</v>
      </c>
      <c r="T1131" s="10">
        <v>-1</v>
      </c>
      <c r="U1131" s="1">
        <v>26</v>
      </c>
      <c r="W1131" s="1">
        <v>6805681</v>
      </c>
    </row>
    <row r="1132" spans="1:23" x14ac:dyDescent="0.25">
      <c r="A1132" s="76">
        <v>1.5</v>
      </c>
      <c r="B1132" s="91" t="s">
        <v>54</v>
      </c>
      <c r="C1132" s="76">
        <v>1998</v>
      </c>
      <c r="D1132" s="76" t="str">
        <f t="shared" si="92"/>
        <v>Y11X</v>
      </c>
      <c r="E1132" s="76" t="s">
        <v>33</v>
      </c>
      <c r="F1132" s="89" t="s">
        <v>992</v>
      </c>
      <c r="G1132" s="90">
        <v>0.8156593200000003</v>
      </c>
      <c r="H1132" s="88">
        <v>42151</v>
      </c>
      <c r="I1132" s="88">
        <v>42151</v>
      </c>
      <c r="J1132" s="3" t="str">
        <f t="shared" si="90"/>
        <v/>
      </c>
      <c r="K1132" s="10">
        <v>-8.9999999999978986E-4</v>
      </c>
      <c r="L1132" s="10">
        <v>2.2204460492503131E-16</v>
      </c>
      <c r="M1132" s="10">
        <v>3.3999999999998476E-3</v>
      </c>
      <c r="N1132" s="10">
        <v>9.9999999999988987E-5</v>
      </c>
      <c r="O1132" s="10">
        <v>2.2000000000002684E-2</v>
      </c>
      <c r="P1132" s="10">
        <v>-2.2000000000002684E-2</v>
      </c>
      <c r="Q1132" s="10">
        <v>-0.2899999999999977</v>
      </c>
      <c r="R1132" s="10">
        <v>-1</v>
      </c>
      <c r="S1132" s="10">
        <v>-1</v>
      </c>
      <c r="T1132" s="10">
        <v>-1</v>
      </c>
      <c r="U1132" s="1">
        <v>396</v>
      </c>
      <c r="W1132" s="1">
        <v>1112121</v>
      </c>
    </row>
    <row r="1133" spans="1:23" x14ac:dyDescent="0.25">
      <c r="A1133" s="76">
        <v>1.5</v>
      </c>
      <c r="B1133" s="91" t="s">
        <v>54</v>
      </c>
      <c r="C1133" s="76">
        <v>1998</v>
      </c>
      <c r="D1133" s="76" t="str">
        <f t="shared" si="92"/>
        <v>Y11X</v>
      </c>
      <c r="E1133" s="76" t="s">
        <v>33</v>
      </c>
      <c r="F1133" s="89" t="s">
        <v>993</v>
      </c>
      <c r="G1133" s="90">
        <v>0.98100316000000021</v>
      </c>
      <c r="H1133" s="88">
        <v>42144</v>
      </c>
      <c r="I1133" s="88">
        <v>42144</v>
      </c>
      <c r="J1133" s="3" t="str">
        <f t="shared" si="90"/>
        <v/>
      </c>
      <c r="K1133" s="10">
        <v>-1.7000000000000015E-2</v>
      </c>
      <c r="L1133" s="10">
        <v>-1.6399999999999859E-2</v>
      </c>
      <c r="M1133" s="10">
        <v>-1.8799999999999928E-2</v>
      </c>
      <c r="N1133" s="10">
        <v>-2.1100000000000119E-2</v>
      </c>
      <c r="O1133" s="10">
        <v>6.9999999999992291E-3</v>
      </c>
      <c r="P1133" s="10">
        <v>1.399999999999868E-2</v>
      </c>
      <c r="Q1133" s="10">
        <v>4.0000000000077751E-3</v>
      </c>
      <c r="R1133" s="10">
        <v>1.2000000000000455E-2</v>
      </c>
      <c r="S1133" s="10">
        <v>-5.6000000000005934E-2</v>
      </c>
      <c r="T1133" s="10">
        <v>-1</v>
      </c>
      <c r="U1133" s="1">
        <v>570</v>
      </c>
      <c r="W1133" s="1">
        <v>1503936</v>
      </c>
    </row>
    <row r="1134" spans="1:23" x14ac:dyDescent="0.25">
      <c r="A1134" s="76">
        <v>1.5</v>
      </c>
      <c r="B1134" s="91" t="s">
        <v>54</v>
      </c>
      <c r="C1134" s="76">
        <v>1998</v>
      </c>
      <c r="D1134" s="76" t="str">
        <f t="shared" si="92"/>
        <v>Y11X</v>
      </c>
      <c r="E1134" s="76" t="s">
        <v>33</v>
      </c>
      <c r="F1134" s="89" t="s">
        <v>994</v>
      </c>
      <c r="G1134" s="90">
        <v>0.97515899999999989</v>
      </c>
      <c r="H1134" s="88">
        <v>42139</v>
      </c>
      <c r="I1134" s="88">
        <v>42139</v>
      </c>
      <c r="J1134" s="3" t="str">
        <f t="shared" si="90"/>
        <v/>
      </c>
      <c r="K1134" s="10">
        <v>-1.3700000000000045E-2</v>
      </c>
      <c r="L1134" s="10">
        <v>-1.3500000000000179E-2</v>
      </c>
      <c r="M1134" s="10">
        <v>-1.8499999999999628E-2</v>
      </c>
      <c r="N1134" s="10">
        <v>-2.2700000000000498E-2</v>
      </c>
      <c r="O1134" s="10">
        <v>1.5000000000000568E-2</v>
      </c>
      <c r="P1134" s="10">
        <v>1.9999999999998908E-2</v>
      </c>
      <c r="Q1134" s="10">
        <v>0</v>
      </c>
      <c r="R1134" s="10">
        <v>-3.9999999999992264E-3</v>
      </c>
      <c r="S1134" s="10">
        <v>-0.1879999999999995</v>
      </c>
      <c r="T1134" s="10">
        <v>-1</v>
      </c>
      <c r="U1134" s="1">
        <v>365</v>
      </c>
      <c r="W1134" s="1">
        <v>6582672</v>
      </c>
    </row>
    <row r="1135" spans="1:23" x14ac:dyDescent="0.25">
      <c r="A1135" s="76">
        <v>3</v>
      </c>
      <c r="B1135" s="76" t="s">
        <v>54</v>
      </c>
      <c r="C1135" s="91">
        <v>2006</v>
      </c>
      <c r="D1135" s="76" t="str">
        <f t="shared" si="92"/>
        <v>A06A</v>
      </c>
      <c r="E1135" s="76" t="s">
        <v>158</v>
      </c>
      <c r="F1135" s="89" t="s">
        <v>1004</v>
      </c>
      <c r="G1135" s="78">
        <v>0</v>
      </c>
      <c r="H1135" s="88">
        <v>42139</v>
      </c>
      <c r="I1135" s="88">
        <v>42139</v>
      </c>
      <c r="J1135" s="3" t="str">
        <f t="shared" si="90"/>
        <v/>
      </c>
      <c r="K1135" s="10">
        <v>-1</v>
      </c>
      <c r="L1135" s="10">
        <v>-1</v>
      </c>
      <c r="M1135" s="10">
        <v>-1</v>
      </c>
      <c r="N1135" s="10">
        <v>-1</v>
      </c>
      <c r="O1135" s="10">
        <v>-1</v>
      </c>
      <c r="P1135" s="10">
        <v>-1</v>
      </c>
      <c r="Q1135" s="10">
        <v>-1</v>
      </c>
      <c r="R1135" s="10">
        <v>-1</v>
      </c>
      <c r="S1135" s="10">
        <v>-1</v>
      </c>
      <c r="T1135" s="10">
        <v>-1</v>
      </c>
      <c r="U1135" s="1">
        <v>72</v>
      </c>
      <c r="W1135" s="1">
        <v>4897021</v>
      </c>
    </row>
    <row r="1136" spans="1:23" x14ac:dyDescent="0.25">
      <c r="A1136" s="76">
        <v>3</v>
      </c>
      <c r="B1136" s="76" t="s">
        <v>54</v>
      </c>
      <c r="C1136" s="91">
        <v>2006</v>
      </c>
      <c r="D1136" s="76" t="str">
        <f t="shared" ref="D1136:D1145" si="93">LEFT(F1136,4)</f>
        <v>A06A</v>
      </c>
      <c r="E1136" s="76" t="s">
        <v>158</v>
      </c>
      <c r="F1136" s="89" t="s">
        <v>1005</v>
      </c>
      <c r="G1136" s="78">
        <v>7.2355574865121897E-2</v>
      </c>
      <c r="H1136" s="88">
        <v>42185</v>
      </c>
      <c r="I1136" s="88">
        <v>42185</v>
      </c>
      <c r="J1136" s="3" t="str">
        <f t="shared" si="90"/>
        <v/>
      </c>
      <c r="K1136" s="10">
        <v>-0.98182270916334669</v>
      </c>
      <c r="L1136" s="10">
        <v>-0.90159840159840132</v>
      </c>
      <c r="M1136" s="10">
        <v>-5.3463855421687301E-2</v>
      </c>
      <c r="N1136" s="10">
        <v>-1</v>
      </c>
      <c r="O1136" s="10">
        <v>-1</v>
      </c>
      <c r="P1136" s="10">
        <v>-1</v>
      </c>
      <c r="Q1136" s="10">
        <v>-1</v>
      </c>
      <c r="R1136" s="10">
        <v>-1</v>
      </c>
      <c r="S1136" s="10">
        <v>-1</v>
      </c>
      <c r="T1136" s="10">
        <v>-1</v>
      </c>
      <c r="U1136" s="1">
        <v>1818</v>
      </c>
      <c r="W1136" s="1">
        <v>1576194</v>
      </c>
    </row>
    <row r="1137" spans="1:23" x14ac:dyDescent="0.25">
      <c r="A1137" s="76">
        <v>3</v>
      </c>
      <c r="B1137" s="76" t="s">
        <v>54</v>
      </c>
      <c r="C1137" s="91">
        <v>2006</v>
      </c>
      <c r="D1137" s="76" t="str">
        <f t="shared" si="93"/>
        <v>A06A</v>
      </c>
      <c r="E1137" s="76" t="s">
        <v>158</v>
      </c>
      <c r="F1137" s="89" t="s">
        <v>1006</v>
      </c>
      <c r="G1137" s="78">
        <v>0</v>
      </c>
      <c r="H1137" s="88">
        <v>42145</v>
      </c>
      <c r="I1137" s="88">
        <v>42145</v>
      </c>
      <c r="J1137" s="3" t="str">
        <f t="shared" si="90"/>
        <v/>
      </c>
      <c r="K1137" s="10">
        <v>-1</v>
      </c>
      <c r="L1137" s="10">
        <v>-1</v>
      </c>
      <c r="M1137" s="10">
        <v>-1</v>
      </c>
      <c r="N1137" s="10">
        <v>-1</v>
      </c>
      <c r="O1137" s="10">
        <v>-1</v>
      </c>
      <c r="P1137" s="10">
        <v>-1</v>
      </c>
      <c r="Q1137" s="10">
        <v>-1</v>
      </c>
      <c r="R1137" s="10">
        <v>-1</v>
      </c>
      <c r="S1137" s="10">
        <v>-1</v>
      </c>
      <c r="T1137" s="10">
        <v>-1</v>
      </c>
      <c r="U1137" s="1" t="s">
        <v>1116</v>
      </c>
      <c r="W1137" s="1">
        <v>3840141</v>
      </c>
    </row>
    <row r="1138" spans="1:23" x14ac:dyDescent="0.25">
      <c r="A1138" s="76">
        <v>3</v>
      </c>
      <c r="B1138" s="76" t="s">
        <v>54</v>
      </c>
      <c r="C1138" s="91">
        <v>2006</v>
      </c>
      <c r="D1138" s="76" t="str">
        <f t="shared" si="93"/>
        <v>A06A</v>
      </c>
      <c r="E1138" s="76" t="s">
        <v>158</v>
      </c>
      <c r="F1138" s="89" t="s">
        <v>1007</v>
      </c>
      <c r="G1138" s="78">
        <v>3.6001506024097019E-4</v>
      </c>
      <c r="H1138" s="88">
        <v>42171</v>
      </c>
      <c r="I1138" s="88">
        <v>42171</v>
      </c>
      <c r="J1138" s="3" t="str">
        <f t="shared" si="90"/>
        <v/>
      </c>
      <c r="K1138" s="10">
        <v>-1</v>
      </c>
      <c r="L1138" s="10">
        <v>-1</v>
      </c>
      <c r="M1138" s="10">
        <v>-0.99472891566265065</v>
      </c>
      <c r="N1138" s="10">
        <v>-1</v>
      </c>
      <c r="O1138" s="10">
        <v>-1</v>
      </c>
      <c r="P1138" s="10">
        <v>-1</v>
      </c>
      <c r="Q1138" s="10">
        <v>-1</v>
      </c>
      <c r="R1138" s="10">
        <v>-1</v>
      </c>
      <c r="S1138" s="10">
        <v>-1</v>
      </c>
      <c r="T1138" s="10">
        <v>-1</v>
      </c>
      <c r="U1138" s="1">
        <v>3455</v>
      </c>
      <c r="W1138" s="1">
        <v>4759702</v>
      </c>
    </row>
    <row r="1139" spans="1:23" x14ac:dyDescent="0.25">
      <c r="A1139" s="76">
        <v>3</v>
      </c>
      <c r="B1139" s="76" t="s">
        <v>54</v>
      </c>
      <c r="C1139" s="91">
        <v>2006</v>
      </c>
      <c r="D1139" s="76" t="str">
        <f t="shared" si="93"/>
        <v>A06A</v>
      </c>
      <c r="E1139" s="76" t="s">
        <v>158</v>
      </c>
      <c r="F1139" s="89" t="s">
        <v>1008</v>
      </c>
      <c r="G1139" s="78">
        <v>0</v>
      </c>
      <c r="H1139" s="88">
        <v>42160</v>
      </c>
      <c r="I1139" s="88">
        <v>42160</v>
      </c>
      <c r="J1139" s="3" t="str">
        <f t="shared" si="90"/>
        <v/>
      </c>
      <c r="K1139" s="10">
        <v>-1</v>
      </c>
      <c r="L1139" s="10">
        <v>-1</v>
      </c>
      <c r="M1139" s="10">
        <v>-1</v>
      </c>
      <c r="N1139" s="10">
        <v>-1</v>
      </c>
      <c r="O1139" s="10">
        <v>-1</v>
      </c>
      <c r="P1139" s="10">
        <v>-1</v>
      </c>
      <c r="Q1139" s="10">
        <v>-1</v>
      </c>
      <c r="R1139" s="10">
        <v>-1</v>
      </c>
      <c r="S1139" s="10">
        <v>-1</v>
      </c>
      <c r="T1139" s="10">
        <v>-1</v>
      </c>
      <c r="U1139" s="1">
        <v>1057</v>
      </c>
      <c r="W1139" s="1">
        <v>2321378</v>
      </c>
    </row>
    <row r="1140" spans="1:23" x14ac:dyDescent="0.25">
      <c r="A1140" s="76">
        <v>3</v>
      </c>
      <c r="B1140" s="76" t="s">
        <v>54</v>
      </c>
      <c r="C1140" s="91">
        <v>2006</v>
      </c>
      <c r="D1140" s="76" t="str">
        <f t="shared" si="93"/>
        <v>A06A</v>
      </c>
      <c r="E1140" s="76" t="s">
        <v>158</v>
      </c>
      <c r="F1140" s="89" t="s">
        <v>1009</v>
      </c>
      <c r="G1140" s="78">
        <v>3.2868261954029476E-2</v>
      </c>
      <c r="H1140" s="88">
        <v>42185</v>
      </c>
      <c r="I1140" s="88">
        <v>42185</v>
      </c>
      <c r="J1140" s="3" t="str">
        <f t="shared" si="90"/>
        <v/>
      </c>
      <c r="K1140" s="10">
        <v>-0.80951195219123506</v>
      </c>
      <c r="L1140" s="10">
        <v>-0.67182817182817156</v>
      </c>
      <c r="M1140" s="10">
        <v>-0.98719879518072307</v>
      </c>
      <c r="N1140" s="10">
        <v>-0.99497991967871491</v>
      </c>
      <c r="O1140" s="10">
        <v>-1</v>
      </c>
      <c r="P1140" s="10">
        <v>-1</v>
      </c>
      <c r="Q1140" s="10">
        <v>-1</v>
      </c>
      <c r="R1140" s="10">
        <v>-1</v>
      </c>
      <c r="S1140" s="10">
        <v>-1</v>
      </c>
      <c r="T1140" s="10">
        <v>-1</v>
      </c>
      <c r="U1140" s="1">
        <v>711</v>
      </c>
      <c r="W1140" s="1">
        <v>3346072</v>
      </c>
    </row>
    <row r="1141" spans="1:23" x14ac:dyDescent="0.25">
      <c r="A1141" s="76">
        <v>3</v>
      </c>
      <c r="B1141" s="76" t="s">
        <v>54</v>
      </c>
      <c r="C1141" s="91">
        <v>2006</v>
      </c>
      <c r="D1141" s="76" t="str">
        <f t="shared" si="93"/>
        <v>A06A</v>
      </c>
      <c r="E1141" s="76" t="s">
        <v>158</v>
      </c>
      <c r="F1141" s="89" t="s">
        <v>1010</v>
      </c>
      <c r="G1141" s="78">
        <v>0</v>
      </c>
      <c r="H1141" s="88">
        <v>42186</v>
      </c>
      <c r="I1141" s="88">
        <v>42186</v>
      </c>
      <c r="J1141" s="3" t="str">
        <f t="shared" si="90"/>
        <v/>
      </c>
      <c r="K1141" s="10">
        <v>-1</v>
      </c>
      <c r="L1141" s="10">
        <v>-1</v>
      </c>
      <c r="M1141" s="10">
        <v>-1</v>
      </c>
      <c r="N1141" s="10">
        <v>-1</v>
      </c>
      <c r="O1141" s="10">
        <v>-1</v>
      </c>
      <c r="P1141" s="10">
        <v>-1</v>
      </c>
      <c r="Q1141" s="10">
        <v>-1</v>
      </c>
      <c r="R1141" s="10">
        <v>-1</v>
      </c>
      <c r="S1141" s="10">
        <v>-1</v>
      </c>
      <c r="T1141" s="10">
        <v>-1</v>
      </c>
      <c r="U1141" s="1">
        <v>589</v>
      </c>
      <c r="W1141" s="1">
        <v>4819012</v>
      </c>
    </row>
    <row r="1142" spans="1:23" x14ac:dyDescent="0.25">
      <c r="A1142" s="76">
        <v>3</v>
      </c>
      <c r="B1142" s="76" t="s">
        <v>54</v>
      </c>
      <c r="C1142" s="91">
        <v>2006</v>
      </c>
      <c r="D1142" s="76" t="str">
        <f t="shared" si="93"/>
        <v>A06A</v>
      </c>
      <c r="E1142" s="76" t="s">
        <v>158</v>
      </c>
      <c r="F1142" s="89" t="s">
        <v>1011</v>
      </c>
      <c r="G1142" s="78">
        <v>0.76401445145244617</v>
      </c>
      <c r="H1142" s="88">
        <v>38905</v>
      </c>
      <c r="I1142" s="88">
        <v>42203</v>
      </c>
      <c r="J1142" s="3">
        <f t="shared" si="90"/>
        <v>9</v>
      </c>
      <c r="K1142" s="10">
        <v>-3.535856573705165E-2</v>
      </c>
      <c r="L1142" s="10">
        <v>-0.47952047952047983</v>
      </c>
      <c r="M1142" s="10">
        <v>-8.3584337349397186E-2</v>
      </c>
      <c r="N1142" s="10">
        <v>-1.4056224899598457E-2</v>
      </c>
      <c r="O1142" s="10">
        <v>-9.9999999999994538E-3</v>
      </c>
      <c r="P1142" s="10">
        <v>-1.4999999999999125E-2</v>
      </c>
      <c r="Q1142" s="10">
        <v>-0.56673306772908705</v>
      </c>
      <c r="R1142" s="10">
        <v>-0.58665338645417986</v>
      </c>
      <c r="S1142" s="10">
        <v>-1</v>
      </c>
      <c r="T1142" s="10">
        <v>-1</v>
      </c>
      <c r="U1142" s="1">
        <v>3749</v>
      </c>
      <c r="W1142" s="1">
        <v>4505131</v>
      </c>
    </row>
    <row r="1143" spans="1:23" x14ac:dyDescent="0.25">
      <c r="A1143" s="76">
        <v>3</v>
      </c>
      <c r="B1143" s="76" t="s">
        <v>54</v>
      </c>
      <c r="C1143" s="91">
        <v>2006</v>
      </c>
      <c r="D1143" s="76" t="str">
        <f t="shared" si="93"/>
        <v>A06A</v>
      </c>
      <c r="E1143" s="76" t="s">
        <v>158</v>
      </c>
      <c r="F1143" s="89" t="s">
        <v>1012</v>
      </c>
      <c r="G1143" s="78">
        <v>1.082017647177469E-2</v>
      </c>
      <c r="H1143" s="88">
        <v>42139</v>
      </c>
      <c r="I1143" s="88">
        <v>42139</v>
      </c>
      <c r="J1143" s="3" t="str">
        <f t="shared" si="90"/>
        <v/>
      </c>
      <c r="K1143" s="10">
        <v>-0.95866533864541836</v>
      </c>
      <c r="L1143" s="10">
        <v>-0.95629370629370625</v>
      </c>
      <c r="M1143" s="10">
        <v>-0.91390562248995988</v>
      </c>
      <c r="N1143" s="10">
        <v>-1</v>
      </c>
      <c r="O1143" s="10">
        <v>-1</v>
      </c>
      <c r="P1143" s="10">
        <v>-1</v>
      </c>
      <c r="Q1143" s="10">
        <v>-1</v>
      </c>
      <c r="R1143" s="10">
        <v>-1</v>
      </c>
      <c r="S1143" s="10">
        <v>-1</v>
      </c>
      <c r="T1143" s="10">
        <v>-1</v>
      </c>
      <c r="U1143" s="1">
        <v>4450</v>
      </c>
      <c r="W1143" s="1">
        <v>4821572</v>
      </c>
    </row>
    <row r="1144" spans="1:23" x14ac:dyDescent="0.25">
      <c r="A1144" s="76">
        <v>3</v>
      </c>
      <c r="B1144" s="76" t="s">
        <v>54</v>
      </c>
      <c r="C1144" s="91">
        <v>2006</v>
      </c>
      <c r="D1144" s="76" t="str">
        <f t="shared" si="93"/>
        <v>A06A</v>
      </c>
      <c r="E1144" s="76" t="s">
        <v>158</v>
      </c>
      <c r="F1144" s="89" t="s">
        <v>1013</v>
      </c>
      <c r="G1144" s="78">
        <v>0.92857207989038504</v>
      </c>
      <c r="H1144" s="88">
        <v>42160</v>
      </c>
      <c r="I1144" s="88">
        <v>42160</v>
      </c>
      <c r="J1144" s="3" t="str">
        <f t="shared" si="90"/>
        <v/>
      </c>
      <c r="K1144" s="10">
        <v>-4.0338645418326768E-2</v>
      </c>
      <c r="L1144" s="10">
        <v>-0.10564435564435559</v>
      </c>
      <c r="M1144" s="10">
        <v>-8.2329317269076441E-2</v>
      </c>
      <c r="N1144" s="10">
        <v>5.5220883534137233E-3</v>
      </c>
      <c r="O1144" s="10">
        <v>1.7499999999998295E-2</v>
      </c>
      <c r="P1144" s="10">
        <v>2.5000000000006128E-3</v>
      </c>
      <c r="Q1144" s="10">
        <v>-8.964143426295923E-3</v>
      </c>
      <c r="R1144" s="10">
        <v>-9.3625498007965824E-2</v>
      </c>
      <c r="S1144" s="10">
        <v>-0.62151394422310635</v>
      </c>
      <c r="T1144" s="10">
        <v>-1</v>
      </c>
      <c r="U1144" s="1">
        <v>591</v>
      </c>
      <c r="W1144" s="1">
        <v>3603725</v>
      </c>
    </row>
    <row r="1145" spans="1:23" x14ac:dyDescent="0.25">
      <c r="A1145" s="76">
        <v>3</v>
      </c>
      <c r="B1145" s="91" t="s">
        <v>54</v>
      </c>
      <c r="C1145" s="76">
        <v>2003</v>
      </c>
      <c r="D1145" s="76" t="str">
        <f t="shared" si="93"/>
        <v>A03N</v>
      </c>
      <c r="E1145" s="76" t="s">
        <v>65</v>
      </c>
      <c r="F1145" s="89" t="s">
        <v>1028</v>
      </c>
      <c r="G1145" s="90">
        <v>1.1102230246251565E-16</v>
      </c>
      <c r="H1145" s="88">
        <v>42185</v>
      </c>
      <c r="I1145" s="88">
        <v>42185</v>
      </c>
      <c r="J1145" s="3" t="str">
        <f t="shared" si="90"/>
        <v/>
      </c>
      <c r="K1145" s="10">
        <v>-1</v>
      </c>
      <c r="L1145" s="10">
        <v>-1</v>
      </c>
      <c r="M1145" s="10">
        <v>-1</v>
      </c>
      <c r="N1145" s="10">
        <v>-1</v>
      </c>
      <c r="O1145" s="10">
        <v>-1</v>
      </c>
      <c r="P1145" s="10">
        <v>-1</v>
      </c>
      <c r="Q1145" s="10">
        <v>-1</v>
      </c>
      <c r="R1145" s="10">
        <v>-1</v>
      </c>
      <c r="S1145" s="10">
        <v>-1</v>
      </c>
      <c r="T1145" s="10">
        <v>-1</v>
      </c>
      <c r="U1145" s="1">
        <v>1454</v>
      </c>
      <c r="W1145" s="1">
        <v>3255085</v>
      </c>
    </row>
    <row r="1146" spans="1:23" x14ac:dyDescent="0.25">
      <c r="A1146" s="76">
        <v>3</v>
      </c>
      <c r="B1146" s="91" t="s">
        <v>54</v>
      </c>
      <c r="C1146" s="76">
        <v>2003</v>
      </c>
      <c r="D1146" s="76" t="str">
        <f t="shared" ref="D1146:D1155" si="94">LEFT(F1146,4)</f>
        <v>A03N</v>
      </c>
      <c r="E1146" s="76" t="s">
        <v>65</v>
      </c>
      <c r="F1146" s="89" t="s">
        <v>1029</v>
      </c>
      <c r="G1146" s="90">
        <v>0.8671019900992194</v>
      </c>
      <c r="H1146" s="88">
        <v>39044</v>
      </c>
      <c r="I1146" s="88">
        <v>42142</v>
      </c>
      <c r="J1146" s="3">
        <f t="shared" si="90"/>
        <v>9</v>
      </c>
      <c r="K1146" s="10">
        <v>-9.9502487562186381E-4</v>
      </c>
      <c r="L1146" s="10">
        <v>3.9920159680637557E-3</v>
      </c>
      <c r="M1146" s="10">
        <v>1.2274549098196808E-2</v>
      </c>
      <c r="N1146" s="10">
        <v>7.5225677031092175E-3</v>
      </c>
      <c r="O1146" s="10">
        <v>1.0000000000000231E-2</v>
      </c>
      <c r="P1146" s="10">
        <v>1.3916500994036074E-2</v>
      </c>
      <c r="Q1146" s="10">
        <v>-3.9840637450198058E-3</v>
      </c>
      <c r="R1146" s="10">
        <v>-0.36254980079681354</v>
      </c>
      <c r="S1146" s="10">
        <v>-1</v>
      </c>
      <c r="T1146" s="10">
        <v>-1</v>
      </c>
      <c r="U1146" s="1">
        <v>683</v>
      </c>
      <c r="W1146" s="1">
        <v>4283996</v>
      </c>
    </row>
    <row r="1147" spans="1:23" x14ac:dyDescent="0.25">
      <c r="A1147" s="76">
        <v>3</v>
      </c>
      <c r="B1147" s="91" t="s">
        <v>54</v>
      </c>
      <c r="C1147" s="76">
        <v>2003</v>
      </c>
      <c r="D1147" s="76" t="str">
        <f t="shared" si="94"/>
        <v>A03N</v>
      </c>
      <c r="E1147" s="76" t="s">
        <v>65</v>
      </c>
      <c r="F1147" s="89" t="s">
        <v>1030</v>
      </c>
      <c r="G1147" s="90">
        <v>0.89645261990769054</v>
      </c>
      <c r="H1147" s="88">
        <v>42165</v>
      </c>
      <c r="I1147" s="88">
        <v>42165</v>
      </c>
      <c r="J1147" s="3" t="str">
        <f t="shared" si="90"/>
        <v/>
      </c>
      <c r="K1147" s="10">
        <v>2.4875621890547261E-2</v>
      </c>
      <c r="L1147" s="10">
        <v>2.0459081836327275E-2</v>
      </c>
      <c r="M1147" s="10">
        <v>2.129258517034005E-2</v>
      </c>
      <c r="N1147" s="10">
        <v>1.6048144433300049E-2</v>
      </c>
      <c r="O1147" s="10">
        <v>6.0000000000002274E-2</v>
      </c>
      <c r="P1147" s="10">
        <v>1.888667992047699E-2</v>
      </c>
      <c r="Q1147" s="10">
        <v>-3.3864541832664741E-2</v>
      </c>
      <c r="R1147" s="10">
        <v>-0.14342629482072611</v>
      </c>
      <c r="S1147" s="10">
        <v>-0.99501992031871833</v>
      </c>
      <c r="T1147" s="10">
        <v>-1</v>
      </c>
      <c r="U1147" s="1">
        <v>6637</v>
      </c>
      <c r="W1147" s="1">
        <v>1854941</v>
      </c>
    </row>
    <row r="1148" spans="1:23" x14ac:dyDescent="0.25">
      <c r="A1148" s="76">
        <v>3</v>
      </c>
      <c r="B1148" s="91" t="s">
        <v>54</v>
      </c>
      <c r="C1148" s="76">
        <v>2003</v>
      </c>
      <c r="D1148" s="76" t="str">
        <f t="shared" si="94"/>
        <v>A03N</v>
      </c>
      <c r="E1148" s="76" t="s">
        <v>65</v>
      </c>
      <c r="F1148" s="89" t="s">
        <v>1031</v>
      </c>
      <c r="G1148" s="90">
        <v>0.93153062314378099</v>
      </c>
      <c r="H1148" s="88">
        <v>42158</v>
      </c>
      <c r="I1148" s="88">
        <v>42158</v>
      </c>
      <c r="J1148" s="3" t="str">
        <f t="shared" si="90"/>
        <v/>
      </c>
      <c r="K1148" s="10">
        <v>4.7263681592042417E-3</v>
      </c>
      <c r="L1148" s="10">
        <v>1.4970059880239361E-3</v>
      </c>
      <c r="M1148" s="10">
        <v>2.0040080160321772E-3</v>
      </c>
      <c r="N1148" s="10">
        <v>2.0060180541625616E-3</v>
      </c>
      <c r="O1148" s="10">
        <v>-5.0000000000011147E-3</v>
      </c>
      <c r="P1148" s="10">
        <v>-9.9403578529289049E-4</v>
      </c>
      <c r="Q1148" s="10">
        <v>9.9601593626186258E-4</v>
      </c>
      <c r="R1148" s="10">
        <v>-3.8844621513946409E-2</v>
      </c>
      <c r="S1148" s="10">
        <v>-0.27788844621513942</v>
      </c>
      <c r="T1148" s="10">
        <v>-1</v>
      </c>
      <c r="U1148" s="1">
        <v>1339</v>
      </c>
      <c r="W1148" s="1">
        <v>4280661</v>
      </c>
    </row>
    <row r="1149" spans="1:23" x14ac:dyDescent="0.25">
      <c r="A1149" s="76">
        <v>3</v>
      </c>
      <c r="B1149" s="91" t="s">
        <v>54</v>
      </c>
      <c r="C1149" s="76">
        <v>2003</v>
      </c>
      <c r="D1149" s="76" t="str">
        <f t="shared" si="94"/>
        <v>A03N</v>
      </c>
      <c r="E1149" s="76" t="s">
        <v>65</v>
      </c>
      <c r="F1149" s="89" t="s">
        <v>1032</v>
      </c>
      <c r="G1149" s="90">
        <v>0.79391090278845089</v>
      </c>
      <c r="H1149" s="88">
        <v>37687</v>
      </c>
      <c r="I1149" s="88">
        <v>37687</v>
      </c>
      <c r="J1149" s="3" t="str">
        <f t="shared" si="90"/>
        <v/>
      </c>
      <c r="K1149" s="10">
        <v>-2.1393034825870405E-2</v>
      </c>
      <c r="L1149" s="10">
        <v>-1.8962075848303339E-2</v>
      </c>
      <c r="M1149" s="10">
        <v>-1.8286573146292784E-2</v>
      </c>
      <c r="N1149" s="10">
        <v>-1.1283851554663937E-2</v>
      </c>
      <c r="O1149" s="10">
        <v>-1.7500000000001181E-2</v>
      </c>
      <c r="P1149" s="10">
        <v>-1.5904572564603314E-2</v>
      </c>
      <c r="Q1149" s="10">
        <v>-0.14840637450199645</v>
      </c>
      <c r="R1149" s="10">
        <v>-0.99003984063744799</v>
      </c>
      <c r="S1149" s="10">
        <v>-1</v>
      </c>
      <c r="T1149" s="10">
        <v>-1</v>
      </c>
      <c r="U1149" s="1" t="s">
        <v>1116</v>
      </c>
      <c r="W1149" s="1">
        <v>863841</v>
      </c>
    </row>
    <row r="1150" spans="1:23" x14ac:dyDescent="0.25">
      <c r="A1150" s="76">
        <v>3</v>
      </c>
      <c r="B1150" s="91" t="s">
        <v>54</v>
      </c>
      <c r="C1150" s="76">
        <v>2003</v>
      </c>
      <c r="D1150" s="76" t="str">
        <f t="shared" si="94"/>
        <v>A03N</v>
      </c>
      <c r="E1150" s="76" t="s">
        <v>65</v>
      </c>
      <c r="F1150" s="89" t="s">
        <v>1033</v>
      </c>
      <c r="G1150" s="90">
        <v>0.87734755214304627</v>
      </c>
      <c r="H1150" s="88">
        <v>42164</v>
      </c>
      <c r="I1150" s="88">
        <v>42164</v>
      </c>
      <c r="J1150" s="3" t="str">
        <f t="shared" si="90"/>
        <v/>
      </c>
      <c r="K1150" s="10">
        <v>6.9651741293530467E-3</v>
      </c>
      <c r="L1150" s="10">
        <v>5.2395209580839985E-3</v>
      </c>
      <c r="M1150" s="10">
        <v>1.5030060120240218E-3</v>
      </c>
      <c r="N1150" s="10">
        <v>-1.7552657973923802E-3</v>
      </c>
      <c r="O1150" s="10">
        <v>5.0000000000012257E-3</v>
      </c>
      <c r="P1150" s="10">
        <v>1.391650099403452E-2</v>
      </c>
      <c r="Q1150" s="10">
        <v>-2.8884462151394286E-2</v>
      </c>
      <c r="R1150" s="10">
        <v>-0.15338645418326691</v>
      </c>
      <c r="S1150" s="10">
        <v>-0.99003984063745365</v>
      </c>
      <c r="T1150" s="10">
        <v>-1</v>
      </c>
      <c r="U1150" s="1">
        <v>1653</v>
      </c>
      <c r="W1150" s="1">
        <v>4275047</v>
      </c>
    </row>
    <row r="1151" spans="1:23" x14ac:dyDescent="0.25">
      <c r="A1151" s="76">
        <v>3</v>
      </c>
      <c r="B1151" s="91" t="s">
        <v>54</v>
      </c>
      <c r="C1151" s="76">
        <v>2003</v>
      </c>
      <c r="D1151" s="76" t="str">
        <f t="shared" si="94"/>
        <v>A03N</v>
      </c>
      <c r="E1151" s="76" t="s">
        <v>65</v>
      </c>
      <c r="F1151" s="89" t="s">
        <v>1034</v>
      </c>
      <c r="G1151" s="90">
        <v>0.8948865326452855</v>
      </c>
      <c r="H1151" s="88">
        <v>42129</v>
      </c>
      <c r="I1151" s="88">
        <v>42129</v>
      </c>
      <c r="J1151" s="3" t="str">
        <f t="shared" si="90"/>
        <v/>
      </c>
      <c r="K1151" s="10">
        <v>-1.2437810945273631E-2</v>
      </c>
      <c r="L1151" s="10">
        <v>-1.4970059880239472E-2</v>
      </c>
      <c r="M1151" s="10">
        <v>-2.1543086172344572E-2</v>
      </c>
      <c r="N1151" s="10">
        <v>-1.7051153460381441E-2</v>
      </c>
      <c r="O1151" s="10">
        <v>-1.0000000000002229E-2</v>
      </c>
      <c r="P1151" s="10">
        <v>3.9761431411553527E-3</v>
      </c>
      <c r="Q1151" s="10">
        <v>-8.9641434262902608E-3</v>
      </c>
      <c r="R1151" s="10">
        <v>-8.8645418326695369E-2</v>
      </c>
      <c r="S1151" s="10">
        <v>-0.66633466135457931</v>
      </c>
      <c r="T1151" s="10">
        <v>-1</v>
      </c>
      <c r="U1151" s="1">
        <v>1666</v>
      </c>
      <c r="W1151" s="1">
        <v>4272781</v>
      </c>
    </row>
    <row r="1152" spans="1:23" x14ac:dyDescent="0.25">
      <c r="A1152" s="76">
        <v>3</v>
      </c>
      <c r="B1152" s="91" t="s">
        <v>54</v>
      </c>
      <c r="C1152" s="76">
        <v>2003</v>
      </c>
      <c r="D1152" s="76" t="str">
        <f t="shared" si="94"/>
        <v>A03N</v>
      </c>
      <c r="E1152" s="76" t="s">
        <v>65</v>
      </c>
      <c r="F1152" s="89" t="s">
        <v>1035</v>
      </c>
      <c r="G1152" s="90">
        <v>0.78215335140737841</v>
      </c>
      <c r="H1152" s="88">
        <v>42160</v>
      </c>
      <c r="I1152" s="88">
        <v>42160</v>
      </c>
      <c r="J1152" s="3" t="str">
        <f t="shared" si="90"/>
        <v/>
      </c>
      <c r="K1152" s="10">
        <v>-1.393034825870676E-2</v>
      </c>
      <c r="L1152" s="10">
        <v>-1.4221556886227504E-2</v>
      </c>
      <c r="M1152" s="10">
        <v>-1.0771543086172342E-2</v>
      </c>
      <c r="N1152" s="10">
        <v>-9.7793380140421826E-3</v>
      </c>
      <c r="O1152" s="10">
        <v>-1.2499999999999956E-2</v>
      </c>
      <c r="P1152" s="10">
        <v>-3.5785288270373306E-2</v>
      </c>
      <c r="Q1152" s="10">
        <v>-0.27290836653386896</v>
      </c>
      <c r="R1152" s="10">
        <v>-0.99501992031871833</v>
      </c>
      <c r="S1152" s="10">
        <v>-1</v>
      </c>
      <c r="T1152" s="10">
        <v>-1</v>
      </c>
      <c r="U1152" s="1">
        <v>723</v>
      </c>
      <c r="W1152" s="1">
        <v>4312996</v>
      </c>
    </row>
    <row r="1153" spans="1:23" x14ac:dyDescent="0.25">
      <c r="A1153" s="76">
        <v>3</v>
      </c>
      <c r="B1153" s="91" t="s">
        <v>54</v>
      </c>
      <c r="C1153" s="76">
        <v>2003</v>
      </c>
      <c r="D1153" s="76" t="str">
        <f t="shared" si="94"/>
        <v>A03N</v>
      </c>
      <c r="E1153" s="76" t="s">
        <v>65</v>
      </c>
      <c r="F1153" s="89" t="s">
        <v>1036</v>
      </c>
      <c r="G1153" s="90">
        <v>0.87794309209363597</v>
      </c>
      <c r="H1153" s="88">
        <v>42186</v>
      </c>
      <c r="I1153" s="88">
        <v>42186</v>
      </c>
      <c r="J1153" s="3" t="str">
        <f t="shared" si="90"/>
        <v/>
      </c>
      <c r="K1153" s="10">
        <v>-1.4925373134325737E-3</v>
      </c>
      <c r="L1153" s="10">
        <v>9.4810379241516696E-3</v>
      </c>
      <c r="M1153" s="10">
        <v>2.5050100200403325E-3</v>
      </c>
      <c r="N1153" s="10">
        <v>2.0060180541623396E-3</v>
      </c>
      <c r="O1153" s="10">
        <v>7.4999999999989519E-3</v>
      </c>
      <c r="P1153" s="10">
        <v>1.888667992047699E-2</v>
      </c>
      <c r="Q1153" s="10">
        <v>-4.3824701195216753E-2</v>
      </c>
      <c r="R1153" s="10">
        <v>-0.15338645418326691</v>
      </c>
      <c r="S1153" s="10">
        <v>-1</v>
      </c>
      <c r="T1153" s="10">
        <v>-1</v>
      </c>
      <c r="U1153" s="1">
        <v>2134</v>
      </c>
      <c r="W1153" s="1">
        <v>3838587</v>
      </c>
    </row>
    <row r="1154" spans="1:23" x14ac:dyDescent="0.25">
      <c r="A1154" s="76">
        <v>3</v>
      </c>
      <c r="B1154" s="91" t="s">
        <v>54</v>
      </c>
      <c r="C1154" s="76">
        <v>2003</v>
      </c>
      <c r="D1154" s="76" t="str">
        <f t="shared" si="94"/>
        <v>A03N</v>
      </c>
      <c r="E1154" s="76" t="s">
        <v>65</v>
      </c>
      <c r="F1154" s="89" t="s">
        <v>1037</v>
      </c>
      <c r="G1154" s="90">
        <v>0.81273429664938912</v>
      </c>
      <c r="H1154" s="88">
        <v>42153</v>
      </c>
      <c r="I1154" s="88">
        <v>42153</v>
      </c>
      <c r="J1154" s="3" t="str">
        <f t="shared" si="90"/>
        <v/>
      </c>
      <c r="K1154" s="10">
        <v>-4.2786069651741365E-2</v>
      </c>
      <c r="L1154" s="10">
        <v>-4.0668662674650746E-2</v>
      </c>
      <c r="M1154" s="10">
        <v>-3.9829659318637245E-2</v>
      </c>
      <c r="N1154" s="10">
        <v>-4.1875626880641947E-2</v>
      </c>
      <c r="O1154" s="10">
        <v>-4.4999999999998819E-2</v>
      </c>
      <c r="P1154" s="10">
        <v>-6.5606361829028126E-2</v>
      </c>
      <c r="Q1154" s="10">
        <v>-0.14342629482071478</v>
      </c>
      <c r="R1154" s="10">
        <v>-0.35258964143426286</v>
      </c>
      <c r="S1154" s="10">
        <v>-1</v>
      </c>
      <c r="T1154" s="10">
        <v>-1</v>
      </c>
      <c r="U1154" s="1">
        <v>618</v>
      </c>
      <c r="W1154" s="1">
        <v>4257685</v>
      </c>
    </row>
    <row r="1155" spans="1:23" x14ac:dyDescent="0.25">
      <c r="A1155" s="76">
        <v>10</v>
      </c>
      <c r="B1155" s="76" t="s">
        <v>54</v>
      </c>
      <c r="C1155" s="91">
        <v>2011</v>
      </c>
      <c r="D1155" s="76" t="str">
        <f t="shared" si="94"/>
        <v>D11X</v>
      </c>
      <c r="E1155" s="76" t="s">
        <v>33</v>
      </c>
      <c r="F1155" s="89" t="s">
        <v>1057</v>
      </c>
      <c r="G1155" s="78">
        <v>0.65765319115216858</v>
      </c>
      <c r="H1155" s="88">
        <v>40737</v>
      </c>
      <c r="I1155" s="88">
        <v>40737</v>
      </c>
      <c r="J1155" s="3" t="str">
        <f t="shared" si="90"/>
        <v/>
      </c>
      <c r="K1155" s="10">
        <v>-0.68034739454094306</v>
      </c>
      <c r="L1155" s="10">
        <v>-0.80185277916875308</v>
      </c>
      <c r="M1155" s="10">
        <v>-9.9749373433584143E-3</v>
      </c>
      <c r="N1155" s="10">
        <v>-1.7737917289486815E-2</v>
      </c>
      <c r="O1155" s="10">
        <v>-3.2831325301204362E-2</v>
      </c>
      <c r="P1155" s="10">
        <v>-7.8751258811681879E-2</v>
      </c>
      <c r="Q1155" s="10">
        <v>-0.98492462311557871</v>
      </c>
      <c r="R1155" s="10">
        <v>-0.98997493734335751</v>
      </c>
      <c r="S1155" s="10">
        <v>-0.99300000000000066</v>
      </c>
      <c r="T1155" s="10">
        <v>-0.9919678714859439</v>
      </c>
      <c r="U1155" s="1">
        <v>9951</v>
      </c>
      <c r="W1155" s="1">
        <v>66907</v>
      </c>
    </row>
    <row r="1156" spans="1:23" x14ac:dyDescent="0.25">
      <c r="A1156" s="76">
        <v>10</v>
      </c>
      <c r="B1156" s="76" t="s">
        <v>54</v>
      </c>
      <c r="C1156" s="91">
        <v>2011</v>
      </c>
      <c r="D1156" s="76" t="str">
        <f t="shared" ref="D1156:D1161" si="95">LEFT(F1156,4)</f>
        <v>D11X</v>
      </c>
      <c r="E1156" s="76" t="s">
        <v>33</v>
      </c>
      <c r="F1156" s="89" t="s">
        <v>1058</v>
      </c>
      <c r="G1156" s="78">
        <v>1.1102230246251565E-16</v>
      </c>
      <c r="H1156" s="88">
        <v>40766</v>
      </c>
      <c r="I1156" s="88">
        <v>40766</v>
      </c>
      <c r="J1156" s="3" t="str">
        <f t="shared" si="90"/>
        <v/>
      </c>
      <c r="K1156" s="10">
        <v>-1</v>
      </c>
      <c r="L1156" s="10">
        <v>-1</v>
      </c>
      <c r="M1156" s="10">
        <v>-1</v>
      </c>
      <c r="N1156" s="10">
        <v>-1</v>
      </c>
      <c r="O1156" s="10">
        <v>-1</v>
      </c>
      <c r="P1156" s="10">
        <v>-1</v>
      </c>
      <c r="Q1156" s="10">
        <v>-1</v>
      </c>
      <c r="R1156" s="10">
        <v>-1</v>
      </c>
      <c r="S1156" s="10">
        <v>-1</v>
      </c>
      <c r="T1156" s="10">
        <v>-1</v>
      </c>
      <c r="U1156" s="1">
        <v>5039</v>
      </c>
      <c r="W1156" s="1">
        <v>73512</v>
      </c>
    </row>
    <row r="1157" spans="1:23" x14ac:dyDescent="0.25">
      <c r="A1157" s="76">
        <v>10</v>
      </c>
      <c r="B1157" s="76" t="s">
        <v>54</v>
      </c>
      <c r="C1157" s="91">
        <v>2011</v>
      </c>
      <c r="D1157" s="76" t="str">
        <f t="shared" si="95"/>
        <v>D11X</v>
      </c>
      <c r="E1157" s="76" t="s">
        <v>33</v>
      </c>
      <c r="F1157" s="89" t="s">
        <v>1059</v>
      </c>
      <c r="G1157" s="78">
        <v>0.69438334104975896</v>
      </c>
      <c r="H1157" s="88">
        <v>40737</v>
      </c>
      <c r="I1157" s="88">
        <v>40737</v>
      </c>
      <c r="J1157" s="3" t="str">
        <f t="shared" ref="J1157:J1181" si="96">IF(YEAR(I1157)-YEAR(H1157)=0,"",YEAR(I1157)-YEAR(H1157))</f>
        <v/>
      </c>
      <c r="K1157" s="10">
        <v>-4.2828784119106622E-2</v>
      </c>
      <c r="L1157" s="10">
        <v>-3.5302954431647215E-2</v>
      </c>
      <c r="M1157" s="10">
        <v>-3.8646616541353263E-2</v>
      </c>
      <c r="N1157" s="10">
        <v>-5.1918285999003611E-2</v>
      </c>
      <c r="O1157" s="10">
        <v>-6.9678714859437441E-2</v>
      </c>
      <c r="P1157" s="10">
        <v>-9.8489425981872714E-2</v>
      </c>
      <c r="Q1157" s="10">
        <v>-0.9839195979899501</v>
      </c>
      <c r="R1157" s="10">
        <v>-0.98395989974937381</v>
      </c>
      <c r="S1157" s="10">
        <v>-0.99399999999999977</v>
      </c>
      <c r="T1157" s="10">
        <v>-0.99096385542168641</v>
      </c>
      <c r="U1157" s="1">
        <v>6501</v>
      </c>
      <c r="W1157" s="1">
        <v>33227</v>
      </c>
    </row>
    <row r="1158" spans="1:23" x14ac:dyDescent="0.25">
      <c r="A1158" s="76">
        <v>10</v>
      </c>
      <c r="B1158" s="76" t="s">
        <v>54</v>
      </c>
      <c r="C1158" s="91">
        <v>2011</v>
      </c>
      <c r="D1158" s="76" t="str">
        <f t="shared" si="95"/>
        <v>D11X</v>
      </c>
      <c r="E1158" s="76" t="s">
        <v>33</v>
      </c>
      <c r="F1158" s="89" t="s">
        <v>1060</v>
      </c>
      <c r="G1158" s="78">
        <v>0.62913480091435203</v>
      </c>
      <c r="H1158" s="88">
        <v>40734</v>
      </c>
      <c r="I1158" s="88">
        <v>40734</v>
      </c>
      <c r="J1158" s="3" t="str">
        <f t="shared" si="96"/>
        <v/>
      </c>
      <c r="K1158" s="10">
        <v>-0.88029776674937965</v>
      </c>
      <c r="L1158" s="10">
        <v>-0.89489233850776162</v>
      </c>
      <c r="M1158" s="10">
        <v>-5.7042606516290673E-2</v>
      </c>
      <c r="N1158" s="10">
        <v>-3.447932237169915E-2</v>
      </c>
      <c r="O1158" s="10">
        <v>-4.769076305220854E-2</v>
      </c>
      <c r="P1158" s="10">
        <v>-0.12265861027190328</v>
      </c>
      <c r="Q1158" s="10">
        <v>-0.9869346733668346</v>
      </c>
      <c r="R1158" s="10">
        <v>-0.98997493734336184</v>
      </c>
      <c r="S1158" s="10">
        <v>-0.99300000000000066</v>
      </c>
      <c r="T1158" s="10">
        <v>-0.99698795180722599</v>
      </c>
      <c r="U1158" s="1">
        <v>4393</v>
      </c>
      <c r="W1158" s="1">
        <v>3041514</v>
      </c>
    </row>
    <row r="1159" spans="1:23" x14ac:dyDescent="0.25">
      <c r="A1159" s="76">
        <v>10</v>
      </c>
      <c r="B1159" s="76" t="s">
        <v>54</v>
      </c>
      <c r="C1159" s="91">
        <v>2011</v>
      </c>
      <c r="D1159" s="76" t="str">
        <f t="shared" si="95"/>
        <v>D11X</v>
      </c>
      <c r="E1159" s="76" t="s">
        <v>33</v>
      </c>
      <c r="F1159" s="89" t="s">
        <v>1061</v>
      </c>
      <c r="G1159" s="78">
        <v>0.93779841119689233</v>
      </c>
      <c r="H1159" s="88">
        <v>42453</v>
      </c>
      <c r="I1159" s="88">
        <v>42453</v>
      </c>
      <c r="J1159" s="3" t="str">
        <f t="shared" si="96"/>
        <v/>
      </c>
      <c r="K1159" s="10">
        <v>-4.550868486352333E-2</v>
      </c>
      <c r="L1159" s="10">
        <v>-3.5903855783675609E-2</v>
      </c>
      <c r="M1159" s="10">
        <v>-3.7794486215538936E-2</v>
      </c>
      <c r="N1159" s="10">
        <v>-4.1056302939711076E-2</v>
      </c>
      <c r="O1159" s="10">
        <v>-4.638554216867441E-2</v>
      </c>
      <c r="P1159" s="10">
        <v>-4.3605236656596436E-2</v>
      </c>
      <c r="Q1159" s="10">
        <v>-1.3065326633166396E-2</v>
      </c>
      <c r="R1159" s="10">
        <v>-2.4561403508770119E-2</v>
      </c>
      <c r="S1159" s="10">
        <v>-0.10299999999999732</v>
      </c>
      <c r="T1159" s="10">
        <v>-0.44879518072289071</v>
      </c>
      <c r="U1159" s="1">
        <v>4585</v>
      </c>
      <c r="W1159" s="1">
        <v>5955106</v>
      </c>
    </row>
    <row r="1160" spans="1:23" x14ac:dyDescent="0.25">
      <c r="A1160" s="76">
        <v>10</v>
      </c>
      <c r="B1160" s="76" t="s">
        <v>54</v>
      </c>
      <c r="C1160" s="91">
        <v>2011</v>
      </c>
      <c r="D1160" s="76" t="str">
        <f t="shared" si="95"/>
        <v>D11X</v>
      </c>
      <c r="E1160" s="76" t="s">
        <v>33</v>
      </c>
      <c r="F1160" s="89" t="s">
        <v>1062</v>
      </c>
      <c r="G1160" s="78">
        <v>1.1102230246251565E-16</v>
      </c>
      <c r="H1160" s="88">
        <v>42461</v>
      </c>
      <c r="I1160" s="88">
        <v>42461</v>
      </c>
      <c r="J1160" s="3" t="str">
        <f t="shared" si="96"/>
        <v/>
      </c>
      <c r="K1160" s="10">
        <v>-1</v>
      </c>
      <c r="L1160" s="10">
        <v>-1</v>
      </c>
      <c r="M1160" s="10">
        <v>-1</v>
      </c>
      <c r="N1160" s="10">
        <v>-1</v>
      </c>
      <c r="O1160" s="10">
        <v>-1</v>
      </c>
      <c r="P1160" s="10">
        <v>-1</v>
      </c>
      <c r="Q1160" s="10">
        <v>-1</v>
      </c>
      <c r="R1160" s="10">
        <v>-1</v>
      </c>
      <c r="S1160" s="10">
        <v>-1</v>
      </c>
      <c r="T1160" s="10">
        <v>-1</v>
      </c>
      <c r="U1160" s="1">
        <v>5633</v>
      </c>
      <c r="W1160" s="1">
        <v>72461</v>
      </c>
    </row>
    <row r="1161" spans="1:23" ht="25.5" x14ac:dyDescent="0.25">
      <c r="A1161" s="76">
        <v>1.5</v>
      </c>
      <c r="B1161" s="91" t="s">
        <v>1283</v>
      </c>
      <c r="C1161" s="76">
        <v>2008</v>
      </c>
      <c r="D1161" s="76" t="str">
        <f t="shared" si="95"/>
        <v>Y08B</v>
      </c>
      <c r="E1161" s="76" t="s">
        <v>1082</v>
      </c>
      <c r="F1161" s="89" t="s">
        <v>1077</v>
      </c>
      <c r="G1161" s="90">
        <v>0.94195299633668339</v>
      </c>
      <c r="H1161" s="88">
        <v>42138</v>
      </c>
      <c r="I1161" s="88">
        <v>42138</v>
      </c>
      <c r="J1161" s="3" t="str">
        <f t="shared" si="96"/>
        <v/>
      </c>
      <c r="K1161" s="10">
        <v>3.3875338753381889E-3</v>
      </c>
      <c r="L1161" s="10">
        <v>2.7100271002711285E-3</v>
      </c>
      <c r="M1161" s="10">
        <v>1.3550135501352312E-3</v>
      </c>
      <c r="N1161" s="10">
        <v>6.7842605156043234E-4</v>
      </c>
      <c r="O1161" s="10">
        <v>1.7500000000001181E-2</v>
      </c>
      <c r="P1161" s="10">
        <v>2.4999999999999911E-2</v>
      </c>
      <c r="Q1161" s="10">
        <v>3.2499999999999973E-2</v>
      </c>
      <c r="R1161" s="10">
        <v>-1.2499999999999956E-2</v>
      </c>
      <c r="S1161" s="10">
        <v>-0.92749999999999988</v>
      </c>
      <c r="T1161" s="10">
        <v>-1</v>
      </c>
      <c r="U1161" s="1">
        <v>595</v>
      </c>
      <c r="W1161" s="1">
        <v>156442</v>
      </c>
    </row>
    <row r="1162" spans="1:23" ht="25.5" x14ac:dyDescent="0.25">
      <c r="A1162" s="76">
        <v>1.5</v>
      </c>
      <c r="B1162" s="91" t="s">
        <v>1283</v>
      </c>
      <c r="C1162" s="76">
        <v>2008</v>
      </c>
      <c r="D1162" s="76" t="str">
        <f>LEFT(F1162,4)</f>
        <v>Y08B</v>
      </c>
      <c r="E1162" s="76" t="s">
        <v>1082</v>
      </c>
      <c r="F1162" s="89" t="s">
        <v>1078</v>
      </c>
      <c r="G1162" s="90">
        <v>0</v>
      </c>
      <c r="H1162" s="88">
        <v>42152</v>
      </c>
      <c r="I1162" s="88">
        <v>42152</v>
      </c>
      <c r="J1162" s="3" t="str">
        <f t="shared" si="96"/>
        <v/>
      </c>
      <c r="K1162" s="10">
        <v>-1</v>
      </c>
      <c r="L1162" s="10">
        <v>-1</v>
      </c>
      <c r="M1162" s="10">
        <v>-1</v>
      </c>
      <c r="N1162" s="10">
        <v>-1</v>
      </c>
      <c r="O1162" s="10">
        <v>-1</v>
      </c>
      <c r="P1162" s="10">
        <v>-1</v>
      </c>
      <c r="Q1162" s="10">
        <v>-1</v>
      </c>
      <c r="R1162" s="10">
        <v>-1</v>
      </c>
      <c r="S1162" s="10">
        <v>-1</v>
      </c>
      <c r="T1162" s="10">
        <v>-1</v>
      </c>
      <c r="U1162" s="1">
        <v>443</v>
      </c>
      <c r="W1162" s="1">
        <v>3636216</v>
      </c>
    </row>
    <row r="1163" spans="1:23" ht="25.5" x14ac:dyDescent="0.25">
      <c r="A1163" s="76">
        <v>1.5</v>
      </c>
      <c r="B1163" s="91" t="s">
        <v>1283</v>
      </c>
      <c r="C1163" s="76">
        <v>2008</v>
      </c>
      <c r="D1163" s="76" t="str">
        <f>LEFT(F1163,4)</f>
        <v>Y08B</v>
      </c>
      <c r="E1163" s="76" t="s">
        <v>1082</v>
      </c>
      <c r="F1163" s="89" t="s">
        <v>1079</v>
      </c>
      <c r="G1163" s="90">
        <v>0.92882134667938854</v>
      </c>
      <c r="H1163" s="88">
        <v>42186</v>
      </c>
      <c r="I1163" s="88">
        <v>42186</v>
      </c>
      <c r="J1163" s="3" t="str">
        <f t="shared" si="96"/>
        <v/>
      </c>
      <c r="K1163" s="10">
        <v>3.3875338753388551E-3</v>
      </c>
      <c r="L1163" s="10">
        <v>5.4200542005418129E-3</v>
      </c>
      <c r="M1163" s="10">
        <v>1.8970189701897677E-2</v>
      </c>
      <c r="N1163" s="10">
        <v>-9.4979647218453866E-3</v>
      </c>
      <c r="O1163" s="10">
        <v>6.25E-2</v>
      </c>
      <c r="P1163" s="10">
        <v>-3.2500000000004525E-2</v>
      </c>
      <c r="Q1163" s="10">
        <v>2.2500000000002185E-2</v>
      </c>
      <c r="R1163" s="10">
        <v>-8.5000000000002296E-2</v>
      </c>
      <c r="S1163" s="10">
        <v>-0.99499999999999889</v>
      </c>
      <c r="T1163" s="10">
        <v>-1</v>
      </c>
      <c r="U1163" s="1">
        <v>1142</v>
      </c>
      <c r="W1163" s="1">
        <v>778818</v>
      </c>
    </row>
    <row r="1164" spans="1:23" ht="25.5" x14ac:dyDescent="0.25">
      <c r="A1164" s="76">
        <v>1.5</v>
      </c>
      <c r="B1164" s="91" t="s">
        <v>1283</v>
      </c>
      <c r="C1164" s="76">
        <v>2008</v>
      </c>
      <c r="D1164" s="76" t="str">
        <f>LEFT(F1164,4)</f>
        <v>Y08B</v>
      </c>
      <c r="E1164" s="76" t="s">
        <v>1082</v>
      </c>
      <c r="F1164" s="89" t="s">
        <v>1080</v>
      </c>
      <c r="G1164" s="90">
        <v>0</v>
      </c>
      <c r="H1164" s="88">
        <v>39826</v>
      </c>
      <c r="I1164" s="88">
        <v>39826</v>
      </c>
      <c r="J1164" s="3" t="str">
        <f t="shared" si="96"/>
        <v/>
      </c>
      <c r="K1164" s="10">
        <v>-1</v>
      </c>
      <c r="L1164" s="10">
        <v>-1</v>
      </c>
      <c r="M1164" s="10">
        <v>-1</v>
      </c>
      <c r="N1164" s="10">
        <v>-1</v>
      </c>
      <c r="O1164" s="10">
        <v>-1</v>
      </c>
      <c r="P1164" s="10">
        <v>-1</v>
      </c>
      <c r="Q1164" s="10">
        <v>-1</v>
      </c>
      <c r="R1164" s="10">
        <v>-1</v>
      </c>
      <c r="S1164" s="10">
        <v>-1</v>
      </c>
      <c r="T1164" s="10">
        <v>-1</v>
      </c>
      <c r="U1164" s="1" t="s">
        <v>1116</v>
      </c>
      <c r="W1164" s="1">
        <v>406911</v>
      </c>
    </row>
    <row r="1165" spans="1:23" ht="25.5" x14ac:dyDescent="0.25">
      <c r="A1165" s="76">
        <v>1.5</v>
      </c>
      <c r="B1165" s="91" t="s">
        <v>1283</v>
      </c>
      <c r="C1165" s="76">
        <v>2008</v>
      </c>
      <c r="D1165" s="76" t="str">
        <f>LEFT(F1165,4)</f>
        <v>Y08B</v>
      </c>
      <c r="E1165" s="76" t="s">
        <v>1082</v>
      </c>
      <c r="F1165" s="89" t="s">
        <v>1081</v>
      </c>
      <c r="G1165" s="90">
        <v>0.92986546888249066</v>
      </c>
      <c r="H1165" s="88">
        <v>42160</v>
      </c>
      <c r="I1165" s="88">
        <v>42160</v>
      </c>
      <c r="J1165" s="3" t="str">
        <f t="shared" si="96"/>
        <v/>
      </c>
      <c r="K1165" s="10">
        <v>-1.4905149051490652E-2</v>
      </c>
      <c r="L1165" s="10">
        <v>-1.4227642276422703E-2</v>
      </c>
      <c r="M1165" s="10">
        <v>-1.0840108401083959E-2</v>
      </c>
      <c r="N1165" s="10">
        <v>-6.7842605156039903E-3</v>
      </c>
      <c r="O1165" s="10">
        <v>7.5000000000016165E-3</v>
      </c>
      <c r="P1165" s="10">
        <v>1.7499999999998295E-2</v>
      </c>
      <c r="Q1165" s="10">
        <v>3.250000000000175E-2</v>
      </c>
      <c r="R1165" s="10">
        <v>-2.5000000000000022E-2</v>
      </c>
      <c r="S1165" s="10">
        <v>-0.99000000000000343</v>
      </c>
      <c r="T1165" s="10">
        <v>-1</v>
      </c>
      <c r="U1165" s="1">
        <v>302</v>
      </c>
      <c r="W1165" s="1">
        <v>424838</v>
      </c>
    </row>
    <row r="1166" spans="1:23" x14ac:dyDescent="0.25">
      <c r="A1166" s="76">
        <v>3</v>
      </c>
      <c r="B1166" s="76" t="s">
        <v>54</v>
      </c>
      <c r="C1166" s="91">
        <v>2006</v>
      </c>
      <c r="D1166" s="76" t="str">
        <f>LEFT(F1166,4)</f>
        <v>A06S</v>
      </c>
      <c r="E1166" s="76" t="s">
        <v>1082</v>
      </c>
      <c r="F1166" s="89" t="s">
        <v>1099</v>
      </c>
      <c r="G1166" s="78">
        <v>0.42299066225189563</v>
      </c>
      <c r="H1166" s="88">
        <v>39639</v>
      </c>
      <c r="I1166" s="88">
        <v>39639</v>
      </c>
      <c r="J1166" s="3" t="str">
        <f t="shared" si="96"/>
        <v/>
      </c>
      <c r="K1166" s="10">
        <v>-0.73841059602649006</v>
      </c>
      <c r="L1166" s="10">
        <v>-0.63885180240320416</v>
      </c>
      <c r="M1166" s="10">
        <v>-0.62299465240641727</v>
      </c>
      <c r="N1166" s="10">
        <v>-0.50535475234270433</v>
      </c>
      <c r="O1166" s="10">
        <v>-0.50499999999999834</v>
      </c>
      <c r="P1166" s="10">
        <v>-0.46250000000000002</v>
      </c>
      <c r="Q1166" s="10">
        <v>-0.58499999999999941</v>
      </c>
      <c r="R1166" s="10">
        <v>-0.60500000000000109</v>
      </c>
      <c r="S1166" s="10">
        <v>-0.99000000000000055</v>
      </c>
      <c r="T1166" s="10">
        <v>-1</v>
      </c>
      <c r="U1166" s="1" t="s">
        <v>1116</v>
      </c>
      <c r="W1166" s="1">
        <v>5198836</v>
      </c>
    </row>
    <row r="1167" spans="1:23" x14ac:dyDescent="0.25">
      <c r="A1167" s="76">
        <v>3</v>
      </c>
      <c r="B1167" s="76" t="s">
        <v>54</v>
      </c>
      <c r="C1167" s="91">
        <v>2006</v>
      </c>
      <c r="D1167" s="76" t="str">
        <f t="shared" ref="D1167:D1172" si="97">LEFT(F1167,4)</f>
        <v>A06S</v>
      </c>
      <c r="E1167" s="76" t="s">
        <v>1082</v>
      </c>
      <c r="F1167" s="89" t="s">
        <v>1100</v>
      </c>
      <c r="G1167" s="78">
        <v>0</v>
      </c>
      <c r="H1167" s="88">
        <v>39734</v>
      </c>
      <c r="I1167" s="88">
        <v>39734</v>
      </c>
      <c r="J1167" s="3" t="str">
        <f t="shared" si="96"/>
        <v/>
      </c>
      <c r="K1167" s="10">
        <v>-1</v>
      </c>
      <c r="L1167" s="10">
        <v>-1</v>
      </c>
      <c r="M1167" s="10">
        <v>-1</v>
      </c>
      <c r="N1167" s="10">
        <v>-1</v>
      </c>
      <c r="O1167" s="10">
        <v>-1</v>
      </c>
      <c r="P1167" s="10">
        <v>-1</v>
      </c>
      <c r="Q1167" s="10">
        <v>-1</v>
      </c>
      <c r="R1167" s="10">
        <v>-1</v>
      </c>
      <c r="S1167" s="10">
        <v>-1</v>
      </c>
      <c r="T1167" s="10">
        <v>-1</v>
      </c>
      <c r="U1167" s="1" t="s">
        <v>1116</v>
      </c>
      <c r="W1167" s="1">
        <v>5222141</v>
      </c>
    </row>
    <row r="1168" spans="1:23" x14ac:dyDescent="0.25">
      <c r="A1168" s="76">
        <v>3</v>
      </c>
      <c r="B1168" s="76" t="s">
        <v>54</v>
      </c>
      <c r="C1168" s="91">
        <v>2006</v>
      </c>
      <c r="D1168" s="76" t="str">
        <f t="shared" si="97"/>
        <v>A06S</v>
      </c>
      <c r="E1168" s="76" t="s">
        <v>1082</v>
      </c>
      <c r="F1168" s="89" t="s">
        <v>1101</v>
      </c>
      <c r="G1168" s="78">
        <v>0</v>
      </c>
      <c r="H1168" s="88">
        <v>42164</v>
      </c>
      <c r="I1168" s="88">
        <v>42164</v>
      </c>
      <c r="J1168" s="3" t="str">
        <f t="shared" si="96"/>
        <v/>
      </c>
      <c r="K1168" s="10">
        <v>-1</v>
      </c>
      <c r="L1168" s="10">
        <v>-1</v>
      </c>
      <c r="M1168" s="10">
        <v>-1</v>
      </c>
      <c r="N1168" s="10">
        <v>-1</v>
      </c>
      <c r="O1168" s="10">
        <v>-1</v>
      </c>
      <c r="P1168" s="10">
        <v>-1</v>
      </c>
      <c r="Q1168" s="10">
        <v>-1</v>
      </c>
      <c r="R1168" s="10">
        <v>-1</v>
      </c>
      <c r="S1168" s="10">
        <v>-1</v>
      </c>
      <c r="T1168" s="10">
        <v>-1</v>
      </c>
      <c r="U1168" s="1" t="s">
        <v>1116</v>
      </c>
      <c r="W1168" s="1">
        <v>4694929</v>
      </c>
    </row>
    <row r="1169" spans="1:23" x14ac:dyDescent="0.25">
      <c r="A1169" s="76">
        <v>3</v>
      </c>
      <c r="B1169" s="76" t="s">
        <v>54</v>
      </c>
      <c r="C1169" s="91">
        <v>2006</v>
      </c>
      <c r="D1169" s="76" t="str">
        <f t="shared" si="97"/>
        <v>A06S</v>
      </c>
      <c r="E1169" s="76" t="s">
        <v>1082</v>
      </c>
      <c r="F1169" s="89" t="s">
        <v>1102</v>
      </c>
      <c r="G1169" s="78">
        <v>0.96380611108887781</v>
      </c>
      <c r="H1169" s="88">
        <v>42142</v>
      </c>
      <c r="I1169" s="88">
        <v>42142</v>
      </c>
      <c r="J1169" s="3" t="str">
        <f t="shared" si="96"/>
        <v/>
      </c>
      <c r="K1169" s="10">
        <v>-2.6490066225164366E-3</v>
      </c>
      <c r="L1169" s="10">
        <v>-6.0080106809080602E-3</v>
      </c>
      <c r="M1169" s="10">
        <v>-7.3529411764705621E-3</v>
      </c>
      <c r="N1169" s="10">
        <v>-7.3627844712185198E-3</v>
      </c>
      <c r="O1169" s="10">
        <v>-4.9999999999983391E-3</v>
      </c>
      <c r="P1169" s="10">
        <v>0</v>
      </c>
      <c r="Q1169" s="10">
        <v>1.2499999999999956E-2</v>
      </c>
      <c r="R1169" s="10">
        <v>-1.7500000000001181E-2</v>
      </c>
      <c r="S1169" s="10">
        <v>-0.27999999999999825</v>
      </c>
      <c r="T1169" s="10">
        <v>-1</v>
      </c>
      <c r="U1169" s="1">
        <v>778</v>
      </c>
      <c r="W1169" s="1">
        <v>4816731</v>
      </c>
    </row>
    <row r="1170" spans="1:23" x14ac:dyDescent="0.25">
      <c r="A1170" s="76">
        <v>3</v>
      </c>
      <c r="B1170" s="76" t="s">
        <v>54</v>
      </c>
      <c r="C1170" s="91">
        <v>2006</v>
      </c>
      <c r="D1170" s="76" t="str">
        <f t="shared" si="97"/>
        <v>A06S</v>
      </c>
      <c r="E1170" s="76" t="s">
        <v>1082</v>
      </c>
      <c r="F1170" s="89" t="s">
        <v>1103</v>
      </c>
      <c r="G1170" s="78">
        <v>0.13475030885110895</v>
      </c>
      <c r="H1170" s="88">
        <v>39668</v>
      </c>
      <c r="I1170" s="88">
        <v>39668</v>
      </c>
      <c r="J1170" s="3" t="str">
        <f t="shared" si="96"/>
        <v/>
      </c>
      <c r="K1170" s="10">
        <v>-0.75894039735099272</v>
      </c>
      <c r="L1170" s="10">
        <v>-0.74566088117490048</v>
      </c>
      <c r="M1170" s="10">
        <v>-0.7386363636363642</v>
      </c>
      <c r="N1170" s="10">
        <v>-0.6827309236947785</v>
      </c>
      <c r="O1170" s="10">
        <v>-0.73000000000000109</v>
      </c>
      <c r="P1170" s="10">
        <v>-0.99499999999999889</v>
      </c>
      <c r="Q1170" s="10">
        <v>-0.99499999999999889</v>
      </c>
      <c r="R1170" s="10">
        <v>-0.99499999999999889</v>
      </c>
      <c r="S1170" s="10">
        <v>-1</v>
      </c>
      <c r="T1170" s="10">
        <v>-1</v>
      </c>
      <c r="U1170" s="1" t="s">
        <v>1116</v>
      </c>
      <c r="W1170" s="1">
        <v>5357136</v>
      </c>
    </row>
    <row r="1171" spans="1:23" x14ac:dyDescent="0.25">
      <c r="A1171" s="76">
        <v>3</v>
      </c>
      <c r="B1171" s="76" t="s">
        <v>54</v>
      </c>
      <c r="C1171" s="91">
        <v>2006</v>
      </c>
      <c r="D1171" s="76" t="str">
        <f t="shared" si="97"/>
        <v>A06S</v>
      </c>
      <c r="E1171" s="76" t="s">
        <v>1082</v>
      </c>
      <c r="F1171" s="89" t="s">
        <v>1104</v>
      </c>
      <c r="G1171" s="78">
        <v>0.91698988406315396</v>
      </c>
      <c r="H1171" s="88">
        <v>38958</v>
      </c>
      <c r="I1171" s="88">
        <v>38958</v>
      </c>
      <c r="J1171" s="3" t="str">
        <f t="shared" si="96"/>
        <v/>
      </c>
      <c r="K1171" s="10">
        <v>-2.1192052980132714E-2</v>
      </c>
      <c r="L1171" s="10">
        <v>-2.1361815754339819E-2</v>
      </c>
      <c r="M1171" s="10">
        <v>-2.0053475935827958E-2</v>
      </c>
      <c r="N1171" s="10">
        <v>-2.2757697456492698E-2</v>
      </c>
      <c r="O1171" s="10">
        <v>-1.7500000000000404E-2</v>
      </c>
      <c r="P1171" s="10">
        <v>-7.4999999999996181E-3</v>
      </c>
      <c r="Q1171" s="10">
        <v>-2.4999999999998357E-3</v>
      </c>
      <c r="R1171" s="10">
        <v>-2.9999999999999694E-2</v>
      </c>
      <c r="S1171" s="10">
        <v>-0.8850000000000009</v>
      </c>
      <c r="T1171" s="10">
        <v>-1</v>
      </c>
      <c r="U1171" s="1" t="s">
        <v>1116</v>
      </c>
      <c r="W1171" s="1">
        <v>4762754</v>
      </c>
    </row>
    <row r="1172" spans="1:23" x14ac:dyDescent="0.25">
      <c r="A1172" s="76">
        <v>3</v>
      </c>
      <c r="B1172" s="91" t="s">
        <v>54</v>
      </c>
      <c r="C1172" s="76">
        <v>2006</v>
      </c>
      <c r="D1172" s="76" t="str">
        <f t="shared" si="97"/>
        <v>A06N</v>
      </c>
      <c r="E1172" s="76" t="s">
        <v>65</v>
      </c>
      <c r="F1172" s="89" t="s">
        <v>1177</v>
      </c>
      <c r="G1172" s="90">
        <v>0.82534517829363718</v>
      </c>
      <c r="H1172" s="88"/>
      <c r="I1172" s="88"/>
      <c r="J1172" s="3" t="str">
        <f t="shared" si="96"/>
        <v/>
      </c>
      <c r="K1172" s="10">
        <v>1.9900497512439497E-3</v>
      </c>
      <c r="L1172" s="10">
        <v>5.2395209580835544E-3</v>
      </c>
      <c r="M1172" s="10">
        <v>6.7635270541084314E-3</v>
      </c>
      <c r="N1172" s="10">
        <v>3.9920159680639777E-3</v>
      </c>
      <c r="O1172" s="10">
        <v>1.4999999999999902E-2</v>
      </c>
      <c r="P1172" s="10">
        <v>-9.9403578528856062E-4</v>
      </c>
      <c r="Q1172" s="10">
        <v>-0.25</v>
      </c>
      <c r="R1172" s="10">
        <v>-0.99500000000000033</v>
      </c>
      <c r="S1172" s="10">
        <v>-1</v>
      </c>
      <c r="T1172" s="10">
        <v>-1</v>
      </c>
    </row>
    <row r="1173" spans="1:23" x14ac:dyDescent="0.25">
      <c r="A1173" s="76">
        <v>3</v>
      </c>
      <c r="B1173" s="91" t="s">
        <v>54</v>
      </c>
      <c r="C1173" s="76">
        <v>2006</v>
      </c>
      <c r="D1173" s="76" t="str">
        <f t="shared" ref="D1173:D1181" si="98">LEFT(F1173,4)</f>
        <v>A06N</v>
      </c>
      <c r="E1173" s="76" t="s">
        <v>65</v>
      </c>
      <c r="F1173" s="89" t="s">
        <v>1178</v>
      </c>
      <c r="G1173" s="90">
        <v>0.70863986095449572</v>
      </c>
      <c r="H1173" s="88"/>
      <c r="I1173" s="88"/>
      <c r="J1173" s="3" t="str">
        <f t="shared" si="96"/>
        <v/>
      </c>
      <c r="K1173" s="10">
        <v>-1.1442786069651767E-2</v>
      </c>
      <c r="L1173" s="10">
        <v>-1.0479041916167886E-2</v>
      </c>
      <c r="M1173" s="10">
        <v>-4.5090180360718435E-3</v>
      </c>
      <c r="N1173" s="10">
        <v>-1.2225548902195404E-2</v>
      </c>
      <c r="O1173" s="10">
        <v>-1.0000000000002229E-2</v>
      </c>
      <c r="P1173" s="10">
        <v>-6.5606361829028126E-2</v>
      </c>
      <c r="Q1173" s="10">
        <v>-0.99499999999999322</v>
      </c>
      <c r="R1173" s="10">
        <v>-1</v>
      </c>
      <c r="S1173" s="10">
        <v>-1</v>
      </c>
      <c r="T1173" s="10">
        <v>-1</v>
      </c>
    </row>
    <row r="1174" spans="1:23" x14ac:dyDescent="0.25">
      <c r="A1174" s="76">
        <v>3</v>
      </c>
      <c r="B1174" s="91" t="s">
        <v>54</v>
      </c>
      <c r="C1174" s="76">
        <v>2006</v>
      </c>
      <c r="D1174" s="76" t="str">
        <f t="shared" si="98"/>
        <v>A06N</v>
      </c>
      <c r="E1174" s="76" t="s">
        <v>65</v>
      </c>
      <c r="F1174" s="89" t="s">
        <v>1179</v>
      </c>
      <c r="G1174" s="90">
        <v>0.82610441188320727</v>
      </c>
      <c r="H1174" s="88"/>
      <c r="I1174" s="88"/>
      <c r="J1174" s="3" t="str">
        <f t="shared" si="96"/>
        <v/>
      </c>
      <c r="K1174" s="10">
        <v>1.2437810945273853E-3</v>
      </c>
      <c r="L1174" s="10">
        <v>1.4970059880241582E-3</v>
      </c>
      <c r="M1174" s="10">
        <v>6.7635270541079873E-3</v>
      </c>
      <c r="N1174" s="10">
        <v>1.6716566866267435E-2</v>
      </c>
      <c r="O1174" s="10">
        <v>2.7499999999999858E-2</v>
      </c>
      <c r="P1174" s="10">
        <v>-5.9642147117296984E-3</v>
      </c>
      <c r="Q1174" s="10">
        <v>-0.25999999999999945</v>
      </c>
      <c r="R1174" s="10">
        <v>-1</v>
      </c>
      <c r="S1174" s="10">
        <v>-1</v>
      </c>
      <c r="T1174" s="10">
        <v>-1</v>
      </c>
    </row>
    <row r="1175" spans="1:23" x14ac:dyDescent="0.25">
      <c r="A1175" s="76">
        <v>3</v>
      </c>
      <c r="B1175" s="91" t="s">
        <v>54</v>
      </c>
      <c r="C1175" s="76">
        <v>2006</v>
      </c>
      <c r="D1175" s="76" t="str">
        <f t="shared" si="98"/>
        <v>A06N</v>
      </c>
      <c r="E1175" s="76" t="s">
        <v>65</v>
      </c>
      <c r="F1175" s="89" t="s">
        <v>1180</v>
      </c>
      <c r="G1175" s="90">
        <v>0.7932027108799441</v>
      </c>
      <c r="H1175" s="88"/>
      <c r="I1175" s="88"/>
      <c r="J1175" s="3" t="str">
        <f t="shared" si="96"/>
        <v/>
      </c>
      <c r="K1175" s="10">
        <v>-1.0447761194029681E-2</v>
      </c>
      <c r="L1175" s="10">
        <v>-2.8443113772455453E-2</v>
      </c>
      <c r="M1175" s="10">
        <v>-1.3026052104208374E-2</v>
      </c>
      <c r="N1175" s="10">
        <v>-2.1956087824351322E-2</v>
      </c>
      <c r="O1175" s="10">
        <v>-1.4999999999997682E-2</v>
      </c>
      <c r="P1175" s="10">
        <v>-5.0695825049706378E-2</v>
      </c>
      <c r="Q1175" s="10">
        <v>-0.3049999999999955</v>
      </c>
      <c r="R1175" s="10">
        <v>-1</v>
      </c>
      <c r="S1175" s="10">
        <v>-1</v>
      </c>
      <c r="T1175" s="10">
        <v>-1</v>
      </c>
    </row>
    <row r="1176" spans="1:23" x14ac:dyDescent="0.25">
      <c r="A1176" s="76">
        <v>3</v>
      </c>
      <c r="B1176" s="91" t="s">
        <v>54</v>
      </c>
      <c r="C1176" s="76">
        <v>2006</v>
      </c>
      <c r="D1176" s="76" t="str">
        <f t="shared" si="98"/>
        <v>A06N</v>
      </c>
      <c r="E1176" s="76" t="s">
        <v>65</v>
      </c>
      <c r="F1176" s="89" t="s">
        <v>1181</v>
      </c>
      <c r="G1176" s="90">
        <v>0.72006829651631898</v>
      </c>
      <c r="H1176" s="88"/>
      <c r="I1176" s="88"/>
      <c r="J1176" s="3" t="str">
        <f t="shared" si="96"/>
        <v/>
      </c>
      <c r="K1176" s="10">
        <v>-6.4676616915423368E-3</v>
      </c>
      <c r="L1176" s="10">
        <v>-7.7345309381237071E-3</v>
      </c>
      <c r="M1176" s="10">
        <v>-1.1523046092184241E-2</v>
      </c>
      <c r="N1176" s="10">
        <v>-1.8712574850299535E-2</v>
      </c>
      <c r="O1176" s="10">
        <v>-1.0000000000002229E-2</v>
      </c>
      <c r="P1176" s="10">
        <v>-2.5844930417488254E-2</v>
      </c>
      <c r="Q1176" s="10">
        <v>-0.97499999999999998</v>
      </c>
      <c r="R1176" s="10">
        <v>-1</v>
      </c>
      <c r="S1176" s="10">
        <v>-1</v>
      </c>
      <c r="T1176" s="10">
        <v>-1</v>
      </c>
    </row>
    <row r="1177" spans="1:23" x14ac:dyDescent="0.25">
      <c r="A1177" s="76">
        <v>3</v>
      </c>
      <c r="B1177" s="91" t="s">
        <v>54</v>
      </c>
      <c r="C1177" s="76">
        <v>2006</v>
      </c>
      <c r="D1177" s="76" t="str">
        <f t="shared" si="98"/>
        <v>A06N</v>
      </c>
      <c r="E1177" s="76" t="s">
        <v>65</v>
      </c>
      <c r="F1177" s="89" t="s">
        <v>1182</v>
      </c>
      <c r="G1177" s="90">
        <v>0.63506060934102948</v>
      </c>
      <c r="H1177" s="88"/>
      <c r="I1177" s="88"/>
      <c r="J1177" s="3" t="str">
        <f t="shared" si="96"/>
        <v/>
      </c>
      <c r="K1177" s="10">
        <v>3.0348258706467846E-2</v>
      </c>
      <c r="L1177" s="10">
        <v>9.9800399201595003E-3</v>
      </c>
      <c r="M1177" s="10">
        <v>1.4529058116232729E-2</v>
      </c>
      <c r="N1177" s="10">
        <v>-5.2145708582834738E-2</v>
      </c>
      <c r="O1177" s="10">
        <v>-5.0000000000000044E-2</v>
      </c>
      <c r="P1177" s="10">
        <v>-0.33896620278329115</v>
      </c>
      <c r="Q1177" s="10">
        <v>-1</v>
      </c>
      <c r="R1177" s="10">
        <v>-1</v>
      </c>
      <c r="S1177" s="10">
        <v>-1</v>
      </c>
      <c r="T1177" s="10">
        <v>-1</v>
      </c>
    </row>
    <row r="1178" spans="1:23" x14ac:dyDescent="0.25">
      <c r="A1178" s="76">
        <v>3</v>
      </c>
      <c r="B1178" s="91" t="s">
        <v>54</v>
      </c>
      <c r="C1178" s="76">
        <v>2006</v>
      </c>
      <c r="D1178" s="76" t="str">
        <f t="shared" si="98"/>
        <v>A06N</v>
      </c>
      <c r="E1178" s="76" t="s">
        <v>65</v>
      </c>
      <c r="F1178" s="89" t="s">
        <v>1183</v>
      </c>
      <c r="G1178" s="90">
        <v>0.81481258777794707</v>
      </c>
      <c r="H1178" s="88"/>
      <c r="I1178" s="88"/>
      <c r="J1178" s="3" t="str">
        <f t="shared" si="96"/>
        <v/>
      </c>
      <c r="K1178" s="10">
        <v>-4.7263681592042417E-3</v>
      </c>
      <c r="L1178" s="10">
        <v>-7.4850299401197917E-3</v>
      </c>
      <c r="M1178" s="10">
        <v>-7.7655310621241869E-3</v>
      </c>
      <c r="N1178" s="10">
        <v>-1.9461077844311725E-2</v>
      </c>
      <c r="O1178" s="10">
        <v>-7.4999999999988409E-3</v>
      </c>
      <c r="P1178" s="10">
        <v>-2.5844930417488254E-2</v>
      </c>
      <c r="Q1178" s="10">
        <v>-0.2100000000000023</v>
      </c>
      <c r="R1178" s="10">
        <v>-1</v>
      </c>
      <c r="S1178" s="10">
        <v>-1</v>
      </c>
      <c r="T1178" s="10">
        <v>-1</v>
      </c>
    </row>
    <row r="1179" spans="1:23" x14ac:dyDescent="0.25">
      <c r="A1179" s="76">
        <v>3</v>
      </c>
      <c r="B1179" s="91" t="s">
        <v>54</v>
      </c>
      <c r="C1179" s="76">
        <v>2006</v>
      </c>
      <c r="D1179" s="76" t="str">
        <f t="shared" si="98"/>
        <v>A06N</v>
      </c>
      <c r="E1179" s="76" t="s">
        <v>65</v>
      </c>
      <c r="F1179" s="89" t="s">
        <v>1184</v>
      </c>
      <c r="G1179" s="90">
        <v>0.78834386066638995</v>
      </c>
      <c r="H1179" s="88"/>
      <c r="I1179" s="88"/>
      <c r="J1179" s="3" t="str">
        <f t="shared" si="96"/>
        <v/>
      </c>
      <c r="K1179" s="10">
        <v>-2.6865671641790878E-2</v>
      </c>
      <c r="L1179" s="10">
        <v>-2.4950099800399306E-2</v>
      </c>
      <c r="M1179" s="10">
        <v>-1.6282565130260718E-2</v>
      </c>
      <c r="N1179" s="10">
        <v>-2.4950099800391534E-4</v>
      </c>
      <c r="O1179" s="10">
        <v>-0.20999999999999941</v>
      </c>
      <c r="P1179" s="10">
        <v>-5.9642147117296984E-3</v>
      </c>
      <c r="Q1179" s="10">
        <v>-7.0000000000004503E-2</v>
      </c>
      <c r="R1179" s="10">
        <v>-1</v>
      </c>
      <c r="S1179" s="10">
        <v>-1</v>
      </c>
      <c r="T1179" s="10">
        <v>-1</v>
      </c>
    </row>
    <row r="1180" spans="1:23" x14ac:dyDescent="0.25">
      <c r="A1180" s="76">
        <v>3</v>
      </c>
      <c r="B1180" s="91" t="s">
        <v>54</v>
      </c>
      <c r="C1180" s="76">
        <v>2006</v>
      </c>
      <c r="D1180" s="76" t="str">
        <f t="shared" si="98"/>
        <v>A06N</v>
      </c>
      <c r="E1180" s="76" t="s">
        <v>65</v>
      </c>
      <c r="F1180" s="89" t="s">
        <v>1185</v>
      </c>
      <c r="G1180" s="90">
        <v>0.79640599540378232</v>
      </c>
      <c r="H1180" s="88"/>
      <c r="I1180" s="88"/>
      <c r="J1180" s="3" t="str">
        <f t="shared" si="96"/>
        <v/>
      </c>
      <c r="K1180" s="10">
        <v>4.4776119402989423E-3</v>
      </c>
      <c r="L1180" s="10">
        <v>4.4910179640713643E-3</v>
      </c>
      <c r="M1180" s="10">
        <v>2.5050100200396663E-4</v>
      </c>
      <c r="N1180" s="10">
        <v>-8.2335329341317598E-3</v>
      </c>
      <c r="O1180" s="10">
        <v>0</v>
      </c>
      <c r="P1180" s="10">
        <v>-1.5904572564614639E-2</v>
      </c>
      <c r="Q1180" s="10">
        <v>-0.4149999999999977</v>
      </c>
      <c r="R1180" s="10">
        <v>-1</v>
      </c>
      <c r="S1180" s="10">
        <v>-1</v>
      </c>
      <c r="T1180" s="10">
        <v>-1</v>
      </c>
    </row>
    <row r="1181" spans="1:23" x14ac:dyDescent="0.25">
      <c r="A1181" s="76">
        <v>3</v>
      </c>
      <c r="B1181" s="91" t="s">
        <v>54</v>
      </c>
      <c r="C1181" s="76">
        <v>2006</v>
      </c>
      <c r="D1181" s="76" t="str">
        <f t="shared" si="98"/>
        <v>A06N</v>
      </c>
      <c r="E1181" s="76" t="s">
        <v>65</v>
      </c>
      <c r="F1181" s="89" t="s">
        <v>1186</v>
      </c>
      <c r="G1181" s="90">
        <v>0.80963407336746751</v>
      </c>
      <c r="H1181" s="88"/>
      <c r="I1181" s="88"/>
      <c r="J1181" s="3" t="str">
        <f t="shared" si="96"/>
        <v/>
      </c>
      <c r="K1181" s="10">
        <v>-1.2935323383084674E-2</v>
      </c>
      <c r="L1181" s="10">
        <v>-1.3223552894211621E-2</v>
      </c>
      <c r="M1181" s="10">
        <v>-1.1773547094188319E-2</v>
      </c>
      <c r="N1181" s="10">
        <v>-1.5718562874251552E-2</v>
      </c>
      <c r="O1181" s="10">
        <v>-5.0000000000011147E-3</v>
      </c>
      <c r="P1181" s="10">
        <v>-1.5904572564608976E-2</v>
      </c>
      <c r="Q1181" s="10">
        <v>-0.27000000000000457</v>
      </c>
      <c r="R1181" s="10">
        <v>-1</v>
      </c>
      <c r="S1181" s="10">
        <v>-1</v>
      </c>
      <c r="T1181" s="10">
        <v>-1</v>
      </c>
    </row>
  </sheetData>
  <conditionalFormatting sqref="J1:J1181">
    <cfRule type="colorScale" priority="64">
      <colorScale>
        <cfvo type="num" val="2"/>
        <cfvo type="num" val="8"/>
        <color rgb="FF00B0F0"/>
        <color rgb="FFFF0000"/>
      </colorScale>
    </cfRule>
  </conditionalFormatting>
  <conditionalFormatting sqref="F1055:F1060">
    <cfRule type="duplicateValues" dxfId="23" priority="37"/>
  </conditionalFormatting>
  <conditionalFormatting sqref="F1102">
    <cfRule type="duplicateValues" dxfId="22" priority="31"/>
  </conditionalFormatting>
  <conditionalFormatting sqref="F675:F676">
    <cfRule type="duplicateValues" dxfId="21" priority="26"/>
  </conditionalFormatting>
  <conditionalFormatting sqref="F1103:F1106">
    <cfRule type="duplicateValues" dxfId="20" priority="25"/>
  </conditionalFormatting>
  <conditionalFormatting sqref="F1103:F1106">
    <cfRule type="duplicateValues" dxfId="19" priority="24"/>
  </conditionalFormatting>
  <conditionalFormatting sqref="F1077:F1091">
    <cfRule type="duplicateValues" dxfId="18" priority="104"/>
  </conditionalFormatting>
  <conditionalFormatting sqref="F1092:F1101">
    <cfRule type="duplicateValues" dxfId="17" priority="111"/>
  </conditionalFormatting>
  <conditionalFormatting sqref="F1107:F1116">
    <cfRule type="duplicateValues" dxfId="16" priority="19"/>
  </conditionalFormatting>
  <conditionalFormatting sqref="F1117:F1124">
    <cfRule type="duplicateValues" dxfId="15" priority="17"/>
  </conditionalFormatting>
  <conditionalFormatting sqref="F1117:F1124">
    <cfRule type="duplicateValues" dxfId="14" priority="16"/>
  </conditionalFormatting>
  <conditionalFormatting sqref="F1125:F1134">
    <cfRule type="duplicateValues" dxfId="13" priority="15"/>
  </conditionalFormatting>
  <conditionalFormatting sqref="F1135:F1144">
    <cfRule type="duplicateValues" dxfId="12" priority="14"/>
  </conditionalFormatting>
  <conditionalFormatting sqref="F1135:F1144">
    <cfRule type="duplicateValues" dxfId="11" priority="13"/>
  </conditionalFormatting>
  <conditionalFormatting sqref="F1145:F1154">
    <cfRule type="duplicateValues" dxfId="10" priority="12"/>
  </conditionalFormatting>
  <conditionalFormatting sqref="F1155:F1160">
    <cfRule type="duplicateValues" dxfId="9" priority="11"/>
  </conditionalFormatting>
  <conditionalFormatting sqref="F1155:F1160">
    <cfRule type="duplicateValues" dxfId="8" priority="10"/>
  </conditionalFormatting>
  <conditionalFormatting sqref="F1161:F1165">
    <cfRule type="duplicateValues" dxfId="7" priority="9"/>
  </conditionalFormatting>
  <conditionalFormatting sqref="F1061:F1076">
    <cfRule type="duplicateValues" dxfId="6" priority="121"/>
  </conditionalFormatting>
  <conditionalFormatting sqref="F1166:F1171">
    <cfRule type="duplicateValues" dxfId="5" priority="8"/>
  </conditionalFormatting>
  <conditionalFormatting sqref="F1166:F1171">
    <cfRule type="duplicateValues" dxfId="4" priority="7"/>
  </conditionalFormatting>
  <conditionalFormatting sqref="F393:F409">
    <cfRule type="duplicateValues" dxfId="3" priority="1"/>
  </conditionalFormatting>
  <conditionalFormatting sqref="F1060 F1:F392 F677:F1054 F410:F674">
    <cfRule type="duplicateValues" dxfId="2" priority="3972"/>
  </conditionalFormatting>
  <conditionalFormatting sqref="F1172:F1181">
    <cfRule type="duplicateValues" dxfId="1" priority="3976"/>
  </conditionalFormatting>
  <pageMargins left="0.511811024" right="0.511811024" top="0.78740157499999996" bottom="0.78740157499999996" header="0.31496062000000002" footer="0.31496062000000002"/>
  <pageSetup paperSize="9" orientation="portrait" horizontalDpi="4294967294" verticalDpi="4294967294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200-000000000000}">
          <x14:formula1>
            <xm:f>Fabricantes!$A$2:$A$20</xm:f>
          </x14:formula1>
          <xm:sqref>E4:E1048576</xm:sqref>
        </x14:dataValidation>
        <x14:dataValidation type="list" allowBlank="1" showInputMessage="1" showErrorMessage="1" xr:uid="{00000000-0002-0000-0200-000001000000}">
          <x14:formula1>
            <xm:f>Ocultar!$C$1:$C$5</xm:f>
          </x14:formula1>
          <xm:sqref>B4:B1048576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15"/>
  <dimension ref="A1:D47"/>
  <sheetViews>
    <sheetView workbookViewId="0">
      <selection activeCell="C25" sqref="C25"/>
    </sheetView>
  </sheetViews>
  <sheetFormatPr defaultRowHeight="15" x14ac:dyDescent="0.25"/>
  <sheetData>
    <row r="1" spans="1:4" x14ac:dyDescent="0.25">
      <c r="A1" t="s">
        <v>1316</v>
      </c>
      <c r="C1" t="s">
        <v>1319</v>
      </c>
      <c r="D1">
        <f>COUNTA(A:A)-1</f>
        <v>46</v>
      </c>
    </row>
    <row r="2" spans="1:4" x14ac:dyDescent="0.25">
      <c r="A2" t="s">
        <v>944</v>
      </c>
    </row>
    <row r="3" spans="1:4" x14ac:dyDescent="0.25">
      <c r="A3" t="s">
        <v>939</v>
      </c>
    </row>
    <row r="4" spans="1:4" x14ac:dyDescent="0.25">
      <c r="A4" t="s">
        <v>959</v>
      </c>
    </row>
    <row r="5" spans="1:4" x14ac:dyDescent="0.25">
      <c r="A5" t="s">
        <v>950</v>
      </c>
    </row>
    <row r="6" spans="1:4" x14ac:dyDescent="0.25">
      <c r="A6" t="s">
        <v>942</v>
      </c>
    </row>
    <row r="7" spans="1:4" x14ac:dyDescent="0.25">
      <c r="A7" t="s">
        <v>953</v>
      </c>
    </row>
    <row r="8" spans="1:4" x14ac:dyDescent="0.25">
      <c r="A8" t="s">
        <v>945</v>
      </c>
    </row>
    <row r="9" spans="1:4" x14ac:dyDescent="0.25">
      <c r="A9" t="s">
        <v>941</v>
      </c>
    </row>
    <row r="10" spans="1:4" x14ac:dyDescent="0.25">
      <c r="A10" t="s">
        <v>936</v>
      </c>
    </row>
    <row r="11" spans="1:4" x14ac:dyDescent="0.25">
      <c r="A11" t="s">
        <v>1315</v>
      </c>
    </row>
    <row r="12" spans="1:4" x14ac:dyDescent="0.25">
      <c r="A12" t="s">
        <v>1314</v>
      </c>
    </row>
    <row r="13" spans="1:4" x14ac:dyDescent="0.25">
      <c r="A13" t="s">
        <v>946</v>
      </c>
    </row>
    <row r="14" spans="1:4" x14ac:dyDescent="0.25">
      <c r="A14" t="s">
        <v>1311</v>
      </c>
    </row>
    <row r="15" spans="1:4" x14ac:dyDescent="0.25">
      <c r="A15" t="s">
        <v>935</v>
      </c>
    </row>
    <row r="16" spans="1:4" x14ac:dyDescent="0.25">
      <c r="A16" t="s">
        <v>954</v>
      </c>
    </row>
    <row r="17" spans="1:1" x14ac:dyDescent="0.25">
      <c r="A17" t="s">
        <v>967</v>
      </c>
    </row>
    <row r="18" spans="1:1" x14ac:dyDescent="0.25">
      <c r="A18" t="s">
        <v>955</v>
      </c>
    </row>
    <row r="19" spans="1:1" x14ac:dyDescent="0.25">
      <c r="A19" t="s">
        <v>956</v>
      </c>
    </row>
    <row r="20" spans="1:1" x14ac:dyDescent="0.25">
      <c r="A20" t="s">
        <v>966</v>
      </c>
    </row>
    <row r="21" spans="1:1" x14ac:dyDescent="0.25">
      <c r="A21" t="s">
        <v>971</v>
      </c>
    </row>
    <row r="22" spans="1:1" x14ac:dyDescent="0.25">
      <c r="A22" t="s">
        <v>933</v>
      </c>
    </row>
    <row r="23" spans="1:1" x14ac:dyDescent="0.25">
      <c r="A23" t="s">
        <v>970</v>
      </c>
    </row>
    <row r="24" spans="1:1" x14ac:dyDescent="0.25">
      <c r="A24" t="s">
        <v>948</v>
      </c>
    </row>
    <row r="25" spans="1:1" x14ac:dyDescent="0.25">
      <c r="A25" t="s">
        <v>961</v>
      </c>
    </row>
    <row r="26" spans="1:1" x14ac:dyDescent="0.25">
      <c r="A26" t="s">
        <v>969</v>
      </c>
    </row>
    <row r="27" spans="1:1" x14ac:dyDescent="0.25">
      <c r="A27" t="s">
        <v>968</v>
      </c>
    </row>
    <row r="28" spans="1:1" x14ac:dyDescent="0.25">
      <c r="A28" t="s">
        <v>972</v>
      </c>
    </row>
    <row r="29" spans="1:1" x14ac:dyDescent="0.25">
      <c r="A29" t="s">
        <v>940</v>
      </c>
    </row>
    <row r="30" spans="1:1" x14ac:dyDescent="0.25">
      <c r="A30" t="s">
        <v>952</v>
      </c>
    </row>
    <row r="31" spans="1:1" x14ac:dyDescent="0.25">
      <c r="A31" t="s">
        <v>951</v>
      </c>
    </row>
    <row r="32" spans="1:1" x14ac:dyDescent="0.25">
      <c r="A32" t="s">
        <v>938</v>
      </c>
    </row>
    <row r="33" spans="1:1" x14ac:dyDescent="0.25">
      <c r="A33" t="s">
        <v>1312</v>
      </c>
    </row>
    <row r="34" spans="1:1" x14ac:dyDescent="0.25">
      <c r="A34" t="s">
        <v>960</v>
      </c>
    </row>
    <row r="35" spans="1:1" x14ac:dyDescent="0.25">
      <c r="A35" t="s">
        <v>937</v>
      </c>
    </row>
    <row r="36" spans="1:1" x14ac:dyDescent="0.25">
      <c r="A36" t="s">
        <v>964</v>
      </c>
    </row>
    <row r="37" spans="1:1" x14ac:dyDescent="0.25">
      <c r="A37" t="s">
        <v>965</v>
      </c>
    </row>
    <row r="38" spans="1:1" x14ac:dyDescent="0.25">
      <c r="A38" t="s">
        <v>949</v>
      </c>
    </row>
    <row r="39" spans="1:1" x14ac:dyDescent="0.25">
      <c r="A39" t="s">
        <v>943</v>
      </c>
    </row>
    <row r="40" spans="1:1" x14ac:dyDescent="0.25">
      <c r="A40" t="s">
        <v>1313</v>
      </c>
    </row>
    <row r="41" spans="1:1" x14ac:dyDescent="0.25">
      <c r="A41" t="s">
        <v>958</v>
      </c>
    </row>
    <row r="42" spans="1:1" x14ac:dyDescent="0.25">
      <c r="A42" t="s">
        <v>934</v>
      </c>
    </row>
    <row r="43" spans="1:1" x14ac:dyDescent="0.25">
      <c r="A43" t="s">
        <v>973</v>
      </c>
    </row>
    <row r="44" spans="1:1" x14ac:dyDescent="0.25">
      <c r="A44" t="s">
        <v>957</v>
      </c>
    </row>
    <row r="45" spans="1:1" x14ac:dyDescent="0.25">
      <c r="A45" t="s">
        <v>947</v>
      </c>
    </row>
    <row r="46" spans="1:1" x14ac:dyDescent="0.25">
      <c r="A46" t="s">
        <v>962</v>
      </c>
    </row>
    <row r="47" spans="1:1" x14ac:dyDescent="0.25">
      <c r="A47" t="s">
        <v>963</v>
      </c>
    </row>
  </sheetData>
  <sortState xmlns:xlrd2="http://schemas.microsoft.com/office/spreadsheetml/2017/richdata2" ref="A2:A47">
    <sortCondition ref="A2:A47"/>
  </sortState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2">
    <tabColor rgb="FF00B050"/>
  </sheetPr>
  <dimension ref="A1:R1178"/>
  <sheetViews>
    <sheetView showGridLines="0" zoomScaleNormal="100" workbookViewId="0">
      <selection activeCell="Q20" sqref="Q20"/>
    </sheetView>
  </sheetViews>
  <sheetFormatPr defaultColWidth="9.140625" defaultRowHeight="15" x14ac:dyDescent="0.25"/>
  <cols>
    <col min="1" max="1" width="3.7109375" style="32" customWidth="1"/>
    <col min="2" max="7" width="13.5703125" style="106" customWidth="1"/>
    <col min="8" max="8" width="9.140625" style="32"/>
    <col min="9" max="9" width="14.85546875" style="32" bestFit="1" customWidth="1"/>
    <col min="10" max="27" width="7.140625" style="32" customWidth="1"/>
    <col min="28" max="16384" width="9.140625" style="32"/>
  </cols>
  <sheetData>
    <row r="1" spans="1:18" ht="15.75" thickBot="1" x14ac:dyDescent="0.3">
      <c r="A1" s="31"/>
    </row>
    <row r="2" spans="1:18" s="31" customFormat="1" ht="23.25" thickBot="1" x14ac:dyDescent="0.3">
      <c r="B2" s="104" t="s">
        <v>377</v>
      </c>
      <c r="C2" s="104" t="s">
        <v>976</v>
      </c>
      <c r="D2" s="104" t="s">
        <v>1317</v>
      </c>
      <c r="E2" s="104" t="s">
        <v>974</v>
      </c>
      <c r="F2" s="104" t="s">
        <v>1318</v>
      </c>
      <c r="G2" s="104" t="s">
        <v>29</v>
      </c>
      <c r="I2" s="101" t="s">
        <v>377</v>
      </c>
      <c r="J2" s="101" t="s">
        <v>976</v>
      </c>
      <c r="K2" s="101" t="s">
        <v>975</v>
      </c>
      <c r="L2" s="101" t="s">
        <v>974</v>
      </c>
      <c r="M2" s="101" t="s">
        <v>35</v>
      </c>
      <c r="N2" s="101" t="s">
        <v>29</v>
      </c>
    </row>
    <row r="3" spans="1:18" x14ac:dyDescent="0.25">
      <c r="B3" s="106" t="s">
        <v>944</v>
      </c>
      <c r="C3" s="106" t="str">
        <f>LEFT(Resumo!$B3,1)</f>
        <v>A</v>
      </c>
      <c r="D3" s="106">
        <f>COUNTIFS(Dados!D:D,Resumo!$B3,Dados!E:E,Resumo!$E3,Dados!C:C,Resumo!$F3)</f>
        <v>18</v>
      </c>
      <c r="E3" s="106" t="str">
        <f>VLOOKUP(B3,Dados!D:E,2,0)</f>
        <v>LAO</v>
      </c>
      <c r="F3" s="106">
        <f>INDEX(Dados!C:C,MATCH(Resumo!$B3,Dados!D:D,0))</f>
        <v>2000</v>
      </c>
      <c r="G3" s="106">
        <f>SUMIFS(Dados!G:G,Dados!E:E,Resumo!$E3,Dados!D:D,Resumo!$B3,Dados!C:C,Resumo!$F3)/COUNTIFS(Dados!E:E,Resumo!$E3,Dados!D:D,Resumo!$B3,Dados!C:C,Resumo!$F3)</f>
        <v>0.94405729783476511</v>
      </c>
      <c r="I3" s="102" t="s">
        <v>955</v>
      </c>
      <c r="J3" s="102" t="str">
        <f>LEFT(Resumo!$I3,1)</f>
        <v>A</v>
      </c>
      <c r="K3" s="102">
        <f>COUNTIFS(Dados!D:D,Resumo!$I3,Dados!E:E,Resumo!$L3,Dados!C:C,Resumo!$M3)</f>
        <v>12</v>
      </c>
      <c r="L3" s="102" t="str">
        <f>VLOOKUP(I3,Dados!D:E,2,0)</f>
        <v>SCHLUMBERGER</v>
      </c>
      <c r="M3" s="102">
        <f>INDEX(Dados!C:C,MATCH(Resumo!$I3,Dados!D:D,0))</f>
        <v>1978</v>
      </c>
      <c r="N3" s="103">
        <f>SUMIFS(Dados!G:G,Dados!E:E,Resumo!$L3,Dados!D:D,Resumo!$I3,Dados!C:C,Resumo!$M3)/COUNTIFS(Dados!E:E,Resumo!$L3,Dados!D:D,Resumo!$I3,Dados!C:C,Resumo!$M3)</f>
        <v>0.85126955282047545</v>
      </c>
    </row>
    <row r="4" spans="1:18" x14ac:dyDescent="0.25">
      <c r="B4" s="106" t="s">
        <v>939</v>
      </c>
      <c r="C4" s="106" t="str">
        <f>LEFT(Resumo!$B4,1)</f>
        <v>A</v>
      </c>
      <c r="D4" s="106">
        <f>COUNTIFS(Dados!D:D,Resumo!$B4,Dados!E:E,Resumo!$E4,Dados!C:C,Resumo!$F4)</f>
        <v>40</v>
      </c>
      <c r="E4" s="106" t="str">
        <f>VLOOKUP(B4,Dados!D:E,2,0)</f>
        <v>ELSTER</v>
      </c>
      <c r="F4" s="106">
        <f>INDEX(Dados!C:C,MATCH(Resumo!$B4,Dados!D:D,0))</f>
        <v>2000</v>
      </c>
      <c r="G4" s="106">
        <f>SUMIFS(Dados!G:G,Dados!E:E,Resumo!$E4,Dados!D:D,Resumo!$B4,Dados!C:C,Resumo!$F4)/COUNTIFS(Dados!E:E,Resumo!$E4,Dados!D:D,Resumo!$B4,Dados!C:C,Resumo!$F4)</f>
        <v>0.77738567261223568</v>
      </c>
      <c r="I4" s="94" t="s">
        <v>956</v>
      </c>
      <c r="J4" s="94" t="str">
        <f>LEFT(Resumo!$I4,1)</f>
        <v>A</v>
      </c>
      <c r="K4" s="94">
        <f>COUNTIFS(Dados!D:D,Resumo!$I4,Dados!E:E,Resumo!$L4,Dados!C:C,Resumo!$M4)</f>
        <v>9</v>
      </c>
      <c r="L4" s="94" t="str">
        <f>VLOOKUP(I4,Dados!D:E,2,0)</f>
        <v>TECNOBRAS</v>
      </c>
      <c r="M4" s="94">
        <f>INDEX(Dados!C:C,MATCH(Resumo!$I4,Dados!D:D,0))</f>
        <v>1978</v>
      </c>
      <c r="N4" s="95">
        <f>SUMIFS(Dados!G:G,Dados!E:E,Resumo!$L4,Dados!D:D,Resumo!$I4,Dados!C:C,Resumo!$M4)/COUNTIFS(Dados!E:E,Resumo!$L4,Dados!D:D,Resumo!$I4,Dados!C:C,Resumo!$M4)</f>
        <v>0.68455622226690871</v>
      </c>
    </row>
    <row r="5" spans="1:18" x14ac:dyDescent="0.25">
      <c r="B5" s="106" t="s">
        <v>959</v>
      </c>
      <c r="C5" s="106" t="str">
        <f>LEFT(Resumo!$B5,1)</f>
        <v>A</v>
      </c>
      <c r="D5" s="106">
        <f>COUNTIFS(Dados!D:D,Resumo!$B5,Dados!E:E,Resumo!$E5,Dados!C:C,Resumo!$F5)</f>
        <v>38</v>
      </c>
      <c r="E5" s="106" t="str">
        <f>VLOOKUP(B5,Dados!D:E,2,0)</f>
        <v>LAO</v>
      </c>
      <c r="F5" s="106">
        <f>INDEX(Dados!C:C,MATCH(Resumo!$B5,Dados!D:D,0))</f>
        <v>2001</v>
      </c>
      <c r="G5" s="106">
        <f>SUMIFS(Dados!G:G,Dados!E:E,Resumo!$E5,Dados!D:D,Resumo!$B5,Dados!C:C,Resumo!$F5)/COUNTIFS(Dados!E:E,Resumo!$E5,Dados!D:D,Resumo!$B5,Dados!C:C,Resumo!$F5)</f>
        <v>0.92089707101787999</v>
      </c>
      <c r="I5" s="92" t="s">
        <v>966</v>
      </c>
      <c r="J5" s="92" t="str">
        <f>LEFT(Resumo!$I5,1)</f>
        <v>A</v>
      </c>
      <c r="K5" s="92">
        <f>COUNTIFS(Dados!D:D,Resumo!$I5,Dados!E:E,Resumo!$L5,Dados!C:C,Resumo!$M5)</f>
        <v>9</v>
      </c>
      <c r="L5" s="92" t="str">
        <f>VLOOKUP(I5,Dados!D:E,2,0)</f>
        <v>SCHLUMBERGER</v>
      </c>
      <c r="M5" s="92">
        <f>INDEX(Dados!C:C,MATCH(Resumo!$I5,Dados!D:D,0))</f>
        <v>1982</v>
      </c>
      <c r="N5" s="93">
        <f>SUMIFS(Dados!G:G,Dados!E:E,Resumo!$L5,Dados!D:D,Resumo!$I5,Dados!C:C,Resumo!$M5)/COUNTIFS(Dados!E:E,Resumo!$L5,Dados!D:D,Resumo!$I5,Dados!C:C,Resumo!$M5)</f>
        <v>0.65473496937437625</v>
      </c>
    </row>
    <row r="6" spans="1:18" ht="15.75" x14ac:dyDescent="0.25">
      <c r="B6" s="106" t="s">
        <v>950</v>
      </c>
      <c r="C6" s="106" t="str">
        <f>LEFT(Resumo!$B6,1)</f>
        <v>A</v>
      </c>
      <c r="D6" s="106">
        <f>COUNTIFS(Dados!D:D,Resumo!$B6,Dados!E:E,Resumo!$E6,Dados!C:C,Resumo!$F6)</f>
        <v>46</v>
      </c>
      <c r="E6" s="106" t="str">
        <f>VLOOKUP(B6,Dados!D:E,2,0)</f>
        <v>ELSTER</v>
      </c>
      <c r="F6" s="106">
        <f>INDEX(Dados!C:C,MATCH(Resumo!$B6,Dados!D:D,0))</f>
        <v>2001</v>
      </c>
      <c r="G6" s="106">
        <f>SUMIFS(Dados!G:G,Dados!E:E,Resumo!$E6,Dados!D:D,Resumo!$B6,Dados!C:C,Resumo!$F6)/COUNTIFS(Dados!E:E,Resumo!$E6,Dados!D:D,Resumo!$B6,Dados!C:C,Resumo!$F6)</f>
        <v>0.82003975772620552</v>
      </c>
      <c r="I6" s="94" t="s">
        <v>970</v>
      </c>
      <c r="J6" s="94" t="str">
        <f>LEFT(Resumo!$I6,1)</f>
        <v>A</v>
      </c>
      <c r="K6" s="94">
        <f>COUNTIFS(Dados!D:D,Resumo!$I6,Dados!E:E,Resumo!$L6,Dados!C:C,Resumo!$M6)</f>
        <v>1</v>
      </c>
      <c r="L6" s="94" t="str">
        <f>VLOOKUP(I6,Dados!D:E,2,0)</f>
        <v>SCHLUMBERGER</v>
      </c>
      <c r="M6" s="94">
        <f>INDEX(Dados!C:C,MATCH(Resumo!$I6,Dados!D:D,0))</f>
        <v>1991</v>
      </c>
      <c r="N6" s="95">
        <f>SUMIFS(Dados!G:G,Dados!E:E,Resumo!$L6,Dados!D:D,Resumo!$I6,Dados!C:C,Resumo!$M6)/COUNTIFS(Dados!E:E,Resumo!$L6,Dados!D:D,Resumo!$I6,Dados!C:C,Resumo!$M6)</f>
        <v>0.46006195962011565</v>
      </c>
      <c r="P6" s="105" t="s">
        <v>1320</v>
      </c>
    </row>
    <row r="7" spans="1:18" ht="15.75" x14ac:dyDescent="0.25">
      <c r="B7" s="106" t="s">
        <v>942</v>
      </c>
      <c r="C7" s="106" t="str">
        <f>LEFT(Resumo!$B7,1)</f>
        <v>A</v>
      </c>
      <c r="D7" s="106">
        <f>COUNTIFS(Dados!D:D,Resumo!$B7,Dados!E:E,Resumo!$E7,Dados!C:C,Resumo!$F7)</f>
        <v>217</v>
      </c>
      <c r="E7" s="106" t="str">
        <f>VLOOKUP(B7,Dados!D:E,2,0)</f>
        <v>ABB</v>
      </c>
      <c r="F7" s="106">
        <f>INDEX(Dados!C:C,MATCH(Resumo!$B7,Dados!D:D,0))</f>
        <v>2002</v>
      </c>
      <c r="G7" s="106">
        <f>SUMIFS(Dados!G:G,Dados!E:E,Resumo!$E7,Dados!D:D,Resumo!$B7,Dados!C:C,Resumo!$F7)/COUNTIFS(Dados!E:E,Resumo!$E7,Dados!D:D,Resumo!$B7,Dados!C:C,Resumo!$F7)</f>
        <v>0.75904341518181506</v>
      </c>
      <c r="I7" s="96" t="s">
        <v>971</v>
      </c>
      <c r="J7" s="92" t="str">
        <f>LEFT(Resumo!$I7,1)</f>
        <v>A</v>
      </c>
      <c r="K7" s="92">
        <f>COUNTIFS(Dados!D:D,Resumo!$I7,Dados!E:E,Resumo!$L7,Dados!C:C,Resumo!$M7)</f>
        <v>4</v>
      </c>
      <c r="L7" s="92" t="str">
        <f>VLOOKUP(I7,Dados!D:E,2,0)</f>
        <v>SCHLUMBERGER</v>
      </c>
      <c r="M7" s="92">
        <f>INDEX(Dados!C:C,MATCH(Resumo!$I7,Dados!D:D,0))</f>
        <v>1991</v>
      </c>
      <c r="N7" s="93">
        <f>SUMIFS(Dados!G:G,Dados!E:E,Resumo!$L7,Dados!D:D,Resumo!$I7,Dados!C:C,Resumo!$M7)/COUNTIFS(Dados!E:E,Resumo!$L7,Dados!D:D,Resumo!$I7,Dados!C:C,Resumo!$M7)</f>
        <v>0.82458495504582574</v>
      </c>
      <c r="P7" s="105" t="s">
        <v>1321</v>
      </c>
    </row>
    <row r="8" spans="1:18" ht="15.75" x14ac:dyDescent="0.25">
      <c r="B8" s="106" t="s">
        <v>953</v>
      </c>
      <c r="C8" s="106" t="str">
        <f>LEFT(Resumo!$B8,1)</f>
        <v>A</v>
      </c>
      <c r="D8" s="106">
        <f>COUNTIFS(Dados!D:D,Resumo!$B8,Dados!E:E,Resumo!$E8,Dados!C:C,Resumo!$F8)</f>
        <v>66</v>
      </c>
      <c r="E8" s="106" t="str">
        <f>VLOOKUP(B8,Dados!D:E,2,0)</f>
        <v>ELSTER</v>
      </c>
      <c r="F8" s="106">
        <f>INDEX(Dados!C:C,MATCH(Resumo!$B8,Dados!D:D,0))</f>
        <v>2003</v>
      </c>
      <c r="G8" s="106">
        <f>SUMIFS(Dados!G:G,Dados!E:E,Resumo!$E8,Dados!D:D,Resumo!$B8,Dados!C:C,Resumo!$F8)/COUNTIFS(Dados!E:E,Resumo!$E8,Dados!D:D,Resumo!$B8,Dados!C:C,Resumo!$F8)</f>
        <v>0.78862730930075431</v>
      </c>
      <c r="I8" s="94" t="s">
        <v>933</v>
      </c>
      <c r="J8" s="94" t="str">
        <f>LEFT(Resumo!$I8,1)</f>
        <v>A</v>
      </c>
      <c r="K8" s="94">
        <f>COUNTIFS(Dados!D:D,Resumo!$I8,Dados!E:E,Resumo!$L8,Dados!C:C,Resumo!$M8)</f>
        <v>10</v>
      </c>
      <c r="L8" s="94" t="str">
        <f>VLOOKUP(I8,Dados!D:E,2,0)</f>
        <v>TECNOBRAS</v>
      </c>
      <c r="M8" s="94">
        <f>INDEX(Dados!C:C,MATCH(Resumo!$I8,Dados!D:D,0))</f>
        <v>1991</v>
      </c>
      <c r="N8" s="95">
        <f>SUMIFS(Dados!G:G,Dados!E:E,Resumo!$L8,Dados!D:D,Resumo!$I8,Dados!C:C,Resumo!$M8)/COUNTIFS(Dados!E:E,Resumo!$L8,Dados!D:D,Resumo!$I8,Dados!C:C,Resumo!$M8)</f>
        <v>0.72391169654346443</v>
      </c>
      <c r="R8" s="105" t="s">
        <v>1322</v>
      </c>
    </row>
    <row r="9" spans="1:18" x14ac:dyDescent="0.25">
      <c r="B9" s="106" t="s">
        <v>945</v>
      </c>
      <c r="C9" s="106" t="str">
        <f>LEFT(Resumo!$B9,1)</f>
        <v>A</v>
      </c>
      <c r="D9" s="106">
        <f>COUNTIFS(Dados!D:D,Resumo!$B9,Dados!E:E,Resumo!$E9,Dados!C:C,Resumo!$F9)</f>
        <v>42</v>
      </c>
      <c r="E9" s="106" t="str">
        <f>VLOOKUP(B9,Dados!D:E,2,0)</f>
        <v>FAE</v>
      </c>
      <c r="F9" s="106">
        <f>INDEX(Dados!C:C,MATCH(Resumo!$B9,Dados!D:D,0))</f>
        <v>2004</v>
      </c>
      <c r="G9" s="106">
        <f>SUMIFS(Dados!G:G,Dados!E:E,Resumo!$E9,Dados!D:D,Resumo!$B9,Dados!C:C,Resumo!$F9)/COUNTIFS(Dados!E:E,Resumo!$E9,Dados!D:D,Resumo!$B9,Dados!C:C,Resumo!$F9)</f>
        <v>0.79114566953918242</v>
      </c>
      <c r="I9" s="92" t="s">
        <v>947</v>
      </c>
      <c r="J9" s="92" t="str">
        <f>LEFT(Resumo!$I9,1)</f>
        <v>Y</v>
      </c>
      <c r="K9" s="92">
        <f>COUNTIFS(Dados!D:D,Resumo!$I9,Dados!E:E,Resumo!$L9,Dados!C:C,Resumo!$M9)</f>
        <v>5</v>
      </c>
      <c r="L9" s="92" t="str">
        <f>VLOOKUP(I9,Dados!D:E,2,0)</f>
        <v>ACTARIS</v>
      </c>
      <c r="M9" s="92">
        <f>INDEX(Dados!C:C,MATCH(Resumo!$I9,Dados!D:D,0))</f>
        <v>1996</v>
      </c>
      <c r="N9" s="93">
        <f>SUMIFS(Dados!G:G,Dados!E:E,Resumo!$L9,Dados!D:D,Resumo!$I9,Dados!C:C,Resumo!$M9)/COUNTIFS(Dados!E:E,Resumo!$L9,Dados!D:D,Resumo!$I9,Dados!C:C,Resumo!$M9)</f>
        <v>0.73874740999999988</v>
      </c>
    </row>
    <row r="10" spans="1:18" x14ac:dyDescent="0.25">
      <c r="B10" s="106" t="s">
        <v>941</v>
      </c>
      <c r="C10" s="106" t="str">
        <f>LEFT(Resumo!$B10,1)</f>
        <v>A</v>
      </c>
      <c r="D10" s="106">
        <f>COUNTIFS(Dados!D:D,Resumo!$B10,Dados!E:E,Resumo!$E10,Dados!C:C,Resumo!$F10)</f>
        <v>43</v>
      </c>
      <c r="E10" s="106" t="str">
        <f>VLOOKUP(B10,Dados!D:E,2,0)</f>
        <v>ACTARIS</v>
      </c>
      <c r="F10" s="106">
        <f>INDEX(Dados!C:C,MATCH(Resumo!$B10,Dados!D:D,0))</f>
        <v>2005</v>
      </c>
      <c r="G10" s="106">
        <f>SUMIFS(Dados!G:G,Dados!E:E,Resumo!$E10,Dados!D:D,Resumo!$B10,Dados!C:C,Resumo!$F10)/COUNTIFS(Dados!E:E,Resumo!$E10,Dados!D:D,Resumo!$B10,Dados!C:C,Resumo!$F10)</f>
        <v>0.85222794038844818</v>
      </c>
      <c r="I10" s="94" t="s">
        <v>948</v>
      </c>
      <c r="J10" s="94" t="str">
        <f>LEFT(Resumo!$I10,1)</f>
        <v>A</v>
      </c>
      <c r="K10" s="94">
        <f>COUNTIFS(Dados!D:D,Resumo!$I10,Dados!E:E,Resumo!$L10,Dados!C:C,Resumo!$M10)</f>
        <v>11</v>
      </c>
      <c r="L10" s="94" t="str">
        <f>VLOOKUP(I10,Dados!D:E,2,0)</f>
        <v>LAO</v>
      </c>
      <c r="M10" s="94">
        <f>INDEX(Dados!C:C,MATCH(Resumo!$I10,Dados!D:D,0))</f>
        <v>1996</v>
      </c>
      <c r="N10" s="95">
        <f>SUMIFS(Dados!G:G,Dados!E:E,Resumo!$L10,Dados!D:D,Resumo!$I10,Dados!C:C,Resumo!$M10)/COUNTIFS(Dados!E:E,Resumo!$L10,Dados!D:D,Resumo!$I10,Dados!C:C,Resumo!$M10)</f>
        <v>0.67901972045454562</v>
      </c>
    </row>
    <row r="11" spans="1:18" x14ac:dyDescent="0.25">
      <c r="B11" s="106" t="s">
        <v>936</v>
      </c>
      <c r="C11" s="106" t="str">
        <f>LEFT(Resumo!$B11,1)</f>
        <v>A</v>
      </c>
      <c r="D11" s="106">
        <f>COUNTIFS(Dados!D:D,Resumo!$B11,Dados!E:E,Resumo!$E11,Dados!C:C,Resumo!$F11)</f>
        <v>20</v>
      </c>
      <c r="E11" s="106" t="str">
        <f>VLOOKUP(B11,Dados!D:E,2,0)</f>
        <v>ASSIM</v>
      </c>
      <c r="F11" s="106">
        <f>INDEX(Dados!C:C,MATCH(Resumo!$B11,Dados!D:D,0))</f>
        <v>2007</v>
      </c>
      <c r="G11" s="106">
        <f>SUMIFS(Dados!G:G,Dados!E:E,Resumo!$E11,Dados!D:D,Resumo!$B11,Dados!C:C,Resumo!$F11)/COUNTIFS(Dados!E:E,Resumo!$E11,Dados!D:D,Resumo!$B11,Dados!C:C,Resumo!$F11)</f>
        <v>0.41710550618323883</v>
      </c>
      <c r="I11" s="96" t="s">
        <v>969</v>
      </c>
      <c r="J11" s="92" t="str">
        <f>LEFT(Resumo!$I11,1)</f>
        <v>A</v>
      </c>
      <c r="K11" s="92">
        <f>COUNTIFS(Dados!D:D,Resumo!$I11,Dados!E:E,Resumo!$L11,Dados!C:C,Resumo!$M11)</f>
        <v>10</v>
      </c>
      <c r="L11" s="92" t="str">
        <f>VLOOKUP(I11,Dados!D:E,2,0)</f>
        <v>TECNOBRAS</v>
      </c>
      <c r="M11" s="92">
        <f>INDEX(Dados!C:C,MATCH(Resumo!$I11,Dados!D:D,0))</f>
        <v>1996</v>
      </c>
      <c r="N11" s="93">
        <f>SUMIFS(Dados!G:G,Dados!E:E,Resumo!$L11,Dados!D:D,Resumo!$I11,Dados!C:C,Resumo!$M11)/COUNTIFS(Dados!E:E,Resumo!$L11,Dados!D:D,Resumo!$I11,Dados!C:C,Resumo!$M11)</f>
        <v>0.49511079249326606</v>
      </c>
    </row>
    <row r="12" spans="1:18" x14ac:dyDescent="0.25">
      <c r="B12" s="106" t="s">
        <v>1315</v>
      </c>
      <c r="C12" s="106" t="str">
        <f>LEFT(Resumo!$B12,1)</f>
        <v>A</v>
      </c>
      <c r="D12" s="106">
        <f>COUNTIFS(Dados!D:D,Resumo!$B12,Dados!E:E,Resumo!$E12,Dados!C:C,Resumo!$F12)</f>
        <v>10</v>
      </c>
      <c r="E12" s="106" t="str">
        <f>VLOOKUP(B12,Dados!D:E,2,0)</f>
        <v>ELSTER</v>
      </c>
      <c r="F12" s="106">
        <f>INDEX(Dados!C:C,MATCH(Resumo!$B12,Dados!D:D,0))</f>
        <v>2006</v>
      </c>
      <c r="G12" s="106">
        <f>SUMIFS(Dados!G:G,Dados!E:E,Resumo!$E12,Dados!D:D,Resumo!$B12,Dados!C:C,Resumo!$F12)/COUNTIFS(Dados!E:E,Resumo!$E12,Dados!D:D,Resumo!$B12,Dados!C:C,Resumo!$F12)</f>
        <v>0.77176175850842199</v>
      </c>
      <c r="I12" s="94" t="s">
        <v>962</v>
      </c>
      <c r="J12" s="94" t="str">
        <f>LEFT(Resumo!$I12,1)</f>
        <v>Y</v>
      </c>
      <c r="K12" s="94">
        <f>COUNTIFS(Dados!D:D,Resumo!$I12,Dados!E:E,Resumo!$L12,Dados!C:C,Resumo!$M12)</f>
        <v>10</v>
      </c>
      <c r="L12" s="94" t="str">
        <f>VLOOKUP(I12,Dados!D:E,2,0)</f>
        <v>SCHLUMBERGER</v>
      </c>
      <c r="M12" s="94">
        <f>INDEX(Dados!C:C,MATCH(Resumo!$I12,Dados!D:D,0))</f>
        <v>1997</v>
      </c>
      <c r="N12" s="95">
        <f>SUMIFS(Dados!G:G,Dados!E:E,Resumo!$L12,Dados!D:D,Resumo!$I12,Dados!C:C,Resumo!$M12)/COUNTIFS(Dados!E:E,Resumo!$L12,Dados!D:D,Resumo!$I12,Dados!C:C,Resumo!$M12)</f>
        <v>0.74224648967881124</v>
      </c>
    </row>
    <row r="13" spans="1:18" x14ac:dyDescent="0.25">
      <c r="B13" s="106" t="s">
        <v>1314</v>
      </c>
      <c r="C13" s="106" t="str">
        <f>LEFT(Resumo!$B13,1)</f>
        <v>A</v>
      </c>
      <c r="D13" s="106">
        <f>COUNTIFS(Dados!D:D,Resumo!$B13,Dados!E:E,Resumo!$E13,Dados!C:C,Resumo!$F13)</f>
        <v>6</v>
      </c>
      <c r="E13" s="106" t="str">
        <f>VLOOKUP(B13,Dados!D:E,2,0)</f>
        <v>AQUARIUS</v>
      </c>
      <c r="F13" s="106">
        <f>INDEX(Dados!C:C,MATCH(Resumo!$B13,Dados!D:D,0))</f>
        <v>2006</v>
      </c>
      <c r="G13" s="106">
        <f>SUMIFS(Dados!G:G,Dados!E:E,Resumo!$E13,Dados!D:D,Resumo!$B13,Dados!C:C,Resumo!$F13)/COUNTIFS(Dados!E:E,Resumo!$E13,Dados!D:D,Resumo!$B13,Dados!C:C,Resumo!$F13)</f>
        <v>0.40642282770917276</v>
      </c>
      <c r="I13" s="92" t="s">
        <v>968</v>
      </c>
      <c r="J13" s="92" t="str">
        <f>LEFT(Resumo!$I13,1)</f>
        <v>A</v>
      </c>
      <c r="K13" s="92">
        <f>COUNTIFS(Dados!D:D,Resumo!$I13,Dados!E:E,Resumo!$L13,Dados!C:C,Resumo!$M13)</f>
        <v>15</v>
      </c>
      <c r="L13" s="92" t="str">
        <f>VLOOKUP(I13,Dados!D:E,2,0)</f>
        <v>SCHLUMBERGER</v>
      </c>
      <c r="M13" s="92">
        <f>INDEX(Dados!C:C,MATCH(Resumo!$I13,Dados!D:D,0))</f>
        <v>1997</v>
      </c>
      <c r="N13" s="93">
        <f>SUMIFS(Dados!G:G,Dados!E:E,Resumo!$L13,Dados!D:D,Resumo!$I13,Dados!C:C,Resumo!$M13)/COUNTIFS(Dados!E:E,Resumo!$L13,Dados!D:D,Resumo!$I13,Dados!C:C,Resumo!$M13)</f>
        <v>0.69309198260727001</v>
      </c>
    </row>
    <row r="14" spans="1:18" x14ac:dyDescent="0.25">
      <c r="B14" s="106" t="s">
        <v>946</v>
      </c>
      <c r="C14" s="106" t="str">
        <f>LEFT(Resumo!$B14,1)</f>
        <v>A</v>
      </c>
      <c r="D14" s="106">
        <f>COUNTIFS(Dados!D:D,Resumo!$B14,Dados!E:E,Resumo!$E14,Dados!C:C,Resumo!$F14)</f>
        <v>70</v>
      </c>
      <c r="E14" s="106" t="str">
        <f>VLOOKUP(B14,Dados!D:E,2,0)</f>
        <v>SENSUS</v>
      </c>
      <c r="F14" s="106">
        <f>INDEX(Dados!C:C,MATCH(Resumo!$B14,Dados!D:D,0))</f>
        <v>2006</v>
      </c>
      <c r="G14" s="106">
        <f>SUMIFS(Dados!G:G,Dados!E:E,Resumo!$E14,Dados!D:D,Resumo!$B14,Dados!C:C,Resumo!$F14)/COUNTIFS(Dados!E:E,Resumo!$E14,Dados!D:D,Resumo!$B14,Dados!C:C,Resumo!$F14)</f>
        <v>0.96036940211019095</v>
      </c>
      <c r="I14" s="94" t="s">
        <v>972</v>
      </c>
      <c r="J14" s="94" t="str">
        <f>LEFT(Resumo!$I14,1)</f>
        <v>A</v>
      </c>
      <c r="K14" s="94">
        <f>COUNTIFS(Dados!D:D,Resumo!$I14,Dados!E:E,Resumo!$L14,Dados!C:C,Resumo!$M14)</f>
        <v>10</v>
      </c>
      <c r="L14" s="94" t="str">
        <f>VLOOKUP(I14,Dados!D:E,2,0)</f>
        <v>NANSEN</v>
      </c>
      <c r="M14" s="94">
        <f>INDEX(Dados!C:C,MATCH(Resumo!$I14,Dados!D:D,0))</f>
        <v>1998</v>
      </c>
      <c r="N14" s="95">
        <f>SUMIFS(Dados!G:G,Dados!E:E,Resumo!$L14,Dados!D:D,Resumo!$I14,Dados!C:C,Resumo!$M14)/COUNTIFS(Dados!E:E,Resumo!$L14,Dados!D:D,Resumo!$I14,Dados!C:C,Resumo!$M14)</f>
        <v>0.15122044433412066</v>
      </c>
    </row>
    <row r="15" spans="1:18" x14ac:dyDescent="0.25">
      <c r="B15" s="106" t="s">
        <v>1311</v>
      </c>
      <c r="C15" s="106" t="str">
        <f>LEFT(Resumo!$B15,1)</f>
        <v>A</v>
      </c>
      <c r="D15" s="106">
        <f>COUNTIFS(Dados!D:D,Resumo!$B15,Dados!E:E,Resumo!$E15,Dados!C:C,Resumo!$F15)</f>
        <v>6</v>
      </c>
      <c r="E15" s="106" t="str">
        <f>VLOOKUP(B15,Dados!D:E,2,0)</f>
        <v>ACTARIS</v>
      </c>
      <c r="F15" s="106">
        <f>INDEX(Dados!C:C,MATCH(Resumo!$B15,Dados!D:D,0))</f>
        <v>2007</v>
      </c>
      <c r="G15" s="106">
        <f>SUMIFS(Dados!G:G,Dados!E:E,Resumo!$E15,Dados!D:D,Resumo!$B15,Dados!C:C,Resumo!$F15)/COUNTIFS(Dados!E:E,Resumo!$E15,Dados!D:D,Resumo!$B15,Dados!C:C,Resumo!$F15)</f>
        <v>0.83535593083293069</v>
      </c>
      <c r="I15" s="92" t="s">
        <v>963</v>
      </c>
      <c r="J15" s="92" t="str">
        <f>LEFT(Resumo!$I15,1)</f>
        <v>Y</v>
      </c>
      <c r="K15" s="92">
        <f>COUNTIFS(Dados!D:D,Resumo!$I15,Dados!E:E,Resumo!$L15,Dados!C:C,Resumo!$M15)</f>
        <v>10</v>
      </c>
      <c r="L15" s="92" t="str">
        <f>VLOOKUP(I15,Dados!D:E,2,0)</f>
        <v>SCHLUMBERGER</v>
      </c>
      <c r="M15" s="92">
        <f>INDEX(Dados!C:C,MATCH(Resumo!$I15,Dados!D:D,0))</f>
        <v>1998</v>
      </c>
      <c r="N15" s="93">
        <f>SUMIFS(Dados!G:G,Dados!E:E,Resumo!$L15,Dados!D:D,Resumo!$I15,Dados!C:C,Resumo!$M15)/COUNTIFS(Dados!E:E,Resumo!$L15,Dados!D:D,Resumo!$I15,Dados!C:C,Resumo!$M15)</f>
        <v>0.49172433366666662</v>
      </c>
    </row>
    <row r="16" spans="1:18" x14ac:dyDescent="0.25">
      <c r="B16" s="106" t="s">
        <v>935</v>
      </c>
      <c r="C16" s="106" t="str">
        <f>LEFT(Resumo!$B16,1)</f>
        <v>A</v>
      </c>
      <c r="D16" s="106">
        <f>COUNTIFS(Dados!D:D,Resumo!$B16,Dados!E:E,Resumo!$E16,Dados!C:C,Resumo!$F16)</f>
        <v>9</v>
      </c>
      <c r="E16" s="106" t="str">
        <f>VLOOKUP(B16,Dados!D:E,2,0)</f>
        <v>FAE</v>
      </c>
      <c r="F16" s="106">
        <f>INDEX(Dados!C:C,MATCH(Resumo!$B16,Dados!D:D,0))</f>
        <v>2007</v>
      </c>
      <c r="G16" s="106">
        <f>SUMIFS(Dados!G:G,Dados!E:E,Resumo!$E16,Dados!D:D,Resumo!$B16,Dados!C:C,Resumo!$F16)/COUNTIFS(Dados!E:E,Resumo!$E16,Dados!D:D,Resumo!$B16,Dados!C:C,Resumo!$F16)</f>
        <v>0.87600847719309405</v>
      </c>
      <c r="I16" s="94" t="s">
        <v>940</v>
      </c>
      <c r="J16" s="94" t="str">
        <f>LEFT(Resumo!$I16,1)</f>
        <v>A</v>
      </c>
      <c r="K16" s="94">
        <f>COUNTIFS(Dados!D:D,Resumo!$I16,Dados!E:E,Resumo!$L16,Dados!C:C,Resumo!$M16)</f>
        <v>18</v>
      </c>
      <c r="L16" s="94" t="str">
        <f>VLOOKUP(I16,Dados!D:E,2,0)</f>
        <v>SCHLUMBERGER</v>
      </c>
      <c r="M16" s="94">
        <f>INDEX(Dados!C:C,MATCH(Resumo!$I16,Dados!D:D,0))</f>
        <v>1999</v>
      </c>
      <c r="N16" s="95">
        <f>SUMIFS(Dados!G:G,Dados!E:E,Resumo!$L16,Dados!D:D,Resumo!$I16,Dados!C:C,Resumo!$M16)/COUNTIFS(Dados!E:E,Resumo!$L16,Dados!D:D,Resumo!$I16,Dados!C:C,Resumo!$M16)</f>
        <v>0.78008887374957103</v>
      </c>
    </row>
    <row r="17" spans="2:14" x14ac:dyDescent="0.25">
      <c r="B17" s="106" t="s">
        <v>954</v>
      </c>
      <c r="C17" s="106" t="str">
        <f>LEFT(Resumo!$B17,1)</f>
        <v>A</v>
      </c>
      <c r="D17" s="106">
        <f>COUNTIFS(Dados!D:D,Resumo!$B17,Dados!E:E,Resumo!$E17,Dados!C:C,Resumo!$F17)</f>
        <v>75</v>
      </c>
      <c r="E17" s="106" t="str">
        <f>VLOOKUP(B17,Dados!D:E,2,0)</f>
        <v>ACTARIS</v>
      </c>
      <c r="F17" s="106">
        <f>INDEX(Dados!C:C,MATCH(Resumo!$B17,Dados!D:D,0))</f>
        <v>2007</v>
      </c>
      <c r="G17" s="106">
        <f>SUMIFS(Dados!G:G,Dados!E:E,Resumo!$E17,Dados!D:D,Resumo!$B17,Dados!C:C,Resumo!$F17)/COUNTIFS(Dados!E:E,Resumo!$E17,Dados!D:D,Resumo!$B17,Dados!C:C,Resumo!$F17)</f>
        <v>0.83921589553868992</v>
      </c>
      <c r="I17" s="92" t="s">
        <v>939</v>
      </c>
      <c r="J17" s="92" t="str">
        <f>LEFT(Resumo!$I17,1)</f>
        <v>A</v>
      </c>
      <c r="K17" s="92">
        <f>COUNTIFS(Dados!D:D,Resumo!$I17,Dados!E:E,Resumo!$L17,Dados!C:C,Resumo!$M17)</f>
        <v>40</v>
      </c>
      <c r="L17" s="92" t="str">
        <f>VLOOKUP(I17,Dados!D:E,2,0)</f>
        <v>ELSTER</v>
      </c>
      <c r="M17" s="92">
        <f>INDEX(Dados!C:C,MATCH(Resumo!$I17,Dados!D:D,0))</f>
        <v>2000</v>
      </c>
      <c r="N17" s="93">
        <f>SUMIFS(Dados!G:G,Dados!E:E,Resumo!$L17,Dados!D:D,Resumo!$I17,Dados!C:C,Resumo!$M17)/COUNTIFS(Dados!E:E,Resumo!$L17,Dados!D:D,Resumo!$I17,Dados!C:C,Resumo!$M17)</f>
        <v>0.77738567261223568</v>
      </c>
    </row>
    <row r="18" spans="2:14" x14ac:dyDescent="0.25">
      <c r="B18" s="106" t="s">
        <v>967</v>
      </c>
      <c r="C18" s="106" t="str">
        <f>LEFT(Resumo!$B18,1)</f>
        <v>A</v>
      </c>
      <c r="D18" s="106">
        <f>COUNTIFS(Dados!D:D,Resumo!$B18,Dados!E:E,Resumo!$E18,Dados!C:C,Resumo!$F18)</f>
        <v>23</v>
      </c>
      <c r="E18" s="106" t="str">
        <f>VLOOKUP(B18,Dados!D:E,2,0)</f>
        <v>SENSUS</v>
      </c>
      <c r="F18" s="106">
        <f>INDEX(Dados!C:C,MATCH(Resumo!$B18,Dados!D:D,0))</f>
        <v>2007</v>
      </c>
      <c r="G18" s="106">
        <f>SUMIFS(Dados!G:G,Dados!E:E,Resumo!$E18,Dados!D:D,Resumo!$B18,Dados!C:C,Resumo!$F18)/COUNTIFS(Dados!E:E,Resumo!$E18,Dados!D:D,Resumo!$B18,Dados!C:C,Resumo!$F18)</f>
        <v>0.86392002572012028</v>
      </c>
      <c r="I18" s="94" t="s">
        <v>944</v>
      </c>
      <c r="J18" s="94" t="str">
        <f>LEFT(Resumo!$I18,1)</f>
        <v>A</v>
      </c>
      <c r="K18" s="94">
        <f>COUNTIFS(Dados!D:D,Resumo!$I18,Dados!E:E,Resumo!$L18,Dados!C:C,Resumo!$M18)</f>
        <v>18</v>
      </c>
      <c r="L18" s="94" t="str">
        <f>VLOOKUP(I18,Dados!D:E,2,0)</f>
        <v>LAO</v>
      </c>
      <c r="M18" s="94">
        <f>INDEX(Dados!C:C,MATCH(Resumo!$I18,Dados!D:D,0))</f>
        <v>2000</v>
      </c>
      <c r="N18" s="95">
        <f>SUMIFS(Dados!G:G,Dados!E:E,Resumo!$L18,Dados!D:D,Resumo!$I18,Dados!C:C,Resumo!$M18)/COUNTIFS(Dados!E:E,Resumo!$L18,Dados!D:D,Resumo!$I18,Dados!C:C,Resumo!$M18)</f>
        <v>0.94405729783476511</v>
      </c>
    </row>
    <row r="19" spans="2:14" x14ac:dyDescent="0.25">
      <c r="B19" s="106" t="s">
        <v>955</v>
      </c>
      <c r="C19" s="106" t="str">
        <f>LEFT(Resumo!$B19,1)</f>
        <v>A</v>
      </c>
      <c r="D19" s="106">
        <f>COUNTIFS(Dados!D:D,Resumo!$B19,Dados!E:E,Resumo!$E19,Dados!C:C,Resumo!$F19)</f>
        <v>12</v>
      </c>
      <c r="E19" s="106" t="str">
        <f>VLOOKUP(B19,Dados!D:E,2,0)</f>
        <v>SCHLUMBERGER</v>
      </c>
      <c r="F19" s="106">
        <f>INDEX(Dados!C:C,MATCH(Resumo!$B19,Dados!D:D,0))</f>
        <v>1978</v>
      </c>
      <c r="G19" s="106">
        <f>SUMIFS(Dados!G:G,Dados!E:E,Resumo!$E19,Dados!D:D,Resumo!$B19,Dados!C:C,Resumo!$F19)/COUNTIFS(Dados!E:E,Resumo!$E19,Dados!D:D,Resumo!$B19,Dados!C:C,Resumo!$F19)</f>
        <v>0.85126955282047545</v>
      </c>
      <c r="I19" s="92" t="s">
        <v>964</v>
      </c>
      <c r="J19" s="92" t="str">
        <f>LEFT(Resumo!$I19,1)</f>
        <v>Y</v>
      </c>
      <c r="K19" s="92">
        <f>COUNTIFS(Dados!D:D,Resumo!$I19,Dados!E:E,Resumo!$L19,Dados!C:C,Resumo!$M19)</f>
        <v>10</v>
      </c>
      <c r="L19" s="92" t="str">
        <f>VLOOKUP(I19,Dados!D:E,2,0)</f>
        <v>LAO</v>
      </c>
      <c r="M19" s="92">
        <f>INDEX(Dados!C:C,MATCH(Resumo!$I19,Dados!D:D,0))</f>
        <v>2000</v>
      </c>
      <c r="N19" s="93">
        <f>SUMIFS(Dados!G:G,Dados!E:E,Resumo!$L19,Dados!D:D,Resumo!$I19,Dados!C:C,Resumo!$M19)/COUNTIFS(Dados!E:E,Resumo!$L19,Dados!D:D,Resumo!$I19,Dados!C:C,Resumo!$M19)</f>
        <v>0.53415777921096519</v>
      </c>
    </row>
    <row r="20" spans="2:14" x14ac:dyDescent="0.25">
      <c r="B20" s="106" t="s">
        <v>956</v>
      </c>
      <c r="C20" s="106" t="str">
        <f>LEFT(Resumo!$B20,1)</f>
        <v>A</v>
      </c>
      <c r="D20" s="106">
        <f>COUNTIFS(Dados!D:D,Resumo!$B20,Dados!E:E,Resumo!$E20,Dados!C:C,Resumo!$F20)</f>
        <v>9</v>
      </c>
      <c r="E20" s="106" t="str">
        <f>VLOOKUP(B20,Dados!D:E,2,0)</f>
        <v>TECNOBRAS</v>
      </c>
      <c r="F20" s="106">
        <f>INDEX(Dados!C:C,MATCH(Resumo!$B20,Dados!D:D,0))</f>
        <v>1978</v>
      </c>
      <c r="G20" s="106">
        <f>SUMIFS(Dados!G:G,Dados!E:E,Resumo!$E20,Dados!D:D,Resumo!$B20,Dados!C:C,Resumo!$F20)/COUNTIFS(Dados!E:E,Resumo!$E20,Dados!D:D,Resumo!$B20,Dados!C:C,Resumo!$F20)</f>
        <v>0.68455622226690871</v>
      </c>
      <c r="I20" s="94" t="s">
        <v>958</v>
      </c>
      <c r="J20" s="94" t="str">
        <f>LEFT(Resumo!$I20,1)</f>
        <v>Y</v>
      </c>
      <c r="K20" s="94">
        <f>COUNTIFS(Dados!D:D,Resumo!$I20,Dados!E:E,Resumo!$L20,Dados!C:C,Resumo!$M20)</f>
        <v>1</v>
      </c>
      <c r="L20" s="94" t="str">
        <f>VLOOKUP(I20,Dados!D:E,2,0)</f>
        <v>ABB</v>
      </c>
      <c r="M20" s="94">
        <f>INDEX(Dados!C:C,MATCH(Resumo!$I20,Dados!D:D,0))</f>
        <v>2001</v>
      </c>
      <c r="N20" s="95">
        <f>SUMIFS(Dados!G:G,Dados!E:E,Resumo!$L20,Dados!D:D,Resumo!$I20,Dados!C:C,Resumo!$M20)/COUNTIFS(Dados!E:E,Resumo!$L20,Dados!D:D,Resumo!$I20,Dados!C:C,Resumo!$M20)</f>
        <v>0.84640403122179297</v>
      </c>
    </row>
    <row r="21" spans="2:14" x14ac:dyDescent="0.25">
      <c r="B21" s="106" t="s">
        <v>966</v>
      </c>
      <c r="C21" s="106" t="str">
        <f>LEFT(Resumo!$B21,1)</f>
        <v>A</v>
      </c>
      <c r="D21" s="106">
        <f>COUNTIFS(Dados!D:D,Resumo!$B21,Dados!E:E,Resumo!$E21,Dados!C:C,Resumo!$F21)</f>
        <v>9</v>
      </c>
      <c r="E21" s="106" t="str">
        <f>VLOOKUP(B21,Dados!D:E,2,0)</f>
        <v>SCHLUMBERGER</v>
      </c>
      <c r="F21" s="106">
        <f>INDEX(Dados!C:C,MATCH(Resumo!$B21,Dados!D:D,0))</f>
        <v>1982</v>
      </c>
      <c r="G21" s="106">
        <f>SUMIFS(Dados!G:G,Dados!E:E,Resumo!$E21,Dados!D:D,Resumo!$B21,Dados!C:C,Resumo!$F21)/COUNTIFS(Dados!E:E,Resumo!$E21,Dados!D:D,Resumo!$B21,Dados!C:C,Resumo!$F21)</f>
        <v>0.65473496937437625</v>
      </c>
      <c r="I21" s="92" t="s">
        <v>949</v>
      </c>
      <c r="J21" s="92" t="str">
        <f>LEFT(Resumo!$I21,1)</f>
        <v>Y</v>
      </c>
      <c r="K21" s="92">
        <f>COUNTIFS(Dados!D:D,Resumo!$I21,Dados!E:E,Resumo!$L21,Dados!C:C,Resumo!$M21)</f>
        <v>29</v>
      </c>
      <c r="L21" s="92" t="str">
        <f>VLOOKUP(I21,Dados!D:E,2,0)</f>
        <v>ELSTER</v>
      </c>
      <c r="M21" s="92">
        <f>INDEX(Dados!C:C,MATCH(Resumo!$I21,Dados!D:D,0))</f>
        <v>2001</v>
      </c>
      <c r="N21" s="93">
        <f>SUMIFS(Dados!G:G,Dados!E:E,Resumo!$L21,Dados!D:D,Resumo!$I21,Dados!C:C,Resumo!$M21)/COUNTIFS(Dados!E:E,Resumo!$L21,Dados!D:D,Resumo!$I21,Dados!C:C,Resumo!$M21)</f>
        <v>0.74792135594985742</v>
      </c>
    </row>
    <row r="22" spans="2:14" x14ac:dyDescent="0.25">
      <c r="B22" s="106" t="s">
        <v>971</v>
      </c>
      <c r="C22" s="106" t="str">
        <f>LEFT(Resumo!$B22,1)</f>
        <v>A</v>
      </c>
      <c r="D22" s="106">
        <f>COUNTIFS(Dados!D:D,Resumo!$B22,Dados!E:E,Resumo!$E22,Dados!C:C,Resumo!$F22)</f>
        <v>4</v>
      </c>
      <c r="E22" s="106" t="str">
        <f>VLOOKUP(B22,Dados!D:E,2,0)</f>
        <v>SCHLUMBERGER</v>
      </c>
      <c r="F22" s="106">
        <f>INDEX(Dados!C:C,MATCH(Resumo!$B22,Dados!D:D,0))</f>
        <v>1991</v>
      </c>
      <c r="G22" s="106">
        <f>SUMIFS(Dados!G:G,Dados!E:E,Resumo!$E22,Dados!D:D,Resumo!$B22,Dados!C:C,Resumo!$F22)/COUNTIFS(Dados!E:E,Resumo!$E22,Dados!D:D,Resumo!$B22,Dados!C:C,Resumo!$F22)</f>
        <v>0.82458495504582574</v>
      </c>
      <c r="I22" s="94" t="s">
        <v>950</v>
      </c>
      <c r="J22" s="94" t="str">
        <f>LEFT(Resumo!$I22,1)</f>
        <v>A</v>
      </c>
      <c r="K22" s="94">
        <f>COUNTIFS(Dados!D:D,Resumo!$I22,Dados!E:E,Resumo!$L22,Dados!C:C,Resumo!$M22)</f>
        <v>46</v>
      </c>
      <c r="L22" s="94" t="str">
        <f>VLOOKUP(I22,Dados!D:E,2,0)</f>
        <v>ELSTER</v>
      </c>
      <c r="M22" s="94">
        <f>INDEX(Dados!C:C,MATCH(Resumo!$I22,Dados!D:D,0))</f>
        <v>2001</v>
      </c>
      <c r="N22" s="95">
        <f>SUMIFS(Dados!G:G,Dados!E:E,Resumo!$L22,Dados!D:D,Resumo!$I22,Dados!C:C,Resumo!$M22)/COUNTIFS(Dados!E:E,Resumo!$L22,Dados!D:D,Resumo!$I22,Dados!C:C,Resumo!$M22)</f>
        <v>0.82003975772620552</v>
      </c>
    </row>
    <row r="23" spans="2:14" x14ac:dyDescent="0.25">
      <c r="B23" s="106" t="s">
        <v>933</v>
      </c>
      <c r="C23" s="106" t="str">
        <f>LEFT(Resumo!$B23,1)</f>
        <v>A</v>
      </c>
      <c r="D23" s="106">
        <f>COUNTIFS(Dados!D:D,Resumo!$B23,Dados!E:E,Resumo!$E23,Dados!C:C,Resumo!$F23)</f>
        <v>10</v>
      </c>
      <c r="E23" s="106" t="str">
        <f>VLOOKUP(B23,Dados!D:E,2,0)</f>
        <v>TECNOBRAS</v>
      </c>
      <c r="F23" s="106">
        <f>INDEX(Dados!C:C,MATCH(Resumo!$B23,Dados!D:D,0))</f>
        <v>1991</v>
      </c>
      <c r="G23" s="106">
        <f>SUMIFS(Dados!G:G,Dados!E:E,Resumo!$E23,Dados!D:D,Resumo!$B23,Dados!C:C,Resumo!$F23)/COUNTIFS(Dados!E:E,Resumo!$E23,Dados!D:D,Resumo!$B23,Dados!C:C,Resumo!$F23)</f>
        <v>0.72391169654346443</v>
      </c>
      <c r="I23" s="92" t="s">
        <v>965</v>
      </c>
      <c r="J23" s="92" t="str">
        <f>LEFT(Resumo!$I23,1)</f>
        <v>Y</v>
      </c>
      <c r="K23" s="92">
        <f>COUNTIFS(Dados!D:D,Resumo!$I23,Dados!E:E,Resumo!$L23,Dados!C:C,Resumo!$M23)</f>
        <v>2</v>
      </c>
      <c r="L23" s="92" t="str">
        <f>VLOOKUP(I23,Dados!D:E,2,0)</f>
        <v>ELSTER</v>
      </c>
      <c r="M23" s="92">
        <f>INDEX(Dados!C:C,MATCH(Resumo!$I23,Dados!D:D,0))</f>
        <v>2001</v>
      </c>
      <c r="N23" s="93">
        <f>SUMIFS(Dados!G:G,Dados!E:E,Resumo!$L23,Dados!D:D,Resumo!$I23,Dados!C:C,Resumo!$M23)/COUNTIFS(Dados!E:E,Resumo!$L23,Dados!D:D,Resumo!$I23,Dados!C:C,Resumo!$M23)</f>
        <v>0.60734006316148004</v>
      </c>
    </row>
    <row r="24" spans="2:14" x14ac:dyDescent="0.25">
      <c r="B24" s="106" t="s">
        <v>970</v>
      </c>
      <c r="C24" s="106" t="str">
        <f>LEFT(Resumo!$B24,1)</f>
        <v>A</v>
      </c>
      <c r="D24" s="106">
        <f>COUNTIFS(Dados!D:D,Resumo!$B24,Dados!E:E,Resumo!$E24,Dados!C:C,Resumo!$F24)</f>
        <v>1</v>
      </c>
      <c r="E24" s="106" t="str">
        <f>VLOOKUP(B24,Dados!D:E,2,0)</f>
        <v>SCHLUMBERGER</v>
      </c>
      <c r="F24" s="106">
        <f>INDEX(Dados!C:C,MATCH(Resumo!$B24,Dados!D:D,0))</f>
        <v>1991</v>
      </c>
      <c r="G24" s="106">
        <f>SUMIFS(Dados!G:G,Dados!E:E,Resumo!$E24,Dados!D:D,Resumo!$B24,Dados!C:C,Resumo!$F24)/COUNTIFS(Dados!E:E,Resumo!$E24,Dados!D:D,Resumo!$B24,Dados!C:C,Resumo!$F24)</f>
        <v>0.46006195962011565</v>
      </c>
      <c r="I24" s="94" t="s">
        <v>959</v>
      </c>
      <c r="J24" s="94" t="str">
        <f>LEFT(Resumo!$I24,1)</f>
        <v>A</v>
      </c>
      <c r="K24" s="94">
        <f>COUNTIFS(Dados!D:D,Resumo!$I24,Dados!E:E,Resumo!$L24,Dados!C:C,Resumo!$M24)</f>
        <v>38</v>
      </c>
      <c r="L24" s="94" t="str">
        <f>VLOOKUP(I24,Dados!D:E,2,0)</f>
        <v>LAO</v>
      </c>
      <c r="M24" s="94">
        <f>INDEX(Dados!C:C,MATCH(Resumo!$I24,Dados!D:D,0))</f>
        <v>2001</v>
      </c>
      <c r="N24" s="95">
        <f>SUMIFS(Dados!G:G,Dados!E:E,Resumo!$L24,Dados!D:D,Resumo!$I24,Dados!C:C,Resumo!$M24)/COUNTIFS(Dados!E:E,Resumo!$L24,Dados!D:D,Resumo!$I24,Dados!C:C,Resumo!$M24)</f>
        <v>0.92089707101787999</v>
      </c>
    </row>
    <row r="25" spans="2:14" x14ac:dyDescent="0.25">
      <c r="B25" s="106" t="s">
        <v>948</v>
      </c>
      <c r="C25" s="106" t="str">
        <f>LEFT(Resumo!$B25,1)</f>
        <v>A</v>
      </c>
      <c r="D25" s="106">
        <f>COUNTIFS(Dados!D:D,Resumo!$B25,Dados!E:E,Resumo!$E25,Dados!C:C,Resumo!$F25)</f>
        <v>11</v>
      </c>
      <c r="E25" s="106" t="str">
        <f>VLOOKUP(B25,Dados!D:E,2,0)</f>
        <v>LAO</v>
      </c>
      <c r="F25" s="106">
        <f>INDEX(Dados!C:C,MATCH(Resumo!$B25,Dados!D:D,0))</f>
        <v>1996</v>
      </c>
      <c r="G25" s="106">
        <f>SUMIFS(Dados!G:G,Dados!E:E,Resumo!$E25,Dados!D:D,Resumo!$B25,Dados!C:C,Resumo!$F25)/COUNTIFS(Dados!E:E,Resumo!$E25,Dados!D:D,Resumo!$B25,Dados!C:C,Resumo!$F25)</f>
        <v>0.67901972045454562</v>
      </c>
      <c r="I25" s="92" t="s">
        <v>942</v>
      </c>
      <c r="J25" s="92" t="str">
        <f>LEFT(Resumo!$I25,1)</f>
        <v>A</v>
      </c>
      <c r="K25" s="92">
        <f>COUNTIFS(Dados!D:D,Resumo!$I25,Dados!E:E,Resumo!$L25,Dados!C:C,Resumo!$M25)</f>
        <v>217</v>
      </c>
      <c r="L25" s="92" t="str">
        <f>VLOOKUP(I25,Dados!D:E,2,0)</f>
        <v>ABB</v>
      </c>
      <c r="M25" s="92">
        <f>INDEX(Dados!C:C,MATCH(Resumo!$I25,Dados!D:D,0))</f>
        <v>2002</v>
      </c>
      <c r="N25" s="93">
        <f>SUMIFS(Dados!G:G,Dados!E:E,Resumo!$L25,Dados!D:D,Resumo!$I25,Dados!C:C,Resumo!$M25)/COUNTIFS(Dados!E:E,Resumo!$L25,Dados!D:D,Resumo!$I25,Dados!C:C,Resumo!$M25)</f>
        <v>0.75904341518181506</v>
      </c>
    </row>
    <row r="26" spans="2:14" x14ac:dyDescent="0.25">
      <c r="B26" s="106" t="s">
        <v>961</v>
      </c>
      <c r="C26" s="106" t="str">
        <f>LEFT(Resumo!$B26,1)</f>
        <v>A</v>
      </c>
      <c r="D26" s="106">
        <f>COUNTIFS(Dados!D:D,Resumo!$B26,Dados!E:E,Resumo!$E26,Dados!C:C,Resumo!$F26)</f>
        <v>8</v>
      </c>
      <c r="E26" s="106" t="str">
        <f>VLOOKUP(B26,Dados!D:E,2,0)</f>
        <v>SCHLUMBERGER</v>
      </c>
      <c r="F26" s="106">
        <f>INDEX(Dados!C:C,MATCH(Resumo!$B26,Dados!D:D,0))</f>
        <v>2006</v>
      </c>
      <c r="G26" s="106">
        <f>SUMIFS(Dados!G:G,Dados!E:E,Resumo!$E26,Dados!D:D,Resumo!$B26,Dados!C:C,Resumo!$F26)/COUNTIFS(Dados!E:E,Resumo!$E26,Dados!D:D,Resumo!$B26,Dados!C:C,Resumo!$F26)</f>
        <v>0.72934087943056791</v>
      </c>
      <c r="I26" s="94" t="s">
        <v>943</v>
      </c>
      <c r="J26" s="94" t="str">
        <f>LEFT(Resumo!$I26,1)</f>
        <v>Y</v>
      </c>
      <c r="K26" s="94">
        <f>COUNTIFS(Dados!D:D,Resumo!$I26,Dados!E:E,Resumo!$L26,Dados!C:C,Resumo!$M26)</f>
        <v>10</v>
      </c>
      <c r="L26" s="94" t="str">
        <f>VLOOKUP(I26,Dados!D:E,2,0)</f>
        <v>ABB</v>
      </c>
      <c r="M26" s="94">
        <f>INDEX(Dados!C:C,MATCH(Resumo!$I26,Dados!D:D,0))</f>
        <v>2003</v>
      </c>
      <c r="N26" s="95">
        <f>SUMIFS(Dados!G:G,Dados!E:E,Resumo!$L26,Dados!D:D,Resumo!$I26,Dados!C:C,Resumo!$M26)/COUNTIFS(Dados!E:E,Resumo!$L26,Dados!D:D,Resumo!$I26,Dados!C:C,Resumo!$M26)</f>
        <v>0.92638069867071471</v>
      </c>
    </row>
    <row r="27" spans="2:14" x14ac:dyDescent="0.25">
      <c r="B27" s="106" t="s">
        <v>969</v>
      </c>
      <c r="C27" s="106" t="str">
        <f>LEFT(Resumo!$B27,1)</f>
        <v>A</v>
      </c>
      <c r="D27" s="106">
        <f>COUNTIFS(Dados!D:D,Resumo!$B27,Dados!E:E,Resumo!$E27,Dados!C:C,Resumo!$F27)</f>
        <v>10</v>
      </c>
      <c r="E27" s="106" t="str">
        <f>VLOOKUP(B27,Dados!D:E,2,0)</f>
        <v>TECNOBRAS</v>
      </c>
      <c r="F27" s="106">
        <f>INDEX(Dados!C:C,MATCH(Resumo!$B27,Dados!D:D,0))</f>
        <v>1996</v>
      </c>
      <c r="G27" s="106">
        <f>SUMIFS(Dados!G:G,Dados!E:E,Resumo!$E27,Dados!D:D,Resumo!$B27,Dados!C:C,Resumo!$F27)/COUNTIFS(Dados!E:E,Resumo!$E27,Dados!D:D,Resumo!$B27,Dados!C:C,Resumo!$F27)</f>
        <v>0.49511079249326606</v>
      </c>
      <c r="I27" s="92" t="s">
        <v>953</v>
      </c>
      <c r="J27" s="92" t="str">
        <f>LEFT(Resumo!$I27,1)</f>
        <v>A</v>
      </c>
      <c r="K27" s="92">
        <f>COUNTIFS(Dados!D:D,Resumo!$I27,Dados!E:E,Resumo!$L27,Dados!C:C,Resumo!$M27)</f>
        <v>66</v>
      </c>
      <c r="L27" s="92" t="str">
        <f>VLOOKUP(I27,Dados!D:E,2,0)</f>
        <v>ELSTER</v>
      </c>
      <c r="M27" s="92">
        <f>INDEX(Dados!C:C,MATCH(Resumo!$I27,Dados!D:D,0))</f>
        <v>2003</v>
      </c>
      <c r="N27" s="93">
        <f>SUMIFS(Dados!G:G,Dados!E:E,Resumo!$L27,Dados!D:D,Resumo!$I27,Dados!C:C,Resumo!$M27)/COUNTIFS(Dados!E:E,Resumo!$L27,Dados!D:D,Resumo!$I27,Dados!C:C,Resumo!$M27)</f>
        <v>0.78862730930075431</v>
      </c>
    </row>
    <row r="28" spans="2:14" x14ac:dyDescent="0.25">
      <c r="B28" s="106" t="s">
        <v>968</v>
      </c>
      <c r="C28" s="106" t="str">
        <f>LEFT(Resumo!$B28,1)</f>
        <v>A</v>
      </c>
      <c r="D28" s="106">
        <f>COUNTIFS(Dados!D:D,Resumo!$B28,Dados!E:E,Resumo!$E28,Dados!C:C,Resumo!$F28)</f>
        <v>15</v>
      </c>
      <c r="E28" s="106" t="str">
        <f>VLOOKUP(B28,Dados!D:E,2,0)</f>
        <v>SCHLUMBERGER</v>
      </c>
      <c r="F28" s="106">
        <f>INDEX(Dados!C:C,MATCH(Resumo!$B28,Dados!D:D,0))</f>
        <v>1997</v>
      </c>
      <c r="G28" s="106">
        <f>SUMIFS(Dados!G:G,Dados!E:E,Resumo!$E28,Dados!D:D,Resumo!$B28,Dados!C:C,Resumo!$F28)/COUNTIFS(Dados!E:E,Resumo!$E28,Dados!D:D,Resumo!$B28,Dados!C:C,Resumo!$F28)</f>
        <v>0.69309198260727001</v>
      </c>
      <c r="I28" s="94" t="s">
        <v>945</v>
      </c>
      <c r="J28" s="94" t="str">
        <f>LEFT(Resumo!$I28,1)</f>
        <v>A</v>
      </c>
      <c r="K28" s="94">
        <f>COUNTIFS(Dados!D:D,Resumo!$I28,Dados!E:E,Resumo!$L28,Dados!C:C,Resumo!$M28)</f>
        <v>42</v>
      </c>
      <c r="L28" s="94" t="str">
        <f>VLOOKUP(I28,Dados!D:E,2,0)</f>
        <v>FAE</v>
      </c>
      <c r="M28" s="94">
        <f>INDEX(Dados!C:C,MATCH(Resumo!$I28,Dados!D:D,0))</f>
        <v>2004</v>
      </c>
      <c r="N28" s="95">
        <f>SUMIFS(Dados!G:G,Dados!E:E,Resumo!$L28,Dados!D:D,Resumo!$I28,Dados!C:C,Resumo!$M28)/COUNTIFS(Dados!E:E,Resumo!$L28,Dados!D:D,Resumo!$I28,Dados!C:C,Resumo!$M28)</f>
        <v>0.79114566953918242</v>
      </c>
    </row>
    <row r="29" spans="2:14" x14ac:dyDescent="0.25">
      <c r="B29" s="106" t="s">
        <v>972</v>
      </c>
      <c r="C29" s="106" t="str">
        <f>LEFT(Resumo!$B29,1)</f>
        <v>A</v>
      </c>
      <c r="D29" s="106">
        <f>COUNTIFS(Dados!D:D,Resumo!$B29,Dados!E:E,Resumo!$E29,Dados!C:C,Resumo!$F29)</f>
        <v>10</v>
      </c>
      <c r="E29" s="106" t="str">
        <f>VLOOKUP(B29,Dados!D:E,2,0)</f>
        <v>NANSEN</v>
      </c>
      <c r="F29" s="106">
        <f>INDEX(Dados!C:C,MATCH(Resumo!$B29,Dados!D:D,0))</f>
        <v>1998</v>
      </c>
      <c r="G29" s="106">
        <f>SUMIFS(Dados!G:G,Dados!E:E,Resumo!$E29,Dados!D:D,Resumo!$B29,Dados!C:C,Resumo!$F29)/COUNTIFS(Dados!E:E,Resumo!$E29,Dados!D:D,Resumo!$B29,Dados!C:C,Resumo!$F29)</f>
        <v>0.15122044433412066</v>
      </c>
      <c r="I29" s="92" t="s">
        <v>941</v>
      </c>
      <c r="J29" s="92" t="str">
        <f>LEFT(Resumo!$I29,1)</f>
        <v>A</v>
      </c>
      <c r="K29" s="92">
        <f>COUNTIFS(Dados!D:D,Resumo!$I29,Dados!E:E,Resumo!$L29,Dados!C:C,Resumo!$M29)</f>
        <v>43</v>
      </c>
      <c r="L29" s="92" t="str">
        <f>VLOOKUP(I29,Dados!D:E,2,0)</f>
        <v>ACTARIS</v>
      </c>
      <c r="M29" s="92">
        <f>INDEX(Dados!C:C,MATCH(Resumo!$I29,Dados!D:D,0))</f>
        <v>2005</v>
      </c>
      <c r="N29" s="93">
        <f>SUMIFS(Dados!G:G,Dados!E:E,Resumo!$L29,Dados!D:D,Resumo!$I29,Dados!C:C,Resumo!$M29)/COUNTIFS(Dados!E:E,Resumo!$L29,Dados!D:D,Resumo!$I29,Dados!C:C,Resumo!$M29)</f>
        <v>0.85222794038844818</v>
      </c>
    </row>
    <row r="30" spans="2:14" x14ac:dyDescent="0.25">
      <c r="B30" s="106" t="s">
        <v>940</v>
      </c>
      <c r="C30" s="106" t="str">
        <f>LEFT(Resumo!$B30,1)</f>
        <v>A</v>
      </c>
      <c r="D30" s="106">
        <f>COUNTIFS(Dados!D:D,Resumo!$B30,Dados!E:E,Resumo!$E30,Dados!C:C,Resumo!$F30)</f>
        <v>18</v>
      </c>
      <c r="E30" s="106" t="str">
        <f>VLOOKUP(B30,Dados!D:E,2,0)</f>
        <v>SCHLUMBERGER</v>
      </c>
      <c r="F30" s="106">
        <f>INDEX(Dados!C:C,MATCH(Resumo!$B30,Dados!D:D,0))</f>
        <v>1999</v>
      </c>
      <c r="G30" s="106">
        <f>SUMIFS(Dados!G:G,Dados!E:E,Resumo!$E30,Dados!D:D,Resumo!$B30,Dados!C:C,Resumo!$F30)/COUNTIFS(Dados!E:E,Resumo!$E30,Dados!D:D,Resumo!$B30,Dados!C:C,Resumo!$F30)</f>
        <v>0.78008887374957103</v>
      </c>
      <c r="I30" s="94" t="s">
        <v>936</v>
      </c>
      <c r="J30" s="94" t="str">
        <f>LEFT(Resumo!$I30,1)</f>
        <v>A</v>
      </c>
      <c r="K30" s="94">
        <f>COUNTIFS(Dados!D:D,Resumo!$I30,Dados!E:E,Resumo!$L30,Dados!C:C,Resumo!$M30)</f>
        <v>20</v>
      </c>
      <c r="L30" s="94" t="str">
        <f>VLOOKUP(I30,Dados!D:E,2,0)</f>
        <v>ASSIM</v>
      </c>
      <c r="M30" s="94">
        <f>INDEX(Dados!C:C,MATCH(Resumo!$I30,Dados!D:D,0))</f>
        <v>2007</v>
      </c>
      <c r="N30" s="95">
        <f>SUMIFS(Dados!G:G,Dados!E:E,Resumo!$L30,Dados!D:D,Resumo!$I30,Dados!C:C,Resumo!$M30)/COUNTIFS(Dados!E:E,Resumo!$L30,Dados!D:D,Resumo!$I30,Dados!C:C,Resumo!$M30)</f>
        <v>0.41710550618323883</v>
      </c>
    </row>
    <row r="31" spans="2:14" x14ac:dyDescent="0.25">
      <c r="B31" s="106" t="s">
        <v>952</v>
      </c>
      <c r="C31" s="106" t="str">
        <f>LEFT(Resumo!$B31,1)</f>
        <v>B</v>
      </c>
      <c r="D31" s="106">
        <f>COUNTIFS(Dados!D:D,Resumo!$B31,Dados!E:E,Resumo!$E31,Dados!C:C,Resumo!$F31)</f>
        <v>6</v>
      </c>
      <c r="E31" s="106" t="str">
        <f>VLOOKUP(B31,Dados!D:E,2,0)</f>
        <v>SENSUS</v>
      </c>
      <c r="F31" s="106">
        <f>INDEX(Dados!C:C,MATCH(Resumo!$B31,Dados!D:D,0))</f>
        <v>2006</v>
      </c>
      <c r="G31" s="106">
        <f>SUMIFS(Dados!G:G,Dados!E:E,Resumo!$E31,Dados!D:D,Resumo!$B31,Dados!C:C,Resumo!$F31)/COUNTIFS(Dados!E:E,Resumo!$E31,Dados!D:D,Resumo!$B31,Dados!C:C,Resumo!$F31)</f>
        <v>0.4388582005690716</v>
      </c>
      <c r="I31" s="92" t="s">
        <v>961</v>
      </c>
      <c r="J31" s="92" t="str">
        <f>LEFT(Resumo!$I31,1)</f>
        <v>A</v>
      </c>
      <c r="K31" s="92">
        <f>COUNTIFS(Dados!D:D,Resumo!$I31,Dados!E:E,Resumo!$L31,Dados!C:C,Resumo!$M31)</f>
        <v>8</v>
      </c>
      <c r="L31" s="92" t="str">
        <f>VLOOKUP(I31,Dados!D:E,2,0)</f>
        <v>SCHLUMBERGER</v>
      </c>
      <c r="M31" s="92">
        <f>INDEX(Dados!C:C,MATCH(Resumo!$I31,Dados!D:D,0))</f>
        <v>2006</v>
      </c>
      <c r="N31" s="93">
        <f>SUMIFS(Dados!G:G,Dados!E:E,Resumo!$L31,Dados!D:D,Resumo!$I31,Dados!C:C,Resumo!$M31)/COUNTIFS(Dados!E:E,Resumo!$L31,Dados!D:D,Resumo!$I31,Dados!C:C,Resumo!$M31)</f>
        <v>0.72934087943056791</v>
      </c>
    </row>
    <row r="32" spans="2:14" x14ac:dyDescent="0.25">
      <c r="B32" s="106" t="s">
        <v>951</v>
      </c>
      <c r="C32" s="106" t="str">
        <f>LEFT(Resumo!$B32,1)</f>
        <v>B</v>
      </c>
      <c r="D32" s="106">
        <f>COUNTIFS(Dados!D:D,Resumo!$B32,Dados!E:E,Resumo!$E32,Dados!C:C,Resumo!$F32)</f>
        <v>13</v>
      </c>
      <c r="E32" s="106" t="str">
        <f>VLOOKUP(B32,Dados!D:E,2,0)</f>
        <v>ITRON</v>
      </c>
      <c r="F32" s="106">
        <f>INDEX(Dados!C:C,MATCH(Resumo!$B32,Dados!D:D,0))</f>
        <v>2010</v>
      </c>
      <c r="G32" s="106">
        <f>SUMIFS(Dados!G:G,Dados!E:E,Resumo!$E32,Dados!D:D,Resumo!$B32,Dados!C:C,Resumo!$F32)/COUNTIFS(Dados!E:E,Resumo!$E32,Dados!D:D,Resumo!$B32,Dados!C:C,Resumo!$F32)</f>
        <v>0.32398146648429627</v>
      </c>
      <c r="I32" s="94" t="s">
        <v>946</v>
      </c>
      <c r="J32" s="94" t="str">
        <f>LEFT(Resumo!$I32,1)</f>
        <v>A</v>
      </c>
      <c r="K32" s="94">
        <f>COUNTIFS(Dados!D:D,Resumo!$I32,Dados!E:E,Resumo!$L32,Dados!C:C,Resumo!$M32)</f>
        <v>70</v>
      </c>
      <c r="L32" s="94" t="str">
        <f>VLOOKUP(I32,Dados!D:E,2,0)</f>
        <v>SENSUS</v>
      </c>
      <c r="M32" s="94">
        <f>INDEX(Dados!C:C,MATCH(Resumo!$I32,Dados!D:D,0))</f>
        <v>2006</v>
      </c>
      <c r="N32" s="95">
        <f>SUMIFS(Dados!G:G,Dados!E:E,Resumo!$L32,Dados!D:D,Resumo!$I32,Dados!C:C,Resumo!$M32)/COUNTIFS(Dados!E:E,Resumo!$L32,Dados!D:D,Resumo!$I32,Dados!C:C,Resumo!$M32)</f>
        <v>0.96036940211019095</v>
      </c>
    </row>
    <row r="33" spans="2:14" x14ac:dyDescent="0.25">
      <c r="B33" s="106" t="s">
        <v>938</v>
      </c>
      <c r="C33" s="106" t="str">
        <f>LEFT(Resumo!$B33,1)</f>
        <v>D</v>
      </c>
      <c r="D33" s="106">
        <f>COUNTIFS(Dados!D:D,Resumo!$B33,Dados!E:E,Resumo!$E33,Dados!C:C,Resumo!$F33)</f>
        <v>10</v>
      </c>
      <c r="E33" s="106" t="str">
        <f>VLOOKUP(B33,Dados!D:E,2,0)</f>
        <v>SENSUS</v>
      </c>
      <c r="F33" s="106">
        <f>INDEX(Dados!C:C,MATCH(Resumo!$B33,Dados!D:D,0))</f>
        <v>2010</v>
      </c>
      <c r="G33" s="106">
        <f>SUMIFS(Dados!G:G,Dados!E:E,Resumo!$E33,Dados!D:D,Resumo!$B33,Dados!C:C,Resumo!$F33)/COUNTIFS(Dados!E:E,Resumo!$E33,Dados!D:D,Resumo!$B33,Dados!C:C,Resumo!$F33)</f>
        <v>0.32621327565308855</v>
      </c>
      <c r="I33" s="92" t="s">
        <v>952</v>
      </c>
      <c r="J33" s="92" t="str">
        <f>LEFT(Resumo!$I33,1)</f>
        <v>B</v>
      </c>
      <c r="K33" s="92">
        <f>COUNTIFS(Dados!D:D,Resumo!$I33,Dados!E:E,Resumo!$L33,Dados!C:C,Resumo!$M33)</f>
        <v>6</v>
      </c>
      <c r="L33" s="92" t="str">
        <f>VLOOKUP(I33,Dados!D:E,2,0)</f>
        <v>SENSUS</v>
      </c>
      <c r="M33" s="92">
        <f>INDEX(Dados!C:C,MATCH(Resumo!$I33,Dados!D:D,0))</f>
        <v>2006</v>
      </c>
      <c r="N33" s="93">
        <f>SUMIFS(Dados!G:G,Dados!E:E,Resumo!$L33,Dados!D:D,Resumo!$I33,Dados!C:C,Resumo!$M33)/COUNTIFS(Dados!E:E,Resumo!$L33,Dados!D:D,Resumo!$I33,Dados!C:C,Resumo!$M33)</f>
        <v>0.4388582005690716</v>
      </c>
    </row>
    <row r="34" spans="2:14" x14ac:dyDescent="0.25">
      <c r="B34" s="106" t="s">
        <v>1312</v>
      </c>
      <c r="C34" s="106" t="str">
        <f>LEFT(Resumo!$B34,1)</f>
        <v>D</v>
      </c>
      <c r="D34" s="106">
        <f>COUNTIFS(Dados!D:D,Resumo!$B34,Dados!E:E,Resumo!$E34,Dados!C:C,Resumo!$F34)</f>
        <v>6</v>
      </c>
      <c r="E34" s="106" t="str">
        <f>VLOOKUP(B34,Dados!D:E,2,0)</f>
        <v>SENSUS</v>
      </c>
      <c r="F34" s="106">
        <f>INDEX(Dados!C:C,MATCH(Resumo!$B34,Dados!D:D,0))</f>
        <v>2011</v>
      </c>
      <c r="G34" s="106">
        <f>SUMIFS(Dados!G:G,Dados!E:E,Resumo!$E34,Dados!D:D,Resumo!$B34,Dados!C:C,Resumo!$F34)/COUNTIFS(Dados!E:E,Resumo!$E34,Dados!D:D,Resumo!$B34,Dados!C:C,Resumo!$F34)</f>
        <v>0.48649495738552867</v>
      </c>
      <c r="I34" s="94" t="s">
        <v>935</v>
      </c>
      <c r="J34" s="94" t="str">
        <f>LEFT(Resumo!$I34,1)</f>
        <v>A</v>
      </c>
      <c r="K34" s="94">
        <f>COUNTIFS(Dados!D:D,Resumo!$I34,Dados!E:E,Resumo!$L34,Dados!C:C,Resumo!$M34)</f>
        <v>9</v>
      </c>
      <c r="L34" s="94" t="str">
        <f>VLOOKUP(I34,Dados!D:E,2,0)</f>
        <v>FAE</v>
      </c>
      <c r="M34" s="94">
        <f>INDEX(Dados!C:C,MATCH(Resumo!$I34,Dados!D:D,0))</f>
        <v>2007</v>
      </c>
      <c r="N34" s="95">
        <f>SUMIFS(Dados!G:G,Dados!E:E,Resumo!$L34,Dados!D:D,Resumo!$I34,Dados!C:C,Resumo!$M34)/COUNTIFS(Dados!E:E,Resumo!$L34,Dados!D:D,Resumo!$I34,Dados!C:C,Resumo!$M34)</f>
        <v>0.87600847719309405</v>
      </c>
    </row>
    <row r="35" spans="2:14" x14ac:dyDescent="0.25">
      <c r="B35" s="106" t="s">
        <v>960</v>
      </c>
      <c r="C35" s="106" t="str">
        <f>LEFT(Resumo!$B35,1)</f>
        <v>E</v>
      </c>
      <c r="D35" s="106">
        <f>COUNTIFS(Dados!D:D,Resumo!$B35,Dados!E:E,Resumo!$E35,Dados!C:C,Resumo!$F35)</f>
        <v>22</v>
      </c>
      <c r="E35" s="106" t="str">
        <f>VLOOKUP(B35,Dados!D:E,2,0)</f>
        <v>SENSUS</v>
      </c>
      <c r="F35" s="106">
        <f>INDEX(Dados!C:C,MATCH(Resumo!$B35,Dados!D:D,0))</f>
        <v>2007</v>
      </c>
      <c r="G35" s="106">
        <f>SUMIFS(Dados!G:G,Dados!E:E,Resumo!$E35,Dados!D:D,Resumo!$B35,Dados!C:C,Resumo!$F35)/COUNTIFS(Dados!E:E,Resumo!$E35,Dados!D:D,Resumo!$B35,Dados!C:C,Resumo!$F35)</f>
        <v>0.77981281109019107</v>
      </c>
      <c r="I35" s="92" t="s">
        <v>954</v>
      </c>
      <c r="J35" s="92" t="str">
        <f>LEFT(Resumo!$I35,1)</f>
        <v>A</v>
      </c>
      <c r="K35" s="92">
        <f>COUNTIFS(Dados!D:D,Resumo!$I35,Dados!E:E,Resumo!$L35,Dados!C:C,Resumo!$M35)</f>
        <v>75</v>
      </c>
      <c r="L35" s="92" t="str">
        <f>VLOOKUP(I35,Dados!D:E,2,0)</f>
        <v>ACTARIS</v>
      </c>
      <c r="M35" s="92">
        <f>INDEX(Dados!C:C,MATCH(Resumo!$I35,Dados!D:D,0))</f>
        <v>2007</v>
      </c>
      <c r="N35" s="93">
        <f>SUMIFS(Dados!G:G,Dados!E:E,Resumo!$L35,Dados!D:D,Resumo!$I35,Dados!C:C,Resumo!$M35)/COUNTIFS(Dados!E:E,Resumo!$L35,Dados!D:D,Resumo!$I35,Dados!C:C,Resumo!$M35)</f>
        <v>0.83921589553868992</v>
      </c>
    </row>
    <row r="36" spans="2:14" x14ac:dyDescent="0.25">
      <c r="B36" s="106" t="s">
        <v>937</v>
      </c>
      <c r="C36" s="106" t="str">
        <f>LEFT(Resumo!$B36,1)</f>
        <v>E</v>
      </c>
      <c r="D36" s="106">
        <f>COUNTIFS(Dados!D:D,Resumo!$B36,Dados!E:E,Resumo!$E36,Dados!C:C,Resumo!$F36)</f>
        <v>9</v>
      </c>
      <c r="E36" s="106" t="str">
        <f>VLOOKUP(B36,Dados!D:E,2,0)</f>
        <v>ITRON</v>
      </c>
      <c r="F36" s="106">
        <f>INDEX(Dados!C:C,MATCH(Resumo!$B36,Dados!D:D,0))</f>
        <v>2010</v>
      </c>
      <c r="G36" s="106">
        <f>SUMIFS(Dados!G:G,Dados!E:E,Resumo!$E36,Dados!D:D,Resumo!$B36,Dados!C:C,Resumo!$F36)/COUNTIFS(Dados!E:E,Resumo!$E36,Dados!D:D,Resumo!$B36,Dados!C:C,Resumo!$F36)</f>
        <v>1.0074675545794425</v>
      </c>
      <c r="I36" s="94" t="s">
        <v>960</v>
      </c>
      <c r="J36" s="94" t="str">
        <f>LEFT(Resumo!$I36,1)</f>
        <v>E</v>
      </c>
      <c r="K36" s="94">
        <f>COUNTIFS(Dados!D:D,Resumo!$I36,Dados!E:E,Resumo!$L36,Dados!C:C,Resumo!$M36)</f>
        <v>22</v>
      </c>
      <c r="L36" s="94" t="str">
        <f>VLOOKUP(I36,Dados!D:E,2,0)</f>
        <v>SENSUS</v>
      </c>
      <c r="M36" s="94">
        <f>INDEX(Dados!C:C,MATCH(Resumo!$I36,Dados!D:D,0))</f>
        <v>2007</v>
      </c>
      <c r="N36" s="95">
        <f>SUMIFS(Dados!G:G,Dados!E:E,Resumo!$L36,Dados!D:D,Resumo!$I36,Dados!C:C,Resumo!$M36)/COUNTIFS(Dados!E:E,Resumo!$L36,Dados!D:D,Resumo!$I36,Dados!C:C,Resumo!$M36)</f>
        <v>0.77981281109019107</v>
      </c>
    </row>
    <row r="37" spans="2:14" x14ac:dyDescent="0.25">
      <c r="B37" s="106" t="s">
        <v>964</v>
      </c>
      <c r="C37" s="106" t="str">
        <f>LEFT(Resumo!$B37,1)</f>
        <v>Y</v>
      </c>
      <c r="D37" s="106">
        <f>COUNTIFS(Dados!D:D,Resumo!$B37,Dados!E:E,Resumo!$E37,Dados!C:C,Resumo!$F37)</f>
        <v>10</v>
      </c>
      <c r="E37" s="106" t="str">
        <f>VLOOKUP(B37,Dados!D:E,2,0)</f>
        <v>LAO</v>
      </c>
      <c r="F37" s="106">
        <f>INDEX(Dados!C:C,MATCH(Resumo!$B37,Dados!D:D,0))</f>
        <v>2000</v>
      </c>
      <c r="G37" s="106">
        <f>SUMIFS(Dados!G:G,Dados!E:E,Resumo!$E37,Dados!D:D,Resumo!$B37,Dados!C:C,Resumo!$F37)/COUNTIFS(Dados!E:E,Resumo!$E37,Dados!D:D,Resumo!$B37,Dados!C:C,Resumo!$F37)</f>
        <v>0.53415777921096519</v>
      </c>
      <c r="I37" s="92" t="s">
        <v>967</v>
      </c>
      <c r="J37" s="92" t="str">
        <f>LEFT(Resumo!$I37,1)</f>
        <v>A</v>
      </c>
      <c r="K37" s="92">
        <f>COUNTIFS(Dados!D:D,Resumo!$I37,Dados!E:E,Resumo!$L37,Dados!C:C,Resumo!$M37)</f>
        <v>23</v>
      </c>
      <c r="L37" s="92" t="str">
        <f>VLOOKUP(I37,Dados!D:E,2,0)</f>
        <v>SENSUS</v>
      </c>
      <c r="M37" s="92">
        <f>INDEX(Dados!C:C,MATCH(Resumo!$I37,Dados!D:D,0))</f>
        <v>2007</v>
      </c>
      <c r="N37" s="93">
        <f>SUMIFS(Dados!G:G,Dados!E:E,Resumo!$L37,Dados!D:D,Resumo!$I37,Dados!C:C,Resumo!$M37)/COUNTIFS(Dados!E:E,Resumo!$L37,Dados!D:D,Resumo!$I37,Dados!C:C,Resumo!$M37)</f>
        <v>0.86392002572012028</v>
      </c>
    </row>
    <row r="38" spans="2:14" x14ac:dyDescent="0.25">
      <c r="B38" s="106" t="s">
        <v>965</v>
      </c>
      <c r="C38" s="106" t="str">
        <f>LEFT(Resumo!$B38,1)</f>
        <v>Y</v>
      </c>
      <c r="D38" s="106">
        <f>COUNTIFS(Dados!D:D,Resumo!$B38,Dados!E:E,Resumo!$E38,Dados!C:C,Resumo!$F38)</f>
        <v>2</v>
      </c>
      <c r="E38" s="106" t="str">
        <f>VLOOKUP(B38,Dados!D:E,2,0)</f>
        <v>ELSTER</v>
      </c>
      <c r="F38" s="106">
        <f>INDEX(Dados!C:C,MATCH(Resumo!$B38,Dados!D:D,0))</f>
        <v>2001</v>
      </c>
      <c r="G38" s="106">
        <f>SUMIFS(Dados!G:G,Dados!E:E,Resumo!$E38,Dados!D:D,Resumo!$B38,Dados!C:C,Resumo!$F38)/COUNTIFS(Dados!E:E,Resumo!$E38,Dados!D:D,Resumo!$B38,Dados!C:C,Resumo!$F38)</f>
        <v>0.60734006316148004</v>
      </c>
      <c r="I38" s="94" t="s">
        <v>937</v>
      </c>
      <c r="J38" s="94" t="str">
        <f>LEFT(Resumo!$I38,1)</f>
        <v>E</v>
      </c>
      <c r="K38" s="94">
        <f>COUNTIFS(Dados!D:D,Resumo!$I38,Dados!E:E,Resumo!$L38,Dados!C:C,Resumo!$M38)</f>
        <v>9</v>
      </c>
      <c r="L38" s="94" t="str">
        <f>VLOOKUP(I38,Dados!D:E,2,0)</f>
        <v>ITRON</v>
      </c>
      <c r="M38" s="94">
        <f>INDEX(Dados!C:C,MATCH(Resumo!$I38,Dados!D:D,0))</f>
        <v>2010</v>
      </c>
      <c r="N38" s="95">
        <f>SUMIFS(Dados!G:G,Dados!E:E,Resumo!$L38,Dados!D:D,Resumo!$I38,Dados!C:C,Resumo!$M38)/COUNTIFS(Dados!E:E,Resumo!$L38,Dados!D:D,Resumo!$I38,Dados!C:C,Resumo!$M38)</f>
        <v>1.0074675545794425</v>
      </c>
    </row>
    <row r="39" spans="2:14" x14ac:dyDescent="0.25">
      <c r="B39" s="106" t="s">
        <v>949</v>
      </c>
      <c r="C39" s="106" t="str">
        <f>LEFT(Resumo!$B39,1)</f>
        <v>Y</v>
      </c>
      <c r="D39" s="106">
        <f>COUNTIFS(Dados!D:D,Resumo!$B39,Dados!E:E,Resumo!$E39,Dados!C:C,Resumo!$F39)</f>
        <v>29</v>
      </c>
      <c r="E39" s="106" t="str">
        <f>VLOOKUP(B39,Dados!D:E,2,0)</f>
        <v>ELSTER</v>
      </c>
      <c r="F39" s="106">
        <f>INDEX(Dados!C:C,MATCH(Resumo!$B39,Dados!D:D,0))</f>
        <v>2001</v>
      </c>
      <c r="G39" s="106">
        <f>SUMIFS(Dados!G:G,Dados!E:E,Resumo!$E39,Dados!D:D,Resumo!$B39,Dados!C:C,Resumo!$F39)/COUNTIFS(Dados!E:E,Resumo!$E39,Dados!D:D,Resumo!$B39,Dados!C:C,Resumo!$F39)</f>
        <v>0.74792135594985742</v>
      </c>
      <c r="I39" s="92" t="s">
        <v>951</v>
      </c>
      <c r="J39" s="92" t="str">
        <f>LEFT(Resumo!$I39,1)</f>
        <v>B</v>
      </c>
      <c r="K39" s="92">
        <f>COUNTIFS(Dados!D:D,Resumo!$I39,Dados!E:E,Resumo!$L39,Dados!C:C,Resumo!$M39)</f>
        <v>13</v>
      </c>
      <c r="L39" s="92" t="str">
        <f>VLOOKUP(I39,Dados!D:E,2,0)</f>
        <v>ITRON</v>
      </c>
      <c r="M39" s="92">
        <f>INDEX(Dados!C:C,MATCH(Resumo!$I39,Dados!D:D,0))</f>
        <v>2010</v>
      </c>
      <c r="N39" s="93">
        <f>SUMIFS(Dados!G:G,Dados!E:E,Resumo!$L39,Dados!D:D,Resumo!$I39,Dados!C:C,Resumo!$M39)/COUNTIFS(Dados!E:E,Resumo!$L39,Dados!D:D,Resumo!$I39,Dados!C:C,Resumo!$M39)</f>
        <v>0.32398146648429627</v>
      </c>
    </row>
    <row r="40" spans="2:14" x14ac:dyDescent="0.25">
      <c r="B40" s="106" t="s">
        <v>943</v>
      </c>
      <c r="C40" s="106" t="str">
        <f>LEFT(Resumo!$B40,1)</f>
        <v>Y</v>
      </c>
      <c r="D40" s="106">
        <f>COUNTIFS(Dados!D:D,Resumo!$B40,Dados!E:E,Resumo!$E40,Dados!C:C,Resumo!$F40)</f>
        <v>10</v>
      </c>
      <c r="E40" s="106" t="str">
        <f>VLOOKUP(B40,Dados!D:E,2,0)</f>
        <v>ABB</v>
      </c>
      <c r="F40" s="106">
        <f>INDEX(Dados!C:C,MATCH(Resumo!$B40,Dados!D:D,0))</f>
        <v>2003</v>
      </c>
      <c r="G40" s="106">
        <f>SUMIFS(Dados!G:G,Dados!E:E,Resumo!$E40,Dados!D:D,Resumo!$B40,Dados!C:C,Resumo!$F40)/COUNTIFS(Dados!E:E,Resumo!$E40,Dados!D:D,Resumo!$B40,Dados!C:C,Resumo!$F40)</f>
        <v>0.92638069867071471</v>
      </c>
      <c r="I40" s="94" t="s">
        <v>934</v>
      </c>
      <c r="J40" s="94" t="str">
        <f>LEFT(Resumo!$I40,1)</f>
        <v>Y</v>
      </c>
      <c r="K40" s="94">
        <f>COUNTIFS(Dados!D:D,Resumo!$I40,Dados!E:E,Resumo!$L40,Dados!C:C,Resumo!$M40)</f>
        <v>34</v>
      </c>
      <c r="L40" s="94" t="str">
        <f>VLOOKUP(I40,Dados!D:E,2,0)</f>
        <v>SENSUS</v>
      </c>
      <c r="M40" s="94">
        <f>INDEX(Dados!C:C,MATCH(Resumo!$I40,Dados!D:D,0))</f>
        <v>2010</v>
      </c>
      <c r="N40" s="95">
        <f>SUMIFS(Dados!G:G,Dados!E:E,Resumo!$L40,Dados!D:D,Resumo!$I40,Dados!C:C,Resumo!$M40)/COUNTIFS(Dados!E:E,Resumo!$L40,Dados!D:D,Resumo!$I40,Dados!C:C,Resumo!$M40)</f>
        <v>0.64546846346490538</v>
      </c>
    </row>
    <row r="41" spans="2:14" x14ac:dyDescent="0.25">
      <c r="B41" s="106" t="s">
        <v>1313</v>
      </c>
      <c r="C41" s="106" t="str">
        <f>LEFT(Resumo!$B41,1)</f>
        <v>Y</v>
      </c>
      <c r="D41" s="106">
        <f>COUNTIFS(Dados!D:D,Resumo!$B41,Dados!E:E,Resumo!$E41,Dados!C:C,Resumo!$F41)</f>
        <v>5</v>
      </c>
      <c r="E41" s="106" t="str">
        <f>VLOOKUP(B41,Dados!D:E,2,0)</f>
        <v>AQUARIUS</v>
      </c>
      <c r="F41" s="106">
        <f>INDEX(Dados!C:C,MATCH(Resumo!$B41,Dados!D:D,0))</f>
        <v>2008</v>
      </c>
      <c r="G41" s="106">
        <f>SUMIFS(Dados!G:G,Dados!E:E,Resumo!$E41,Dados!D:D,Resumo!$B41,Dados!C:C,Resumo!$F41)/COUNTIFS(Dados!E:E,Resumo!$E41,Dados!D:D,Resumo!$B41,Dados!C:C,Resumo!$F41)</f>
        <v>0.56012796237971252</v>
      </c>
      <c r="I41" s="92" t="s">
        <v>938</v>
      </c>
      <c r="J41" s="92" t="str">
        <f>LEFT(Resumo!$I41,1)</f>
        <v>D</v>
      </c>
      <c r="K41" s="92">
        <f>COUNTIFS(Dados!D:D,Resumo!$I41,Dados!E:E,Resumo!$L41,Dados!C:C,Resumo!$M41)</f>
        <v>10</v>
      </c>
      <c r="L41" s="92" t="str">
        <f>VLOOKUP(I41,Dados!D:E,2,0)</f>
        <v>SENSUS</v>
      </c>
      <c r="M41" s="92">
        <f>INDEX(Dados!C:C,MATCH(Resumo!$I41,Dados!D:D,0))</f>
        <v>2010</v>
      </c>
      <c r="N41" s="93">
        <f>SUMIFS(Dados!G:G,Dados!E:E,Resumo!$L41,Dados!D:D,Resumo!$I41,Dados!C:C,Resumo!$M41)/COUNTIFS(Dados!E:E,Resumo!$L41,Dados!D:D,Resumo!$I41,Dados!C:C,Resumo!$M41)</f>
        <v>0.32621327565308855</v>
      </c>
    </row>
    <row r="42" spans="2:14" x14ac:dyDescent="0.25">
      <c r="B42" s="106" t="s">
        <v>958</v>
      </c>
      <c r="C42" s="106" t="str">
        <f>LEFT(Resumo!$B42,1)</f>
        <v>Y</v>
      </c>
      <c r="D42" s="106">
        <f>COUNTIFS(Dados!D:D,Resumo!$B42,Dados!E:E,Resumo!$E42,Dados!C:C,Resumo!$F42)</f>
        <v>1</v>
      </c>
      <c r="E42" s="106" t="str">
        <f>VLOOKUP(B42,Dados!D:E,2,0)</f>
        <v>ABB</v>
      </c>
      <c r="F42" s="106">
        <f>INDEX(Dados!C:C,MATCH(Resumo!$B42,Dados!D:D,0))</f>
        <v>2001</v>
      </c>
      <c r="G42" s="106">
        <f>SUMIFS(Dados!G:G,Dados!E:E,Resumo!$E42,Dados!D:D,Resumo!$B42,Dados!C:C,Resumo!$F42)/COUNTIFS(Dados!E:E,Resumo!$E42,Dados!D:D,Resumo!$B42,Dados!C:C,Resumo!$F42)</f>
        <v>0.84640403122179297</v>
      </c>
      <c r="I42" s="97" t="s">
        <v>973</v>
      </c>
      <c r="J42" s="94" t="str">
        <f>LEFT(Resumo!$I42,1)</f>
        <v>Y</v>
      </c>
      <c r="K42" s="94">
        <f>COUNTIFS(Dados!D:D,Resumo!$I42,Dados!E:E,Resumo!$L42,Dados!C:C,Resumo!$M42)</f>
        <v>8</v>
      </c>
      <c r="L42" s="94" t="str">
        <f>VLOOKUP(I42,Dados!D:E,2,0)</f>
        <v>SENSUS</v>
      </c>
      <c r="M42" s="94">
        <f>INDEX(Dados!C:C,MATCH(Resumo!$I42,Dados!D:D,0))</f>
        <v>2011</v>
      </c>
      <c r="N42" s="95">
        <f>SUMIFS(Dados!G:G,Dados!E:E,Resumo!$L42,Dados!D:D,Resumo!$I42,Dados!C:C,Resumo!$M42)/COUNTIFS(Dados!E:E,Resumo!$L42,Dados!D:D,Resumo!$I42,Dados!C:C,Resumo!$M42)</f>
        <v>0.64991183730228375</v>
      </c>
    </row>
    <row r="43" spans="2:14" ht="15.75" thickBot="1" x14ac:dyDescent="0.3">
      <c r="B43" s="106" t="s">
        <v>934</v>
      </c>
      <c r="C43" s="106" t="str">
        <f>LEFT(Resumo!$B43,1)</f>
        <v>Y</v>
      </c>
      <c r="D43" s="106">
        <f>COUNTIFS(Dados!D:D,Resumo!$B43,Dados!E:E,Resumo!$E43,Dados!C:C,Resumo!$F43)</f>
        <v>34</v>
      </c>
      <c r="E43" s="106" t="str">
        <f>VLOOKUP(B43,Dados!D:E,2,0)</f>
        <v>SENSUS</v>
      </c>
      <c r="F43" s="106">
        <f>INDEX(Dados!C:C,MATCH(Resumo!$B43,Dados!D:D,0))</f>
        <v>2010</v>
      </c>
      <c r="G43" s="106">
        <f>SUMIFS(Dados!G:G,Dados!E:E,Resumo!$E43,Dados!D:D,Resumo!$B43,Dados!C:C,Resumo!$F43)/COUNTIFS(Dados!E:E,Resumo!$E43,Dados!D:D,Resumo!$B43,Dados!C:C,Resumo!$F43)</f>
        <v>0.64546846346490538</v>
      </c>
      <c r="I43" s="92" t="s">
        <v>957</v>
      </c>
      <c r="J43" s="92" t="str">
        <f>LEFT(Resumo!$I43,1)</f>
        <v>Y</v>
      </c>
      <c r="K43" s="92">
        <f>COUNTIFS(Dados!D:D,Resumo!$I43,Dados!E:E,Resumo!$L43,Dados!C:C,Resumo!$M43)</f>
        <v>24</v>
      </c>
      <c r="L43" s="92" t="str">
        <f>VLOOKUP(I43,Dados!D:E,2,0)</f>
        <v>VECTOR</v>
      </c>
      <c r="M43" s="92">
        <f>INDEX(Dados!C:C,MATCH(Resumo!$I43,Dados!D:D,0))</f>
        <v>2012</v>
      </c>
      <c r="N43" s="93">
        <f>SUMIFS(Dados!G:G,Dados!E:E,Resumo!$L43,Dados!D:D,Resumo!$I43,Dados!C:C,Resumo!$M43)/COUNTIFS(Dados!E:E,Resumo!$L43,Dados!D:D,Resumo!$I43,Dados!C:C,Resumo!$M43)</f>
        <v>0.91359104584814776</v>
      </c>
    </row>
    <row r="44" spans="2:14" ht="16.5" thickTop="1" thickBot="1" x14ac:dyDescent="0.3">
      <c r="B44" s="106" t="s">
        <v>973</v>
      </c>
      <c r="C44" s="106" t="str">
        <f>LEFT(Resumo!$B44,1)</f>
        <v>Y</v>
      </c>
      <c r="D44" s="106">
        <f>COUNTIFS(Dados!D:D,Resumo!$B44,Dados!E:E,Resumo!$E44,Dados!C:C,Resumo!$F44)</f>
        <v>8</v>
      </c>
      <c r="E44" s="106" t="str">
        <f>VLOOKUP(B44,Dados!D:E,2,0)</f>
        <v>SENSUS</v>
      </c>
      <c r="F44" s="106">
        <f>INDEX(Dados!C:C,MATCH(Resumo!$B44,Dados!D:D,0))</f>
        <v>2011</v>
      </c>
      <c r="G44" s="106">
        <f>SUMIFS(Dados!G:G,Dados!E:E,Resumo!$E44,Dados!D:D,Resumo!$B44,Dados!C:C,Resumo!$F44)/COUNTIFS(Dados!E:E,Resumo!$E44,Dados!D:D,Resumo!$B44,Dados!C:C,Resumo!$F44)</f>
        <v>0.64991183730228375</v>
      </c>
      <c r="I44" s="98" t="s">
        <v>982</v>
      </c>
      <c r="J44" s="99"/>
      <c r="K44" s="99">
        <f>SUBTOTAL(109,Resumo!$K$3:$K$43)</f>
        <v>1027</v>
      </c>
      <c r="L44" s="99"/>
      <c r="M44" s="99"/>
      <c r="N44" s="100"/>
    </row>
    <row r="45" spans="2:14" x14ac:dyDescent="0.25">
      <c r="B45" s="106" t="s">
        <v>957</v>
      </c>
      <c r="C45" s="106" t="str">
        <f>LEFT(Resumo!$B45,1)</f>
        <v>Y</v>
      </c>
      <c r="D45" s="106">
        <f>COUNTIFS(Dados!D:D,Resumo!$B45,Dados!E:E,Resumo!$E45,Dados!C:C,Resumo!$F45)</f>
        <v>24</v>
      </c>
      <c r="E45" s="106" t="str">
        <f>VLOOKUP(B45,Dados!D:E,2,0)</f>
        <v>VECTOR</v>
      </c>
      <c r="F45" s="106">
        <f>INDEX(Dados!C:C,MATCH(Resumo!$B45,Dados!D:D,0))</f>
        <v>2012</v>
      </c>
      <c r="G45" s="106">
        <f>SUMIFS(Dados!G:G,Dados!E:E,Resumo!$E45,Dados!D:D,Resumo!$B45,Dados!C:C,Resumo!$F45)/COUNTIFS(Dados!E:E,Resumo!$E45,Dados!D:D,Resumo!$B45,Dados!C:C,Resumo!$F45)</f>
        <v>0.91359104584814776</v>
      </c>
    </row>
    <row r="46" spans="2:14" x14ac:dyDescent="0.25">
      <c r="B46" s="106" t="s">
        <v>947</v>
      </c>
      <c r="C46" s="106" t="str">
        <f>LEFT(Resumo!$B46,1)</f>
        <v>Y</v>
      </c>
      <c r="D46" s="106">
        <f>COUNTIFS(Dados!D:D,Resumo!$B46,Dados!E:E,Resumo!$E46,Dados!C:C,Resumo!$F46)</f>
        <v>5</v>
      </c>
      <c r="E46" s="106" t="str">
        <f>VLOOKUP(B46,Dados!D:E,2,0)</f>
        <v>ACTARIS</v>
      </c>
      <c r="F46" s="106">
        <f>INDEX(Dados!C:C,MATCH(Resumo!$B46,Dados!D:D,0))</f>
        <v>1996</v>
      </c>
      <c r="G46" s="106">
        <f>SUMIFS(Dados!G:G,Dados!E:E,Resumo!$E46,Dados!D:D,Resumo!$B46,Dados!C:C,Resumo!$F46)/COUNTIFS(Dados!E:E,Resumo!$E46,Dados!D:D,Resumo!$B46,Dados!C:C,Resumo!$F46)</f>
        <v>0.73874740999999988</v>
      </c>
    </row>
    <row r="47" spans="2:14" x14ac:dyDescent="0.25">
      <c r="B47" s="106" t="s">
        <v>962</v>
      </c>
      <c r="C47" s="106" t="str">
        <f>LEFT(Resumo!$B47,1)</f>
        <v>Y</v>
      </c>
      <c r="D47" s="106">
        <f>COUNTIFS(Dados!D:D,Resumo!$B47,Dados!E:E,Resumo!$E47,Dados!C:C,Resumo!$F47)</f>
        <v>10</v>
      </c>
      <c r="E47" s="106" t="str">
        <f>VLOOKUP(B47,Dados!D:E,2,0)</f>
        <v>SCHLUMBERGER</v>
      </c>
      <c r="F47" s="106">
        <f>INDEX(Dados!C:C,MATCH(Resumo!$B47,Dados!D:D,0))</f>
        <v>1997</v>
      </c>
      <c r="G47" s="106">
        <f>SUMIFS(Dados!G:G,Dados!E:E,Resumo!$E47,Dados!D:D,Resumo!$B47,Dados!C:C,Resumo!$F47)/COUNTIFS(Dados!E:E,Resumo!$E47,Dados!D:D,Resumo!$B47,Dados!C:C,Resumo!$F47)</f>
        <v>0.74224648967881124</v>
      </c>
      <c r="I47"/>
    </row>
    <row r="48" spans="2:14" x14ac:dyDescent="0.25">
      <c r="B48" s="106" t="s">
        <v>963</v>
      </c>
      <c r="C48" s="106" t="str">
        <f>LEFT(Resumo!$B48,1)</f>
        <v>Y</v>
      </c>
      <c r="D48" s="106">
        <f>COUNTIFS(Dados!D:D,Resumo!$B48,Dados!E:E,Resumo!$E48,Dados!C:C,Resumo!$F48)</f>
        <v>10</v>
      </c>
      <c r="E48" s="106" t="str">
        <f>VLOOKUP(B48,Dados!D:E,2,0)</f>
        <v>SCHLUMBERGER</v>
      </c>
      <c r="F48" s="106">
        <f>INDEX(Dados!C:C,MATCH(Resumo!$B48,Dados!D:D,0))</f>
        <v>1998</v>
      </c>
      <c r="G48" s="106">
        <f>SUMIFS(Dados!G:G,Dados!E:E,Resumo!$E48,Dados!D:D,Resumo!$B48,Dados!C:C,Resumo!$F48)/COUNTIFS(Dados!E:E,Resumo!$E48,Dados!D:D,Resumo!$B48,Dados!C:C,Resumo!$F48)</f>
        <v>0.49172433366666662</v>
      </c>
      <c r="I48"/>
    </row>
    <row r="49" spans="2:9" x14ac:dyDescent="0.25">
      <c r="B49" s="106" t="s">
        <v>982</v>
      </c>
      <c r="D49" s="106">
        <f>SUM(D3:D48)</f>
        <v>1060</v>
      </c>
      <c r="I49"/>
    </row>
    <row r="50" spans="2:9" x14ac:dyDescent="0.25">
      <c r="I50"/>
    </row>
    <row r="51" spans="2:9" x14ac:dyDescent="0.25">
      <c r="I51"/>
    </row>
    <row r="52" spans="2:9" x14ac:dyDescent="0.25">
      <c r="I52"/>
    </row>
    <row r="53" spans="2:9" x14ac:dyDescent="0.25">
      <c r="I53"/>
    </row>
    <row r="54" spans="2:9" x14ac:dyDescent="0.25">
      <c r="I54"/>
    </row>
    <row r="55" spans="2:9" x14ac:dyDescent="0.25">
      <c r="I55"/>
    </row>
    <row r="56" spans="2:9" x14ac:dyDescent="0.25">
      <c r="I56"/>
    </row>
    <row r="57" spans="2:9" x14ac:dyDescent="0.25">
      <c r="I57"/>
    </row>
    <row r="58" spans="2:9" x14ac:dyDescent="0.25">
      <c r="I58"/>
    </row>
    <row r="59" spans="2:9" x14ac:dyDescent="0.25">
      <c r="I59"/>
    </row>
    <row r="60" spans="2:9" x14ac:dyDescent="0.25">
      <c r="I60"/>
    </row>
    <row r="61" spans="2:9" x14ac:dyDescent="0.25">
      <c r="I61"/>
    </row>
    <row r="62" spans="2:9" x14ac:dyDescent="0.25">
      <c r="I62"/>
    </row>
    <row r="63" spans="2:9" x14ac:dyDescent="0.25">
      <c r="I63"/>
    </row>
    <row r="64" spans="2:9" x14ac:dyDescent="0.25">
      <c r="I64"/>
    </row>
    <row r="65" spans="9:9" x14ac:dyDescent="0.25">
      <c r="I65"/>
    </row>
    <row r="66" spans="9:9" x14ac:dyDescent="0.25">
      <c r="I66"/>
    </row>
    <row r="67" spans="9:9" x14ac:dyDescent="0.25">
      <c r="I67"/>
    </row>
    <row r="68" spans="9:9" x14ac:dyDescent="0.25">
      <c r="I68"/>
    </row>
    <row r="69" spans="9:9" x14ac:dyDescent="0.25">
      <c r="I69"/>
    </row>
    <row r="70" spans="9:9" x14ac:dyDescent="0.25">
      <c r="I70"/>
    </row>
    <row r="71" spans="9:9" x14ac:dyDescent="0.25">
      <c r="I71"/>
    </row>
    <row r="72" spans="9:9" x14ac:dyDescent="0.25">
      <c r="I72"/>
    </row>
    <row r="73" spans="9:9" x14ac:dyDescent="0.25">
      <c r="I73"/>
    </row>
    <row r="74" spans="9:9" x14ac:dyDescent="0.25">
      <c r="I74"/>
    </row>
    <row r="75" spans="9:9" x14ac:dyDescent="0.25">
      <c r="I75"/>
    </row>
    <row r="76" spans="9:9" x14ac:dyDescent="0.25">
      <c r="I76"/>
    </row>
    <row r="77" spans="9:9" x14ac:dyDescent="0.25">
      <c r="I77"/>
    </row>
    <row r="78" spans="9:9" x14ac:dyDescent="0.25">
      <c r="I78"/>
    </row>
    <row r="79" spans="9:9" x14ac:dyDescent="0.25">
      <c r="I79"/>
    </row>
    <row r="80" spans="9:9" x14ac:dyDescent="0.25">
      <c r="I80"/>
    </row>
    <row r="81" spans="9:9" x14ac:dyDescent="0.25">
      <c r="I81"/>
    </row>
    <row r="82" spans="9:9" x14ac:dyDescent="0.25">
      <c r="I82"/>
    </row>
    <row r="83" spans="9:9" x14ac:dyDescent="0.25">
      <c r="I83"/>
    </row>
    <row r="84" spans="9:9" x14ac:dyDescent="0.25">
      <c r="I84"/>
    </row>
    <row r="85" spans="9:9" x14ac:dyDescent="0.25">
      <c r="I85"/>
    </row>
    <row r="86" spans="9:9" x14ac:dyDescent="0.25">
      <c r="I86"/>
    </row>
    <row r="87" spans="9:9" x14ac:dyDescent="0.25">
      <c r="I87"/>
    </row>
    <row r="88" spans="9:9" x14ac:dyDescent="0.25">
      <c r="I88"/>
    </row>
    <row r="89" spans="9:9" x14ac:dyDescent="0.25">
      <c r="I89"/>
    </row>
    <row r="90" spans="9:9" x14ac:dyDescent="0.25">
      <c r="I90"/>
    </row>
    <row r="91" spans="9:9" x14ac:dyDescent="0.25">
      <c r="I91"/>
    </row>
    <row r="92" spans="9:9" x14ac:dyDescent="0.25">
      <c r="I92"/>
    </row>
    <row r="93" spans="9:9" x14ac:dyDescent="0.25">
      <c r="I93"/>
    </row>
    <row r="94" spans="9:9" x14ac:dyDescent="0.25">
      <c r="I94"/>
    </row>
    <row r="95" spans="9:9" x14ac:dyDescent="0.25">
      <c r="I95"/>
    </row>
    <row r="96" spans="9:9" x14ac:dyDescent="0.25">
      <c r="I96"/>
    </row>
    <row r="97" spans="9:9" x14ac:dyDescent="0.25">
      <c r="I97"/>
    </row>
    <row r="98" spans="9:9" x14ac:dyDescent="0.25">
      <c r="I98"/>
    </row>
    <row r="99" spans="9:9" x14ac:dyDescent="0.25">
      <c r="I99"/>
    </row>
    <row r="100" spans="9:9" x14ac:dyDescent="0.25">
      <c r="I100"/>
    </row>
    <row r="101" spans="9:9" x14ac:dyDescent="0.25">
      <c r="I101"/>
    </row>
    <row r="102" spans="9:9" x14ac:dyDescent="0.25">
      <c r="I102"/>
    </row>
    <row r="103" spans="9:9" x14ac:dyDescent="0.25">
      <c r="I103"/>
    </row>
    <row r="104" spans="9:9" x14ac:dyDescent="0.25">
      <c r="I104"/>
    </row>
    <row r="105" spans="9:9" x14ac:dyDescent="0.25">
      <c r="I105"/>
    </row>
    <row r="106" spans="9:9" x14ac:dyDescent="0.25">
      <c r="I106"/>
    </row>
    <row r="107" spans="9:9" x14ac:dyDescent="0.25">
      <c r="I107"/>
    </row>
    <row r="108" spans="9:9" x14ac:dyDescent="0.25">
      <c r="I108"/>
    </row>
    <row r="109" spans="9:9" x14ac:dyDescent="0.25">
      <c r="I109"/>
    </row>
    <row r="110" spans="9:9" x14ac:dyDescent="0.25">
      <c r="I110"/>
    </row>
    <row r="111" spans="9:9" x14ac:dyDescent="0.25">
      <c r="I111"/>
    </row>
    <row r="112" spans="9:9" x14ac:dyDescent="0.25">
      <c r="I112"/>
    </row>
    <row r="113" spans="9:9" x14ac:dyDescent="0.25">
      <c r="I113"/>
    </row>
    <row r="114" spans="9:9" x14ac:dyDescent="0.25">
      <c r="I114"/>
    </row>
    <row r="115" spans="9:9" x14ac:dyDescent="0.25">
      <c r="I115"/>
    </row>
    <row r="116" spans="9:9" x14ac:dyDescent="0.25">
      <c r="I116"/>
    </row>
    <row r="117" spans="9:9" x14ac:dyDescent="0.25">
      <c r="I117"/>
    </row>
    <row r="118" spans="9:9" x14ac:dyDescent="0.25">
      <c r="I118"/>
    </row>
    <row r="119" spans="9:9" x14ac:dyDescent="0.25">
      <c r="I119"/>
    </row>
    <row r="120" spans="9:9" x14ac:dyDescent="0.25">
      <c r="I120"/>
    </row>
    <row r="121" spans="9:9" x14ac:dyDescent="0.25">
      <c r="I121"/>
    </row>
    <row r="122" spans="9:9" x14ac:dyDescent="0.25">
      <c r="I122"/>
    </row>
    <row r="123" spans="9:9" x14ac:dyDescent="0.25">
      <c r="I123"/>
    </row>
    <row r="124" spans="9:9" x14ac:dyDescent="0.25">
      <c r="I124"/>
    </row>
    <row r="125" spans="9:9" x14ac:dyDescent="0.25">
      <c r="I125"/>
    </row>
    <row r="126" spans="9:9" x14ac:dyDescent="0.25">
      <c r="I126"/>
    </row>
    <row r="127" spans="9:9" x14ac:dyDescent="0.25">
      <c r="I127"/>
    </row>
    <row r="128" spans="9:9" x14ac:dyDescent="0.25">
      <c r="I128"/>
    </row>
    <row r="129" spans="9:9" x14ac:dyDescent="0.25">
      <c r="I129"/>
    </row>
    <row r="130" spans="9:9" x14ac:dyDescent="0.25">
      <c r="I130"/>
    </row>
    <row r="131" spans="9:9" x14ac:dyDescent="0.25">
      <c r="I131"/>
    </row>
    <row r="132" spans="9:9" x14ac:dyDescent="0.25">
      <c r="I132"/>
    </row>
    <row r="133" spans="9:9" x14ac:dyDescent="0.25">
      <c r="I133"/>
    </row>
    <row r="134" spans="9:9" x14ac:dyDescent="0.25">
      <c r="I134"/>
    </row>
    <row r="135" spans="9:9" x14ac:dyDescent="0.25">
      <c r="I135"/>
    </row>
    <row r="136" spans="9:9" x14ac:dyDescent="0.25">
      <c r="I136"/>
    </row>
    <row r="137" spans="9:9" x14ac:dyDescent="0.25">
      <c r="I137"/>
    </row>
    <row r="138" spans="9:9" x14ac:dyDescent="0.25">
      <c r="I138"/>
    </row>
    <row r="139" spans="9:9" x14ac:dyDescent="0.25">
      <c r="I139"/>
    </row>
    <row r="140" spans="9:9" x14ac:dyDescent="0.25">
      <c r="I140"/>
    </row>
    <row r="141" spans="9:9" x14ac:dyDescent="0.25">
      <c r="I141"/>
    </row>
    <row r="142" spans="9:9" x14ac:dyDescent="0.25">
      <c r="I142"/>
    </row>
    <row r="143" spans="9:9" x14ac:dyDescent="0.25">
      <c r="I143"/>
    </row>
    <row r="144" spans="9:9" x14ac:dyDescent="0.25">
      <c r="I144"/>
    </row>
    <row r="145" spans="9:9" x14ac:dyDescent="0.25">
      <c r="I145"/>
    </row>
    <row r="146" spans="9:9" x14ac:dyDescent="0.25">
      <c r="I146"/>
    </row>
    <row r="147" spans="9:9" x14ac:dyDescent="0.25">
      <c r="I147"/>
    </row>
    <row r="148" spans="9:9" x14ac:dyDescent="0.25">
      <c r="I148"/>
    </row>
    <row r="149" spans="9:9" x14ac:dyDescent="0.25">
      <c r="I149"/>
    </row>
    <row r="150" spans="9:9" x14ac:dyDescent="0.25">
      <c r="I150"/>
    </row>
    <row r="151" spans="9:9" x14ac:dyDescent="0.25">
      <c r="I151"/>
    </row>
    <row r="152" spans="9:9" x14ac:dyDescent="0.25">
      <c r="I152"/>
    </row>
    <row r="153" spans="9:9" x14ac:dyDescent="0.25">
      <c r="I153"/>
    </row>
    <row r="154" spans="9:9" x14ac:dyDescent="0.25">
      <c r="I154"/>
    </row>
    <row r="155" spans="9:9" x14ac:dyDescent="0.25">
      <c r="I155"/>
    </row>
    <row r="156" spans="9:9" x14ac:dyDescent="0.25">
      <c r="I156"/>
    </row>
    <row r="157" spans="9:9" x14ac:dyDescent="0.25">
      <c r="I157"/>
    </row>
    <row r="158" spans="9:9" x14ac:dyDescent="0.25">
      <c r="I158"/>
    </row>
    <row r="159" spans="9:9" x14ac:dyDescent="0.25">
      <c r="I159"/>
    </row>
    <row r="160" spans="9:9" x14ac:dyDescent="0.25">
      <c r="I160"/>
    </row>
    <row r="161" spans="9:9" x14ac:dyDescent="0.25">
      <c r="I161"/>
    </row>
    <row r="162" spans="9:9" x14ac:dyDescent="0.25">
      <c r="I162"/>
    </row>
    <row r="163" spans="9:9" x14ac:dyDescent="0.25">
      <c r="I163"/>
    </row>
    <row r="164" spans="9:9" x14ac:dyDescent="0.25">
      <c r="I164"/>
    </row>
    <row r="165" spans="9:9" x14ac:dyDescent="0.25">
      <c r="I165"/>
    </row>
    <row r="166" spans="9:9" x14ac:dyDescent="0.25">
      <c r="I166"/>
    </row>
    <row r="167" spans="9:9" x14ac:dyDescent="0.25">
      <c r="I167"/>
    </row>
    <row r="168" spans="9:9" x14ac:dyDescent="0.25">
      <c r="I168"/>
    </row>
    <row r="169" spans="9:9" x14ac:dyDescent="0.25">
      <c r="I169"/>
    </row>
    <row r="170" spans="9:9" x14ac:dyDescent="0.25">
      <c r="I170"/>
    </row>
    <row r="171" spans="9:9" x14ac:dyDescent="0.25">
      <c r="I171"/>
    </row>
    <row r="172" spans="9:9" x14ac:dyDescent="0.25">
      <c r="I172"/>
    </row>
    <row r="173" spans="9:9" x14ac:dyDescent="0.25">
      <c r="I173"/>
    </row>
    <row r="174" spans="9:9" x14ac:dyDescent="0.25">
      <c r="I174"/>
    </row>
    <row r="175" spans="9:9" x14ac:dyDescent="0.25">
      <c r="I175"/>
    </row>
    <row r="176" spans="9:9" x14ac:dyDescent="0.25">
      <c r="I176"/>
    </row>
    <row r="177" spans="9:9" x14ac:dyDescent="0.25">
      <c r="I177"/>
    </row>
    <row r="178" spans="9:9" x14ac:dyDescent="0.25">
      <c r="I178"/>
    </row>
    <row r="179" spans="9:9" x14ac:dyDescent="0.25">
      <c r="I179"/>
    </row>
    <row r="180" spans="9:9" x14ac:dyDescent="0.25">
      <c r="I180"/>
    </row>
    <row r="181" spans="9:9" x14ac:dyDescent="0.25">
      <c r="I181"/>
    </row>
    <row r="182" spans="9:9" x14ac:dyDescent="0.25">
      <c r="I182"/>
    </row>
    <row r="183" spans="9:9" x14ac:dyDescent="0.25">
      <c r="I183"/>
    </row>
    <row r="184" spans="9:9" x14ac:dyDescent="0.25">
      <c r="I184"/>
    </row>
    <row r="185" spans="9:9" x14ac:dyDescent="0.25">
      <c r="I185"/>
    </row>
    <row r="186" spans="9:9" x14ac:dyDescent="0.25">
      <c r="I186"/>
    </row>
    <row r="187" spans="9:9" x14ac:dyDescent="0.25">
      <c r="I187"/>
    </row>
    <row r="188" spans="9:9" x14ac:dyDescent="0.25">
      <c r="I188"/>
    </row>
    <row r="189" spans="9:9" x14ac:dyDescent="0.25">
      <c r="I189"/>
    </row>
    <row r="190" spans="9:9" x14ac:dyDescent="0.25">
      <c r="I190"/>
    </row>
    <row r="191" spans="9:9" x14ac:dyDescent="0.25">
      <c r="I191"/>
    </row>
    <row r="192" spans="9:9" x14ac:dyDescent="0.25">
      <c r="I192"/>
    </row>
    <row r="193" spans="9:9" x14ac:dyDescent="0.25">
      <c r="I193"/>
    </row>
    <row r="194" spans="9:9" x14ac:dyDescent="0.25">
      <c r="I194"/>
    </row>
    <row r="195" spans="9:9" x14ac:dyDescent="0.25">
      <c r="I195"/>
    </row>
    <row r="196" spans="9:9" x14ac:dyDescent="0.25">
      <c r="I196"/>
    </row>
    <row r="197" spans="9:9" x14ac:dyDescent="0.25">
      <c r="I197"/>
    </row>
    <row r="198" spans="9:9" x14ac:dyDescent="0.25">
      <c r="I198"/>
    </row>
    <row r="199" spans="9:9" x14ac:dyDescent="0.25">
      <c r="I199"/>
    </row>
    <row r="200" spans="9:9" x14ac:dyDescent="0.25">
      <c r="I200"/>
    </row>
    <row r="201" spans="9:9" x14ac:dyDescent="0.25">
      <c r="I201"/>
    </row>
    <row r="202" spans="9:9" x14ac:dyDescent="0.25">
      <c r="I202"/>
    </row>
    <row r="203" spans="9:9" x14ac:dyDescent="0.25">
      <c r="I203"/>
    </row>
    <row r="204" spans="9:9" x14ac:dyDescent="0.25">
      <c r="I204"/>
    </row>
    <row r="205" spans="9:9" x14ac:dyDescent="0.25">
      <c r="I205"/>
    </row>
    <row r="206" spans="9:9" x14ac:dyDescent="0.25">
      <c r="I206"/>
    </row>
    <row r="207" spans="9:9" x14ac:dyDescent="0.25">
      <c r="I207"/>
    </row>
    <row r="208" spans="9:9" x14ac:dyDescent="0.25">
      <c r="I208"/>
    </row>
    <row r="209" spans="9:9" x14ac:dyDescent="0.25">
      <c r="I209"/>
    </row>
    <row r="210" spans="9:9" x14ac:dyDescent="0.25">
      <c r="I210"/>
    </row>
    <row r="211" spans="9:9" x14ac:dyDescent="0.25">
      <c r="I211"/>
    </row>
    <row r="212" spans="9:9" x14ac:dyDescent="0.25">
      <c r="I212"/>
    </row>
    <row r="213" spans="9:9" x14ac:dyDescent="0.25">
      <c r="I213"/>
    </row>
    <row r="214" spans="9:9" x14ac:dyDescent="0.25">
      <c r="I214"/>
    </row>
    <row r="215" spans="9:9" x14ac:dyDescent="0.25">
      <c r="I215"/>
    </row>
    <row r="216" spans="9:9" x14ac:dyDescent="0.25">
      <c r="I216"/>
    </row>
    <row r="217" spans="9:9" x14ac:dyDescent="0.25">
      <c r="I217"/>
    </row>
    <row r="218" spans="9:9" x14ac:dyDescent="0.25">
      <c r="I218"/>
    </row>
    <row r="219" spans="9:9" x14ac:dyDescent="0.25">
      <c r="I219"/>
    </row>
    <row r="220" spans="9:9" x14ac:dyDescent="0.25">
      <c r="I220"/>
    </row>
    <row r="221" spans="9:9" x14ac:dyDescent="0.25">
      <c r="I221"/>
    </row>
    <row r="222" spans="9:9" x14ac:dyDescent="0.25">
      <c r="I222"/>
    </row>
    <row r="223" spans="9:9" x14ac:dyDescent="0.25">
      <c r="I223"/>
    </row>
    <row r="224" spans="9:9" x14ac:dyDescent="0.25">
      <c r="I224"/>
    </row>
    <row r="225" spans="9:9" x14ac:dyDescent="0.25">
      <c r="I225"/>
    </row>
    <row r="226" spans="9:9" x14ac:dyDescent="0.25">
      <c r="I226"/>
    </row>
    <row r="227" spans="9:9" x14ac:dyDescent="0.25">
      <c r="I227"/>
    </row>
    <row r="228" spans="9:9" x14ac:dyDescent="0.25">
      <c r="I228"/>
    </row>
    <row r="229" spans="9:9" x14ac:dyDescent="0.25">
      <c r="I229"/>
    </row>
    <row r="230" spans="9:9" x14ac:dyDescent="0.25">
      <c r="I230"/>
    </row>
    <row r="231" spans="9:9" x14ac:dyDescent="0.25">
      <c r="I231"/>
    </row>
    <row r="232" spans="9:9" x14ac:dyDescent="0.25">
      <c r="I232"/>
    </row>
    <row r="233" spans="9:9" x14ac:dyDescent="0.25">
      <c r="I233"/>
    </row>
    <row r="234" spans="9:9" x14ac:dyDescent="0.25">
      <c r="I234"/>
    </row>
    <row r="235" spans="9:9" x14ac:dyDescent="0.25">
      <c r="I235"/>
    </row>
    <row r="236" spans="9:9" x14ac:dyDescent="0.25">
      <c r="I236"/>
    </row>
    <row r="237" spans="9:9" x14ac:dyDescent="0.25">
      <c r="I237"/>
    </row>
    <row r="238" spans="9:9" x14ac:dyDescent="0.25">
      <c r="I238"/>
    </row>
    <row r="239" spans="9:9" x14ac:dyDescent="0.25">
      <c r="I239"/>
    </row>
    <row r="240" spans="9:9" x14ac:dyDescent="0.25">
      <c r="I240"/>
    </row>
    <row r="241" spans="9:9" x14ac:dyDescent="0.25">
      <c r="I241"/>
    </row>
    <row r="242" spans="9:9" x14ac:dyDescent="0.25">
      <c r="I242"/>
    </row>
    <row r="243" spans="9:9" x14ac:dyDescent="0.25">
      <c r="I243"/>
    </row>
    <row r="244" spans="9:9" x14ac:dyDescent="0.25">
      <c r="I244"/>
    </row>
    <row r="245" spans="9:9" x14ac:dyDescent="0.25">
      <c r="I245"/>
    </row>
    <row r="246" spans="9:9" x14ac:dyDescent="0.25">
      <c r="I246"/>
    </row>
    <row r="247" spans="9:9" x14ac:dyDescent="0.25">
      <c r="I247"/>
    </row>
    <row r="248" spans="9:9" x14ac:dyDescent="0.25">
      <c r="I248"/>
    </row>
    <row r="249" spans="9:9" x14ac:dyDescent="0.25">
      <c r="I249"/>
    </row>
    <row r="250" spans="9:9" x14ac:dyDescent="0.25">
      <c r="I250"/>
    </row>
    <row r="251" spans="9:9" x14ac:dyDescent="0.25">
      <c r="I251"/>
    </row>
    <row r="252" spans="9:9" x14ac:dyDescent="0.25">
      <c r="I252"/>
    </row>
    <row r="253" spans="9:9" x14ac:dyDescent="0.25">
      <c r="I253"/>
    </row>
    <row r="254" spans="9:9" x14ac:dyDescent="0.25">
      <c r="I254"/>
    </row>
    <row r="255" spans="9:9" x14ac:dyDescent="0.25">
      <c r="I255"/>
    </row>
    <row r="256" spans="9:9" x14ac:dyDescent="0.25">
      <c r="I256"/>
    </row>
    <row r="257" spans="9:9" x14ac:dyDescent="0.25">
      <c r="I257"/>
    </row>
    <row r="258" spans="9:9" x14ac:dyDescent="0.25">
      <c r="I258"/>
    </row>
    <row r="259" spans="9:9" x14ac:dyDescent="0.25">
      <c r="I259"/>
    </row>
    <row r="260" spans="9:9" x14ac:dyDescent="0.25">
      <c r="I260"/>
    </row>
    <row r="261" spans="9:9" x14ac:dyDescent="0.25">
      <c r="I261"/>
    </row>
    <row r="262" spans="9:9" x14ac:dyDescent="0.25">
      <c r="I262"/>
    </row>
    <row r="263" spans="9:9" x14ac:dyDescent="0.25">
      <c r="I263"/>
    </row>
    <row r="264" spans="9:9" x14ac:dyDescent="0.25">
      <c r="I264"/>
    </row>
    <row r="265" spans="9:9" x14ac:dyDescent="0.25">
      <c r="I265"/>
    </row>
    <row r="266" spans="9:9" x14ac:dyDescent="0.25">
      <c r="I266"/>
    </row>
    <row r="267" spans="9:9" x14ac:dyDescent="0.25">
      <c r="I267"/>
    </row>
    <row r="268" spans="9:9" x14ac:dyDescent="0.25">
      <c r="I268"/>
    </row>
    <row r="269" spans="9:9" x14ac:dyDescent="0.25">
      <c r="I269"/>
    </row>
    <row r="270" spans="9:9" x14ac:dyDescent="0.25">
      <c r="I270"/>
    </row>
    <row r="271" spans="9:9" x14ac:dyDescent="0.25">
      <c r="I271"/>
    </row>
    <row r="272" spans="9:9" x14ac:dyDescent="0.25">
      <c r="I272"/>
    </row>
    <row r="273" spans="9:9" x14ac:dyDescent="0.25">
      <c r="I273"/>
    </row>
    <row r="274" spans="9:9" x14ac:dyDescent="0.25">
      <c r="I274"/>
    </row>
    <row r="275" spans="9:9" x14ac:dyDescent="0.25">
      <c r="I275"/>
    </row>
    <row r="276" spans="9:9" x14ac:dyDescent="0.25">
      <c r="I276"/>
    </row>
    <row r="277" spans="9:9" x14ac:dyDescent="0.25">
      <c r="I277"/>
    </row>
    <row r="278" spans="9:9" x14ac:dyDescent="0.25">
      <c r="I278"/>
    </row>
    <row r="279" spans="9:9" x14ac:dyDescent="0.25">
      <c r="I279"/>
    </row>
    <row r="280" spans="9:9" x14ac:dyDescent="0.25">
      <c r="I280"/>
    </row>
    <row r="281" spans="9:9" x14ac:dyDescent="0.25">
      <c r="I281"/>
    </row>
    <row r="282" spans="9:9" x14ac:dyDescent="0.25">
      <c r="I282"/>
    </row>
    <row r="283" spans="9:9" x14ac:dyDescent="0.25">
      <c r="I283"/>
    </row>
    <row r="284" spans="9:9" x14ac:dyDescent="0.25">
      <c r="I284"/>
    </row>
    <row r="285" spans="9:9" x14ac:dyDescent="0.25">
      <c r="I285"/>
    </row>
    <row r="286" spans="9:9" x14ac:dyDescent="0.25">
      <c r="I286"/>
    </row>
    <row r="287" spans="9:9" x14ac:dyDescent="0.25">
      <c r="I287"/>
    </row>
    <row r="288" spans="9:9" x14ac:dyDescent="0.25">
      <c r="I288"/>
    </row>
    <row r="289" spans="9:9" x14ac:dyDescent="0.25">
      <c r="I289"/>
    </row>
    <row r="290" spans="9:9" x14ac:dyDescent="0.25">
      <c r="I290"/>
    </row>
    <row r="291" spans="9:9" x14ac:dyDescent="0.25">
      <c r="I291"/>
    </row>
    <row r="292" spans="9:9" x14ac:dyDescent="0.25">
      <c r="I292"/>
    </row>
    <row r="293" spans="9:9" x14ac:dyDescent="0.25">
      <c r="I293"/>
    </row>
    <row r="294" spans="9:9" x14ac:dyDescent="0.25">
      <c r="I294"/>
    </row>
    <row r="295" spans="9:9" x14ac:dyDescent="0.25">
      <c r="I295"/>
    </row>
    <row r="296" spans="9:9" x14ac:dyDescent="0.25">
      <c r="I296"/>
    </row>
    <row r="297" spans="9:9" x14ac:dyDescent="0.25">
      <c r="I297"/>
    </row>
    <row r="298" spans="9:9" x14ac:dyDescent="0.25">
      <c r="I298"/>
    </row>
    <row r="299" spans="9:9" x14ac:dyDescent="0.25">
      <c r="I299"/>
    </row>
    <row r="300" spans="9:9" x14ac:dyDescent="0.25">
      <c r="I300"/>
    </row>
    <row r="301" spans="9:9" x14ac:dyDescent="0.25">
      <c r="I301"/>
    </row>
    <row r="302" spans="9:9" x14ac:dyDescent="0.25">
      <c r="I302"/>
    </row>
    <row r="303" spans="9:9" x14ac:dyDescent="0.25">
      <c r="I303"/>
    </row>
    <row r="304" spans="9:9" x14ac:dyDescent="0.25">
      <c r="I304"/>
    </row>
    <row r="305" spans="9:9" x14ac:dyDescent="0.25">
      <c r="I305"/>
    </row>
    <row r="306" spans="9:9" x14ac:dyDescent="0.25">
      <c r="I306"/>
    </row>
    <row r="307" spans="9:9" x14ac:dyDescent="0.25">
      <c r="I307"/>
    </row>
    <row r="308" spans="9:9" x14ac:dyDescent="0.25">
      <c r="I308"/>
    </row>
    <row r="309" spans="9:9" x14ac:dyDescent="0.25">
      <c r="I309"/>
    </row>
    <row r="310" spans="9:9" x14ac:dyDescent="0.25">
      <c r="I310"/>
    </row>
    <row r="311" spans="9:9" x14ac:dyDescent="0.25">
      <c r="I311"/>
    </row>
    <row r="312" spans="9:9" x14ac:dyDescent="0.25">
      <c r="I312"/>
    </row>
    <row r="313" spans="9:9" x14ac:dyDescent="0.25">
      <c r="I313"/>
    </row>
    <row r="314" spans="9:9" x14ac:dyDescent="0.25">
      <c r="I314"/>
    </row>
    <row r="315" spans="9:9" x14ac:dyDescent="0.25">
      <c r="I315"/>
    </row>
    <row r="316" spans="9:9" x14ac:dyDescent="0.25">
      <c r="I316"/>
    </row>
    <row r="317" spans="9:9" x14ac:dyDescent="0.25">
      <c r="I317"/>
    </row>
    <row r="318" spans="9:9" x14ac:dyDescent="0.25">
      <c r="I318"/>
    </row>
    <row r="319" spans="9:9" x14ac:dyDescent="0.25">
      <c r="I319"/>
    </row>
    <row r="320" spans="9:9" x14ac:dyDescent="0.25">
      <c r="I320"/>
    </row>
    <row r="321" spans="9:9" x14ac:dyDescent="0.25">
      <c r="I321"/>
    </row>
    <row r="322" spans="9:9" x14ac:dyDescent="0.25">
      <c r="I322"/>
    </row>
    <row r="323" spans="9:9" x14ac:dyDescent="0.25">
      <c r="I323"/>
    </row>
    <row r="324" spans="9:9" x14ac:dyDescent="0.25">
      <c r="I324"/>
    </row>
    <row r="325" spans="9:9" x14ac:dyDescent="0.25">
      <c r="I325"/>
    </row>
    <row r="326" spans="9:9" x14ac:dyDescent="0.25">
      <c r="I326"/>
    </row>
    <row r="327" spans="9:9" x14ac:dyDescent="0.25">
      <c r="I327"/>
    </row>
    <row r="328" spans="9:9" x14ac:dyDescent="0.25">
      <c r="I328"/>
    </row>
    <row r="329" spans="9:9" x14ac:dyDescent="0.25">
      <c r="I329"/>
    </row>
    <row r="330" spans="9:9" x14ac:dyDescent="0.25">
      <c r="I330"/>
    </row>
    <row r="331" spans="9:9" x14ac:dyDescent="0.25">
      <c r="I331"/>
    </row>
    <row r="332" spans="9:9" x14ac:dyDescent="0.25">
      <c r="I332"/>
    </row>
    <row r="333" spans="9:9" x14ac:dyDescent="0.25">
      <c r="I333"/>
    </row>
    <row r="334" spans="9:9" x14ac:dyDescent="0.25">
      <c r="I334"/>
    </row>
    <row r="335" spans="9:9" x14ac:dyDescent="0.25">
      <c r="I335"/>
    </row>
    <row r="336" spans="9:9" x14ac:dyDescent="0.25">
      <c r="I336"/>
    </row>
    <row r="337" spans="9:9" x14ac:dyDescent="0.25">
      <c r="I337"/>
    </row>
    <row r="338" spans="9:9" x14ac:dyDescent="0.25">
      <c r="I338"/>
    </row>
    <row r="339" spans="9:9" x14ac:dyDescent="0.25">
      <c r="I339"/>
    </row>
    <row r="340" spans="9:9" x14ac:dyDescent="0.25">
      <c r="I340"/>
    </row>
    <row r="341" spans="9:9" x14ac:dyDescent="0.25">
      <c r="I341"/>
    </row>
    <row r="342" spans="9:9" x14ac:dyDescent="0.25">
      <c r="I342"/>
    </row>
    <row r="343" spans="9:9" x14ac:dyDescent="0.25">
      <c r="I343"/>
    </row>
    <row r="344" spans="9:9" x14ac:dyDescent="0.25">
      <c r="I344"/>
    </row>
    <row r="345" spans="9:9" x14ac:dyDescent="0.25">
      <c r="I345"/>
    </row>
    <row r="346" spans="9:9" x14ac:dyDescent="0.25">
      <c r="I346"/>
    </row>
    <row r="347" spans="9:9" x14ac:dyDescent="0.25">
      <c r="I347"/>
    </row>
    <row r="348" spans="9:9" x14ac:dyDescent="0.25">
      <c r="I348"/>
    </row>
    <row r="349" spans="9:9" x14ac:dyDescent="0.25">
      <c r="I349"/>
    </row>
    <row r="350" spans="9:9" x14ac:dyDescent="0.25">
      <c r="I350"/>
    </row>
    <row r="351" spans="9:9" x14ac:dyDescent="0.25">
      <c r="I351"/>
    </row>
    <row r="352" spans="9:9" x14ac:dyDescent="0.25">
      <c r="I352"/>
    </row>
    <row r="353" spans="9:9" x14ac:dyDescent="0.25">
      <c r="I353"/>
    </row>
    <row r="354" spans="9:9" x14ac:dyDescent="0.25">
      <c r="I354"/>
    </row>
    <row r="355" spans="9:9" x14ac:dyDescent="0.25">
      <c r="I355"/>
    </row>
    <row r="356" spans="9:9" x14ac:dyDescent="0.25">
      <c r="I356"/>
    </row>
    <row r="357" spans="9:9" x14ac:dyDescent="0.25">
      <c r="I357"/>
    </row>
    <row r="358" spans="9:9" x14ac:dyDescent="0.25">
      <c r="I358"/>
    </row>
    <row r="359" spans="9:9" x14ac:dyDescent="0.25">
      <c r="I359"/>
    </row>
    <row r="360" spans="9:9" x14ac:dyDescent="0.25">
      <c r="I360"/>
    </row>
    <row r="361" spans="9:9" x14ac:dyDescent="0.25">
      <c r="I361"/>
    </row>
    <row r="362" spans="9:9" x14ac:dyDescent="0.25">
      <c r="I362"/>
    </row>
    <row r="363" spans="9:9" x14ac:dyDescent="0.25">
      <c r="I363"/>
    </row>
    <row r="364" spans="9:9" x14ac:dyDescent="0.25">
      <c r="I364"/>
    </row>
    <row r="365" spans="9:9" x14ac:dyDescent="0.25">
      <c r="I365"/>
    </row>
    <row r="366" spans="9:9" x14ac:dyDescent="0.25">
      <c r="I366"/>
    </row>
    <row r="367" spans="9:9" x14ac:dyDescent="0.25">
      <c r="I367"/>
    </row>
    <row r="368" spans="9:9" x14ac:dyDescent="0.25">
      <c r="I368"/>
    </row>
    <row r="369" spans="9:9" x14ac:dyDescent="0.25">
      <c r="I369"/>
    </row>
    <row r="370" spans="9:9" x14ac:dyDescent="0.25">
      <c r="I370"/>
    </row>
    <row r="371" spans="9:9" x14ac:dyDescent="0.25">
      <c r="I371"/>
    </row>
    <row r="372" spans="9:9" x14ac:dyDescent="0.25">
      <c r="I372"/>
    </row>
    <row r="373" spans="9:9" x14ac:dyDescent="0.25">
      <c r="I373"/>
    </row>
    <row r="374" spans="9:9" x14ac:dyDescent="0.25">
      <c r="I374"/>
    </row>
    <row r="375" spans="9:9" x14ac:dyDescent="0.25">
      <c r="I375"/>
    </row>
    <row r="376" spans="9:9" x14ac:dyDescent="0.25">
      <c r="I376"/>
    </row>
    <row r="377" spans="9:9" x14ac:dyDescent="0.25">
      <c r="I377"/>
    </row>
    <row r="378" spans="9:9" x14ac:dyDescent="0.25">
      <c r="I378"/>
    </row>
    <row r="379" spans="9:9" x14ac:dyDescent="0.25">
      <c r="I379"/>
    </row>
    <row r="380" spans="9:9" x14ac:dyDescent="0.25">
      <c r="I380"/>
    </row>
    <row r="381" spans="9:9" x14ac:dyDescent="0.25">
      <c r="I381"/>
    </row>
    <row r="382" spans="9:9" x14ac:dyDescent="0.25">
      <c r="I382"/>
    </row>
    <row r="383" spans="9:9" x14ac:dyDescent="0.25">
      <c r="I383"/>
    </row>
    <row r="384" spans="9:9" x14ac:dyDescent="0.25">
      <c r="I384"/>
    </row>
    <row r="385" spans="9:9" x14ac:dyDescent="0.25">
      <c r="I385"/>
    </row>
    <row r="386" spans="9:9" x14ac:dyDescent="0.25">
      <c r="I386"/>
    </row>
    <row r="387" spans="9:9" x14ac:dyDescent="0.25">
      <c r="I387"/>
    </row>
    <row r="388" spans="9:9" x14ac:dyDescent="0.25">
      <c r="I388"/>
    </row>
    <row r="389" spans="9:9" x14ac:dyDescent="0.25">
      <c r="I389"/>
    </row>
    <row r="390" spans="9:9" x14ac:dyDescent="0.25">
      <c r="I390"/>
    </row>
    <row r="391" spans="9:9" x14ac:dyDescent="0.25">
      <c r="I391"/>
    </row>
    <row r="392" spans="9:9" x14ac:dyDescent="0.25">
      <c r="I392"/>
    </row>
    <row r="393" spans="9:9" x14ac:dyDescent="0.25">
      <c r="I393"/>
    </row>
    <row r="394" spans="9:9" x14ac:dyDescent="0.25">
      <c r="I394"/>
    </row>
    <row r="395" spans="9:9" x14ac:dyDescent="0.25">
      <c r="I395"/>
    </row>
    <row r="396" spans="9:9" x14ac:dyDescent="0.25">
      <c r="I396"/>
    </row>
    <row r="397" spans="9:9" x14ac:dyDescent="0.25">
      <c r="I397"/>
    </row>
    <row r="398" spans="9:9" x14ac:dyDescent="0.25">
      <c r="I398"/>
    </row>
    <row r="399" spans="9:9" x14ac:dyDescent="0.25">
      <c r="I399"/>
    </row>
    <row r="400" spans="9:9" x14ac:dyDescent="0.25">
      <c r="I400"/>
    </row>
    <row r="401" spans="9:9" x14ac:dyDescent="0.25">
      <c r="I401"/>
    </row>
    <row r="402" spans="9:9" x14ac:dyDescent="0.25">
      <c r="I402"/>
    </row>
    <row r="403" spans="9:9" x14ac:dyDescent="0.25">
      <c r="I403"/>
    </row>
    <row r="404" spans="9:9" x14ac:dyDescent="0.25">
      <c r="I404"/>
    </row>
    <row r="405" spans="9:9" x14ac:dyDescent="0.25">
      <c r="I405"/>
    </row>
    <row r="406" spans="9:9" x14ac:dyDescent="0.25">
      <c r="I406"/>
    </row>
    <row r="407" spans="9:9" x14ac:dyDescent="0.25">
      <c r="I407"/>
    </row>
    <row r="408" spans="9:9" x14ac:dyDescent="0.25">
      <c r="I408"/>
    </row>
    <row r="409" spans="9:9" x14ac:dyDescent="0.25">
      <c r="I409"/>
    </row>
    <row r="410" spans="9:9" x14ac:dyDescent="0.25">
      <c r="I410"/>
    </row>
    <row r="411" spans="9:9" x14ac:dyDescent="0.25">
      <c r="I411"/>
    </row>
    <row r="412" spans="9:9" x14ac:dyDescent="0.25">
      <c r="I412"/>
    </row>
    <row r="413" spans="9:9" x14ac:dyDescent="0.25">
      <c r="I413"/>
    </row>
    <row r="414" spans="9:9" x14ac:dyDescent="0.25">
      <c r="I414"/>
    </row>
    <row r="415" spans="9:9" x14ac:dyDescent="0.25">
      <c r="I415"/>
    </row>
    <row r="416" spans="9:9" x14ac:dyDescent="0.25">
      <c r="I416"/>
    </row>
    <row r="417" spans="9:9" x14ac:dyDescent="0.25">
      <c r="I417"/>
    </row>
    <row r="418" spans="9:9" x14ac:dyDescent="0.25">
      <c r="I418"/>
    </row>
    <row r="419" spans="9:9" x14ac:dyDescent="0.25">
      <c r="I419"/>
    </row>
    <row r="420" spans="9:9" x14ac:dyDescent="0.25">
      <c r="I420"/>
    </row>
    <row r="421" spans="9:9" x14ac:dyDescent="0.25">
      <c r="I421"/>
    </row>
    <row r="422" spans="9:9" x14ac:dyDescent="0.25">
      <c r="I422"/>
    </row>
    <row r="423" spans="9:9" x14ac:dyDescent="0.25">
      <c r="I423"/>
    </row>
    <row r="424" spans="9:9" x14ac:dyDescent="0.25">
      <c r="I424"/>
    </row>
    <row r="425" spans="9:9" x14ac:dyDescent="0.25">
      <c r="I425"/>
    </row>
    <row r="426" spans="9:9" x14ac:dyDescent="0.25">
      <c r="I426"/>
    </row>
    <row r="427" spans="9:9" x14ac:dyDescent="0.25">
      <c r="I427"/>
    </row>
    <row r="428" spans="9:9" x14ac:dyDescent="0.25">
      <c r="I428"/>
    </row>
    <row r="429" spans="9:9" x14ac:dyDescent="0.25">
      <c r="I429"/>
    </row>
    <row r="430" spans="9:9" x14ac:dyDescent="0.25">
      <c r="I430"/>
    </row>
    <row r="431" spans="9:9" x14ac:dyDescent="0.25">
      <c r="I431"/>
    </row>
    <row r="432" spans="9:9" x14ac:dyDescent="0.25">
      <c r="I432"/>
    </row>
    <row r="433" spans="9:9" x14ac:dyDescent="0.25">
      <c r="I433"/>
    </row>
    <row r="434" spans="9:9" x14ac:dyDescent="0.25">
      <c r="I434"/>
    </row>
    <row r="435" spans="9:9" x14ac:dyDescent="0.25">
      <c r="I435"/>
    </row>
    <row r="436" spans="9:9" x14ac:dyDescent="0.25">
      <c r="I436"/>
    </row>
    <row r="437" spans="9:9" x14ac:dyDescent="0.25">
      <c r="I437"/>
    </row>
    <row r="438" spans="9:9" x14ac:dyDescent="0.25">
      <c r="I438"/>
    </row>
    <row r="439" spans="9:9" x14ac:dyDescent="0.25">
      <c r="I439"/>
    </row>
    <row r="440" spans="9:9" x14ac:dyDescent="0.25">
      <c r="I440"/>
    </row>
    <row r="441" spans="9:9" x14ac:dyDescent="0.25">
      <c r="I441"/>
    </row>
    <row r="442" spans="9:9" x14ac:dyDescent="0.25">
      <c r="I442"/>
    </row>
    <row r="443" spans="9:9" x14ac:dyDescent="0.25">
      <c r="I443"/>
    </row>
    <row r="444" spans="9:9" x14ac:dyDescent="0.25">
      <c r="I444"/>
    </row>
    <row r="445" spans="9:9" x14ac:dyDescent="0.25">
      <c r="I445"/>
    </row>
    <row r="446" spans="9:9" x14ac:dyDescent="0.25">
      <c r="I446"/>
    </row>
    <row r="447" spans="9:9" x14ac:dyDescent="0.25">
      <c r="I447"/>
    </row>
    <row r="448" spans="9:9" x14ac:dyDescent="0.25">
      <c r="I448"/>
    </row>
    <row r="449" spans="9:9" x14ac:dyDescent="0.25">
      <c r="I449"/>
    </row>
    <row r="450" spans="9:9" x14ac:dyDescent="0.25">
      <c r="I450"/>
    </row>
    <row r="451" spans="9:9" x14ac:dyDescent="0.25">
      <c r="I451"/>
    </row>
    <row r="452" spans="9:9" x14ac:dyDescent="0.25">
      <c r="I452"/>
    </row>
    <row r="453" spans="9:9" x14ac:dyDescent="0.25">
      <c r="I453"/>
    </row>
    <row r="454" spans="9:9" x14ac:dyDescent="0.25">
      <c r="I454"/>
    </row>
    <row r="455" spans="9:9" x14ac:dyDescent="0.25">
      <c r="I455"/>
    </row>
    <row r="456" spans="9:9" x14ac:dyDescent="0.25">
      <c r="I456"/>
    </row>
    <row r="457" spans="9:9" x14ac:dyDescent="0.25">
      <c r="I457"/>
    </row>
    <row r="458" spans="9:9" x14ac:dyDescent="0.25">
      <c r="I458"/>
    </row>
    <row r="459" spans="9:9" x14ac:dyDescent="0.25">
      <c r="I459"/>
    </row>
    <row r="460" spans="9:9" x14ac:dyDescent="0.25">
      <c r="I460"/>
    </row>
    <row r="461" spans="9:9" x14ac:dyDescent="0.25">
      <c r="I461"/>
    </row>
    <row r="462" spans="9:9" x14ac:dyDescent="0.25">
      <c r="I462"/>
    </row>
    <row r="463" spans="9:9" x14ac:dyDescent="0.25">
      <c r="I463"/>
    </row>
    <row r="464" spans="9:9" x14ac:dyDescent="0.25">
      <c r="I464"/>
    </row>
    <row r="465" spans="9:9" x14ac:dyDescent="0.25">
      <c r="I465"/>
    </row>
    <row r="466" spans="9:9" x14ac:dyDescent="0.25">
      <c r="I466"/>
    </row>
    <row r="467" spans="9:9" x14ac:dyDescent="0.25">
      <c r="I467"/>
    </row>
    <row r="468" spans="9:9" x14ac:dyDescent="0.25">
      <c r="I468"/>
    </row>
    <row r="469" spans="9:9" x14ac:dyDescent="0.25">
      <c r="I469"/>
    </row>
    <row r="470" spans="9:9" x14ac:dyDescent="0.25">
      <c r="I470"/>
    </row>
    <row r="471" spans="9:9" x14ac:dyDescent="0.25">
      <c r="I471"/>
    </row>
    <row r="472" spans="9:9" x14ac:dyDescent="0.25">
      <c r="I472"/>
    </row>
    <row r="473" spans="9:9" x14ac:dyDescent="0.25">
      <c r="I473"/>
    </row>
    <row r="474" spans="9:9" x14ac:dyDescent="0.25">
      <c r="I474"/>
    </row>
    <row r="475" spans="9:9" x14ac:dyDescent="0.25">
      <c r="I475"/>
    </row>
    <row r="476" spans="9:9" x14ac:dyDescent="0.25">
      <c r="I476"/>
    </row>
    <row r="477" spans="9:9" x14ac:dyDescent="0.25">
      <c r="I477"/>
    </row>
    <row r="478" spans="9:9" x14ac:dyDescent="0.25">
      <c r="I478"/>
    </row>
    <row r="479" spans="9:9" x14ac:dyDescent="0.25">
      <c r="I479"/>
    </row>
    <row r="480" spans="9:9" x14ac:dyDescent="0.25">
      <c r="I480"/>
    </row>
    <row r="481" spans="9:9" x14ac:dyDescent="0.25">
      <c r="I481"/>
    </row>
    <row r="482" spans="9:9" x14ac:dyDescent="0.25">
      <c r="I482"/>
    </row>
    <row r="483" spans="9:9" x14ac:dyDescent="0.25">
      <c r="I483"/>
    </row>
    <row r="484" spans="9:9" x14ac:dyDescent="0.25">
      <c r="I484"/>
    </row>
    <row r="485" spans="9:9" x14ac:dyDescent="0.25">
      <c r="I485"/>
    </row>
    <row r="486" spans="9:9" x14ac:dyDescent="0.25">
      <c r="I486"/>
    </row>
    <row r="487" spans="9:9" x14ac:dyDescent="0.25">
      <c r="I487"/>
    </row>
    <row r="488" spans="9:9" x14ac:dyDescent="0.25">
      <c r="I488"/>
    </row>
    <row r="489" spans="9:9" x14ac:dyDescent="0.25">
      <c r="I489"/>
    </row>
    <row r="490" spans="9:9" x14ac:dyDescent="0.25">
      <c r="I490"/>
    </row>
    <row r="491" spans="9:9" x14ac:dyDescent="0.25">
      <c r="I491"/>
    </row>
    <row r="492" spans="9:9" x14ac:dyDescent="0.25">
      <c r="I492"/>
    </row>
    <row r="493" spans="9:9" x14ac:dyDescent="0.25">
      <c r="I493"/>
    </row>
    <row r="494" spans="9:9" x14ac:dyDescent="0.25">
      <c r="I494"/>
    </row>
    <row r="495" spans="9:9" x14ac:dyDescent="0.25">
      <c r="I495"/>
    </row>
    <row r="496" spans="9:9" x14ac:dyDescent="0.25">
      <c r="I496"/>
    </row>
    <row r="497" spans="9:9" x14ac:dyDescent="0.25">
      <c r="I497"/>
    </row>
    <row r="498" spans="9:9" x14ac:dyDescent="0.25">
      <c r="I498"/>
    </row>
    <row r="499" spans="9:9" x14ac:dyDescent="0.25">
      <c r="I499"/>
    </row>
    <row r="500" spans="9:9" x14ac:dyDescent="0.25">
      <c r="I500"/>
    </row>
    <row r="501" spans="9:9" x14ac:dyDescent="0.25">
      <c r="I501"/>
    </row>
    <row r="502" spans="9:9" x14ac:dyDescent="0.25">
      <c r="I502"/>
    </row>
    <row r="503" spans="9:9" x14ac:dyDescent="0.25">
      <c r="I503"/>
    </row>
    <row r="504" spans="9:9" x14ac:dyDescent="0.25">
      <c r="I504"/>
    </row>
    <row r="505" spans="9:9" x14ac:dyDescent="0.25">
      <c r="I505"/>
    </row>
    <row r="506" spans="9:9" x14ac:dyDescent="0.25">
      <c r="I506"/>
    </row>
    <row r="507" spans="9:9" x14ac:dyDescent="0.25">
      <c r="I507"/>
    </row>
    <row r="508" spans="9:9" x14ac:dyDescent="0.25">
      <c r="I508"/>
    </row>
    <row r="509" spans="9:9" x14ac:dyDescent="0.25">
      <c r="I509"/>
    </row>
    <row r="510" spans="9:9" x14ac:dyDescent="0.25">
      <c r="I510"/>
    </row>
    <row r="511" spans="9:9" x14ac:dyDescent="0.25">
      <c r="I511"/>
    </row>
    <row r="512" spans="9:9" x14ac:dyDescent="0.25">
      <c r="I512"/>
    </row>
    <row r="513" spans="9:9" x14ac:dyDescent="0.25">
      <c r="I513"/>
    </row>
    <row r="514" spans="9:9" x14ac:dyDescent="0.25">
      <c r="I514"/>
    </row>
    <row r="515" spans="9:9" x14ac:dyDescent="0.25">
      <c r="I515"/>
    </row>
    <row r="516" spans="9:9" x14ac:dyDescent="0.25">
      <c r="I516"/>
    </row>
    <row r="517" spans="9:9" x14ac:dyDescent="0.25">
      <c r="I517"/>
    </row>
    <row r="518" spans="9:9" x14ac:dyDescent="0.25">
      <c r="I518"/>
    </row>
    <row r="519" spans="9:9" x14ac:dyDescent="0.25">
      <c r="I519"/>
    </row>
    <row r="520" spans="9:9" x14ac:dyDescent="0.25">
      <c r="I520"/>
    </row>
    <row r="521" spans="9:9" x14ac:dyDescent="0.25">
      <c r="I521"/>
    </row>
    <row r="522" spans="9:9" x14ac:dyDescent="0.25">
      <c r="I522"/>
    </row>
    <row r="523" spans="9:9" x14ac:dyDescent="0.25">
      <c r="I523"/>
    </row>
    <row r="524" spans="9:9" x14ac:dyDescent="0.25">
      <c r="I524"/>
    </row>
    <row r="525" spans="9:9" x14ac:dyDescent="0.25">
      <c r="I525"/>
    </row>
    <row r="526" spans="9:9" x14ac:dyDescent="0.25">
      <c r="I526"/>
    </row>
    <row r="527" spans="9:9" x14ac:dyDescent="0.25">
      <c r="I527"/>
    </row>
    <row r="528" spans="9:9" x14ac:dyDescent="0.25">
      <c r="I528"/>
    </row>
    <row r="529" spans="9:9" x14ac:dyDescent="0.25">
      <c r="I529"/>
    </row>
    <row r="530" spans="9:9" x14ac:dyDescent="0.25">
      <c r="I530"/>
    </row>
    <row r="531" spans="9:9" x14ac:dyDescent="0.25">
      <c r="I531"/>
    </row>
    <row r="532" spans="9:9" x14ac:dyDescent="0.25">
      <c r="I532"/>
    </row>
    <row r="533" spans="9:9" x14ac:dyDescent="0.25">
      <c r="I533"/>
    </row>
    <row r="534" spans="9:9" x14ac:dyDescent="0.25">
      <c r="I534"/>
    </row>
    <row r="535" spans="9:9" x14ac:dyDescent="0.25">
      <c r="I535"/>
    </row>
    <row r="536" spans="9:9" x14ac:dyDescent="0.25">
      <c r="I536"/>
    </row>
    <row r="537" spans="9:9" x14ac:dyDescent="0.25">
      <c r="I537"/>
    </row>
    <row r="538" spans="9:9" x14ac:dyDescent="0.25">
      <c r="I538"/>
    </row>
    <row r="539" spans="9:9" x14ac:dyDescent="0.25">
      <c r="I539"/>
    </row>
    <row r="540" spans="9:9" x14ac:dyDescent="0.25">
      <c r="I540"/>
    </row>
    <row r="541" spans="9:9" x14ac:dyDescent="0.25">
      <c r="I541"/>
    </row>
    <row r="542" spans="9:9" x14ac:dyDescent="0.25">
      <c r="I542"/>
    </row>
    <row r="543" spans="9:9" x14ac:dyDescent="0.25">
      <c r="I543"/>
    </row>
    <row r="544" spans="9:9" x14ac:dyDescent="0.25">
      <c r="I544"/>
    </row>
    <row r="545" spans="9:9" x14ac:dyDescent="0.25">
      <c r="I545"/>
    </row>
    <row r="546" spans="9:9" x14ac:dyDescent="0.25">
      <c r="I546"/>
    </row>
    <row r="547" spans="9:9" x14ac:dyDescent="0.25">
      <c r="I547"/>
    </row>
    <row r="548" spans="9:9" x14ac:dyDescent="0.25">
      <c r="I548"/>
    </row>
    <row r="549" spans="9:9" x14ac:dyDescent="0.25">
      <c r="I549"/>
    </row>
    <row r="550" spans="9:9" x14ac:dyDescent="0.25">
      <c r="I550"/>
    </row>
    <row r="551" spans="9:9" x14ac:dyDescent="0.25">
      <c r="I551"/>
    </row>
    <row r="552" spans="9:9" x14ac:dyDescent="0.25">
      <c r="I552"/>
    </row>
    <row r="553" spans="9:9" x14ac:dyDescent="0.25">
      <c r="I553"/>
    </row>
    <row r="554" spans="9:9" x14ac:dyDescent="0.25">
      <c r="I554"/>
    </row>
    <row r="555" spans="9:9" x14ac:dyDescent="0.25">
      <c r="I555"/>
    </row>
    <row r="556" spans="9:9" x14ac:dyDescent="0.25">
      <c r="I556"/>
    </row>
    <row r="557" spans="9:9" x14ac:dyDescent="0.25">
      <c r="I557"/>
    </row>
    <row r="558" spans="9:9" x14ac:dyDescent="0.25">
      <c r="I558"/>
    </row>
    <row r="559" spans="9:9" x14ac:dyDescent="0.25">
      <c r="I559"/>
    </row>
    <row r="560" spans="9:9" x14ac:dyDescent="0.25">
      <c r="I560"/>
    </row>
    <row r="561" spans="9:9" x14ac:dyDescent="0.25">
      <c r="I561"/>
    </row>
    <row r="562" spans="9:9" x14ac:dyDescent="0.25">
      <c r="I562"/>
    </row>
    <row r="563" spans="9:9" x14ac:dyDescent="0.25">
      <c r="I563"/>
    </row>
    <row r="564" spans="9:9" x14ac:dyDescent="0.25">
      <c r="I564"/>
    </row>
    <row r="565" spans="9:9" x14ac:dyDescent="0.25">
      <c r="I565"/>
    </row>
    <row r="566" spans="9:9" x14ac:dyDescent="0.25">
      <c r="I566"/>
    </row>
    <row r="567" spans="9:9" x14ac:dyDescent="0.25">
      <c r="I567"/>
    </row>
    <row r="568" spans="9:9" x14ac:dyDescent="0.25">
      <c r="I568"/>
    </row>
    <row r="569" spans="9:9" x14ac:dyDescent="0.25">
      <c r="I569"/>
    </row>
    <row r="570" spans="9:9" x14ac:dyDescent="0.25">
      <c r="I570"/>
    </row>
    <row r="571" spans="9:9" x14ac:dyDescent="0.25">
      <c r="I571"/>
    </row>
    <row r="572" spans="9:9" x14ac:dyDescent="0.25">
      <c r="I572"/>
    </row>
    <row r="573" spans="9:9" x14ac:dyDescent="0.25">
      <c r="I573"/>
    </row>
    <row r="574" spans="9:9" x14ac:dyDescent="0.25">
      <c r="I574"/>
    </row>
    <row r="575" spans="9:9" x14ac:dyDescent="0.25">
      <c r="I575"/>
    </row>
    <row r="576" spans="9:9" x14ac:dyDescent="0.25">
      <c r="I576"/>
    </row>
    <row r="577" spans="9:9" x14ac:dyDescent="0.25">
      <c r="I577"/>
    </row>
    <row r="578" spans="9:9" x14ac:dyDescent="0.25">
      <c r="I578"/>
    </row>
    <row r="579" spans="9:9" x14ac:dyDescent="0.25">
      <c r="I579"/>
    </row>
    <row r="580" spans="9:9" x14ac:dyDescent="0.25">
      <c r="I580"/>
    </row>
    <row r="581" spans="9:9" x14ac:dyDescent="0.25">
      <c r="I581"/>
    </row>
    <row r="582" spans="9:9" x14ac:dyDescent="0.25">
      <c r="I582"/>
    </row>
    <row r="583" spans="9:9" x14ac:dyDescent="0.25">
      <c r="I583"/>
    </row>
    <row r="584" spans="9:9" x14ac:dyDescent="0.25">
      <c r="I584"/>
    </row>
    <row r="585" spans="9:9" x14ac:dyDescent="0.25">
      <c r="I585"/>
    </row>
    <row r="586" spans="9:9" x14ac:dyDescent="0.25">
      <c r="I586"/>
    </row>
    <row r="587" spans="9:9" x14ac:dyDescent="0.25">
      <c r="I587"/>
    </row>
    <row r="588" spans="9:9" x14ac:dyDescent="0.25">
      <c r="I588"/>
    </row>
    <row r="589" spans="9:9" x14ac:dyDescent="0.25">
      <c r="I589"/>
    </row>
    <row r="590" spans="9:9" x14ac:dyDescent="0.25">
      <c r="I590"/>
    </row>
    <row r="591" spans="9:9" x14ac:dyDescent="0.25">
      <c r="I591"/>
    </row>
    <row r="592" spans="9:9" x14ac:dyDescent="0.25">
      <c r="I592"/>
    </row>
    <row r="593" spans="9:9" x14ac:dyDescent="0.25">
      <c r="I593"/>
    </row>
    <row r="594" spans="9:9" x14ac:dyDescent="0.25">
      <c r="I594"/>
    </row>
    <row r="595" spans="9:9" x14ac:dyDescent="0.25">
      <c r="I595"/>
    </row>
    <row r="596" spans="9:9" x14ac:dyDescent="0.25">
      <c r="I596"/>
    </row>
    <row r="597" spans="9:9" x14ac:dyDescent="0.25">
      <c r="I597"/>
    </row>
    <row r="598" spans="9:9" x14ac:dyDescent="0.25">
      <c r="I598"/>
    </row>
    <row r="599" spans="9:9" x14ac:dyDescent="0.25">
      <c r="I599"/>
    </row>
    <row r="600" spans="9:9" x14ac:dyDescent="0.25">
      <c r="I600"/>
    </row>
    <row r="601" spans="9:9" x14ac:dyDescent="0.25">
      <c r="I601"/>
    </row>
    <row r="602" spans="9:9" x14ac:dyDescent="0.25">
      <c r="I602"/>
    </row>
    <row r="603" spans="9:9" x14ac:dyDescent="0.25">
      <c r="I603"/>
    </row>
    <row r="604" spans="9:9" x14ac:dyDescent="0.25">
      <c r="I604"/>
    </row>
    <row r="605" spans="9:9" x14ac:dyDescent="0.25">
      <c r="I605"/>
    </row>
    <row r="606" spans="9:9" x14ac:dyDescent="0.25">
      <c r="I606"/>
    </row>
    <row r="607" spans="9:9" x14ac:dyDescent="0.25">
      <c r="I607"/>
    </row>
    <row r="608" spans="9:9" x14ac:dyDescent="0.25">
      <c r="I608"/>
    </row>
    <row r="609" spans="9:9" x14ac:dyDescent="0.25">
      <c r="I609"/>
    </row>
    <row r="610" spans="9:9" x14ac:dyDescent="0.25">
      <c r="I610"/>
    </row>
    <row r="611" spans="9:9" x14ac:dyDescent="0.25">
      <c r="I611"/>
    </row>
    <row r="612" spans="9:9" x14ac:dyDescent="0.25">
      <c r="I612"/>
    </row>
    <row r="613" spans="9:9" x14ac:dyDescent="0.25">
      <c r="I613"/>
    </row>
    <row r="614" spans="9:9" x14ac:dyDescent="0.25">
      <c r="I614"/>
    </row>
    <row r="615" spans="9:9" x14ac:dyDescent="0.25">
      <c r="I615"/>
    </row>
    <row r="616" spans="9:9" x14ac:dyDescent="0.25">
      <c r="I616"/>
    </row>
    <row r="617" spans="9:9" x14ac:dyDescent="0.25">
      <c r="I617"/>
    </row>
    <row r="618" spans="9:9" x14ac:dyDescent="0.25">
      <c r="I618"/>
    </row>
    <row r="619" spans="9:9" x14ac:dyDescent="0.25">
      <c r="I619"/>
    </row>
    <row r="620" spans="9:9" x14ac:dyDescent="0.25">
      <c r="I620"/>
    </row>
    <row r="621" spans="9:9" x14ac:dyDescent="0.25">
      <c r="I621"/>
    </row>
    <row r="622" spans="9:9" x14ac:dyDescent="0.25">
      <c r="I622"/>
    </row>
    <row r="623" spans="9:9" x14ac:dyDescent="0.25">
      <c r="I623"/>
    </row>
    <row r="624" spans="9:9" x14ac:dyDescent="0.25">
      <c r="I624"/>
    </row>
    <row r="625" spans="9:9" x14ac:dyDescent="0.25">
      <c r="I625"/>
    </row>
    <row r="626" spans="9:9" x14ac:dyDescent="0.25">
      <c r="I626"/>
    </row>
    <row r="627" spans="9:9" x14ac:dyDescent="0.25">
      <c r="I627"/>
    </row>
    <row r="628" spans="9:9" x14ac:dyDescent="0.25">
      <c r="I628"/>
    </row>
    <row r="629" spans="9:9" x14ac:dyDescent="0.25">
      <c r="I629"/>
    </row>
    <row r="630" spans="9:9" x14ac:dyDescent="0.25">
      <c r="I630"/>
    </row>
    <row r="631" spans="9:9" x14ac:dyDescent="0.25">
      <c r="I631"/>
    </row>
    <row r="632" spans="9:9" x14ac:dyDescent="0.25">
      <c r="I632"/>
    </row>
    <row r="633" spans="9:9" x14ac:dyDescent="0.25">
      <c r="I633"/>
    </row>
    <row r="634" spans="9:9" x14ac:dyDescent="0.25">
      <c r="I634"/>
    </row>
    <row r="635" spans="9:9" x14ac:dyDescent="0.25">
      <c r="I635"/>
    </row>
    <row r="636" spans="9:9" x14ac:dyDescent="0.25">
      <c r="I636"/>
    </row>
    <row r="637" spans="9:9" x14ac:dyDescent="0.25">
      <c r="I637"/>
    </row>
    <row r="638" spans="9:9" x14ac:dyDescent="0.25">
      <c r="I638"/>
    </row>
    <row r="639" spans="9:9" x14ac:dyDescent="0.25">
      <c r="I639"/>
    </row>
    <row r="640" spans="9:9" x14ac:dyDescent="0.25">
      <c r="I640"/>
    </row>
    <row r="641" spans="9:9" x14ac:dyDescent="0.25">
      <c r="I641"/>
    </row>
    <row r="642" spans="9:9" x14ac:dyDescent="0.25">
      <c r="I642"/>
    </row>
    <row r="643" spans="9:9" x14ac:dyDescent="0.25">
      <c r="I643"/>
    </row>
    <row r="644" spans="9:9" x14ac:dyDescent="0.25">
      <c r="I644"/>
    </row>
    <row r="645" spans="9:9" x14ac:dyDescent="0.25">
      <c r="I645"/>
    </row>
    <row r="646" spans="9:9" x14ac:dyDescent="0.25">
      <c r="I646"/>
    </row>
    <row r="647" spans="9:9" x14ac:dyDescent="0.25">
      <c r="I647"/>
    </row>
    <row r="648" spans="9:9" x14ac:dyDescent="0.25">
      <c r="I648"/>
    </row>
    <row r="649" spans="9:9" x14ac:dyDescent="0.25">
      <c r="I649"/>
    </row>
    <row r="650" spans="9:9" x14ac:dyDescent="0.25">
      <c r="I650"/>
    </row>
    <row r="651" spans="9:9" x14ac:dyDescent="0.25">
      <c r="I651"/>
    </row>
    <row r="652" spans="9:9" x14ac:dyDescent="0.25">
      <c r="I652"/>
    </row>
    <row r="653" spans="9:9" x14ac:dyDescent="0.25">
      <c r="I653"/>
    </row>
    <row r="654" spans="9:9" x14ac:dyDescent="0.25">
      <c r="I654"/>
    </row>
    <row r="655" spans="9:9" x14ac:dyDescent="0.25">
      <c r="I655"/>
    </row>
    <row r="656" spans="9:9" x14ac:dyDescent="0.25">
      <c r="I656"/>
    </row>
    <row r="657" spans="9:9" x14ac:dyDescent="0.25">
      <c r="I657"/>
    </row>
    <row r="658" spans="9:9" x14ac:dyDescent="0.25">
      <c r="I658"/>
    </row>
    <row r="659" spans="9:9" x14ac:dyDescent="0.25">
      <c r="I659"/>
    </row>
    <row r="660" spans="9:9" x14ac:dyDescent="0.25">
      <c r="I660"/>
    </row>
    <row r="661" spans="9:9" x14ac:dyDescent="0.25">
      <c r="I661"/>
    </row>
    <row r="662" spans="9:9" x14ac:dyDescent="0.25">
      <c r="I662"/>
    </row>
    <row r="663" spans="9:9" x14ac:dyDescent="0.25">
      <c r="I663"/>
    </row>
    <row r="664" spans="9:9" x14ac:dyDescent="0.25">
      <c r="I664"/>
    </row>
    <row r="665" spans="9:9" x14ac:dyDescent="0.25">
      <c r="I665"/>
    </row>
    <row r="666" spans="9:9" x14ac:dyDescent="0.25">
      <c r="I666"/>
    </row>
    <row r="667" spans="9:9" x14ac:dyDescent="0.25">
      <c r="I667"/>
    </row>
    <row r="668" spans="9:9" x14ac:dyDescent="0.25">
      <c r="I668"/>
    </row>
    <row r="669" spans="9:9" x14ac:dyDescent="0.25">
      <c r="I669"/>
    </row>
    <row r="670" spans="9:9" x14ac:dyDescent="0.25">
      <c r="I670"/>
    </row>
    <row r="671" spans="9:9" x14ac:dyDescent="0.25">
      <c r="I671"/>
    </row>
    <row r="672" spans="9:9" x14ac:dyDescent="0.25">
      <c r="I672"/>
    </row>
    <row r="673" spans="9:9" x14ac:dyDescent="0.25">
      <c r="I673"/>
    </row>
    <row r="674" spans="9:9" x14ac:dyDescent="0.25">
      <c r="I674"/>
    </row>
    <row r="675" spans="9:9" x14ac:dyDescent="0.25">
      <c r="I675"/>
    </row>
    <row r="676" spans="9:9" x14ac:dyDescent="0.25">
      <c r="I676"/>
    </row>
    <row r="677" spans="9:9" x14ac:dyDescent="0.25">
      <c r="I677"/>
    </row>
    <row r="678" spans="9:9" x14ac:dyDescent="0.25">
      <c r="I678"/>
    </row>
    <row r="679" spans="9:9" x14ac:dyDescent="0.25">
      <c r="I679"/>
    </row>
    <row r="680" spans="9:9" x14ac:dyDescent="0.25">
      <c r="I680"/>
    </row>
    <row r="681" spans="9:9" x14ac:dyDescent="0.25">
      <c r="I681"/>
    </row>
    <row r="682" spans="9:9" x14ac:dyDescent="0.25">
      <c r="I682"/>
    </row>
    <row r="683" spans="9:9" x14ac:dyDescent="0.25">
      <c r="I683"/>
    </row>
    <row r="684" spans="9:9" x14ac:dyDescent="0.25">
      <c r="I684"/>
    </row>
    <row r="685" spans="9:9" x14ac:dyDescent="0.25">
      <c r="I685"/>
    </row>
    <row r="686" spans="9:9" x14ac:dyDescent="0.25">
      <c r="I686"/>
    </row>
    <row r="687" spans="9:9" x14ac:dyDescent="0.25">
      <c r="I687"/>
    </row>
    <row r="688" spans="9:9" x14ac:dyDescent="0.25">
      <c r="I688"/>
    </row>
    <row r="689" spans="9:9" x14ac:dyDescent="0.25">
      <c r="I689"/>
    </row>
    <row r="690" spans="9:9" x14ac:dyDescent="0.25">
      <c r="I690"/>
    </row>
    <row r="691" spans="9:9" x14ac:dyDescent="0.25">
      <c r="I691"/>
    </row>
    <row r="692" spans="9:9" x14ac:dyDescent="0.25">
      <c r="I692"/>
    </row>
    <row r="693" spans="9:9" x14ac:dyDescent="0.25">
      <c r="I693"/>
    </row>
    <row r="694" spans="9:9" x14ac:dyDescent="0.25">
      <c r="I694"/>
    </row>
    <row r="695" spans="9:9" x14ac:dyDescent="0.25">
      <c r="I695"/>
    </row>
    <row r="696" spans="9:9" x14ac:dyDescent="0.25">
      <c r="I696"/>
    </row>
    <row r="697" spans="9:9" x14ac:dyDescent="0.25">
      <c r="I697"/>
    </row>
    <row r="698" spans="9:9" x14ac:dyDescent="0.25">
      <c r="I698"/>
    </row>
    <row r="699" spans="9:9" x14ac:dyDescent="0.25">
      <c r="I699"/>
    </row>
    <row r="700" spans="9:9" x14ac:dyDescent="0.25">
      <c r="I700"/>
    </row>
    <row r="701" spans="9:9" x14ac:dyDescent="0.25">
      <c r="I701"/>
    </row>
    <row r="702" spans="9:9" x14ac:dyDescent="0.25">
      <c r="I702"/>
    </row>
    <row r="703" spans="9:9" x14ac:dyDescent="0.25">
      <c r="I703"/>
    </row>
    <row r="704" spans="9:9" x14ac:dyDescent="0.25">
      <c r="I704"/>
    </row>
    <row r="705" spans="9:9" x14ac:dyDescent="0.25">
      <c r="I705"/>
    </row>
    <row r="706" spans="9:9" x14ac:dyDescent="0.25">
      <c r="I706"/>
    </row>
    <row r="707" spans="9:9" x14ac:dyDescent="0.25">
      <c r="I707"/>
    </row>
    <row r="708" spans="9:9" x14ac:dyDescent="0.25">
      <c r="I708"/>
    </row>
    <row r="709" spans="9:9" x14ac:dyDescent="0.25">
      <c r="I709"/>
    </row>
    <row r="710" spans="9:9" x14ac:dyDescent="0.25">
      <c r="I710"/>
    </row>
    <row r="711" spans="9:9" x14ac:dyDescent="0.25">
      <c r="I711"/>
    </row>
    <row r="712" spans="9:9" x14ac:dyDescent="0.25">
      <c r="I712"/>
    </row>
    <row r="713" spans="9:9" x14ac:dyDescent="0.25">
      <c r="I713"/>
    </row>
    <row r="714" spans="9:9" x14ac:dyDescent="0.25">
      <c r="I714"/>
    </row>
    <row r="715" spans="9:9" x14ac:dyDescent="0.25">
      <c r="I715"/>
    </row>
    <row r="716" spans="9:9" x14ac:dyDescent="0.25">
      <c r="I716"/>
    </row>
    <row r="717" spans="9:9" x14ac:dyDescent="0.25">
      <c r="I717"/>
    </row>
    <row r="718" spans="9:9" x14ac:dyDescent="0.25">
      <c r="I718"/>
    </row>
    <row r="719" spans="9:9" x14ac:dyDescent="0.25">
      <c r="I719"/>
    </row>
    <row r="720" spans="9:9" x14ac:dyDescent="0.25">
      <c r="I720"/>
    </row>
    <row r="721" spans="9:9" x14ac:dyDescent="0.25">
      <c r="I721"/>
    </row>
    <row r="722" spans="9:9" x14ac:dyDescent="0.25">
      <c r="I722"/>
    </row>
    <row r="723" spans="9:9" x14ac:dyDescent="0.25">
      <c r="I723"/>
    </row>
    <row r="724" spans="9:9" x14ac:dyDescent="0.25">
      <c r="I724"/>
    </row>
    <row r="725" spans="9:9" x14ac:dyDescent="0.25">
      <c r="I725"/>
    </row>
    <row r="726" spans="9:9" x14ac:dyDescent="0.25">
      <c r="I726"/>
    </row>
    <row r="727" spans="9:9" x14ac:dyDescent="0.25">
      <c r="I727"/>
    </row>
    <row r="728" spans="9:9" x14ac:dyDescent="0.25">
      <c r="I728"/>
    </row>
    <row r="729" spans="9:9" x14ac:dyDescent="0.25">
      <c r="I729"/>
    </row>
    <row r="730" spans="9:9" x14ac:dyDescent="0.25">
      <c r="I730"/>
    </row>
    <row r="731" spans="9:9" x14ac:dyDescent="0.25">
      <c r="I731"/>
    </row>
    <row r="732" spans="9:9" x14ac:dyDescent="0.25">
      <c r="I732"/>
    </row>
    <row r="733" spans="9:9" x14ac:dyDescent="0.25">
      <c r="I733"/>
    </row>
    <row r="734" spans="9:9" x14ac:dyDescent="0.25">
      <c r="I734"/>
    </row>
    <row r="735" spans="9:9" x14ac:dyDescent="0.25">
      <c r="I735"/>
    </row>
    <row r="736" spans="9:9" x14ac:dyDescent="0.25">
      <c r="I736"/>
    </row>
    <row r="737" spans="9:9" x14ac:dyDescent="0.25">
      <c r="I737"/>
    </row>
    <row r="738" spans="9:9" x14ac:dyDescent="0.25">
      <c r="I738"/>
    </row>
    <row r="739" spans="9:9" x14ac:dyDescent="0.25">
      <c r="I739"/>
    </row>
    <row r="740" spans="9:9" x14ac:dyDescent="0.25">
      <c r="I740"/>
    </row>
    <row r="741" spans="9:9" x14ac:dyDescent="0.25">
      <c r="I741"/>
    </row>
    <row r="742" spans="9:9" x14ac:dyDescent="0.25">
      <c r="I742"/>
    </row>
    <row r="743" spans="9:9" x14ac:dyDescent="0.25">
      <c r="I743"/>
    </row>
    <row r="744" spans="9:9" x14ac:dyDescent="0.25">
      <c r="I744"/>
    </row>
    <row r="745" spans="9:9" x14ac:dyDescent="0.25">
      <c r="I745"/>
    </row>
    <row r="746" spans="9:9" x14ac:dyDescent="0.25">
      <c r="I746"/>
    </row>
    <row r="747" spans="9:9" x14ac:dyDescent="0.25">
      <c r="I747"/>
    </row>
    <row r="748" spans="9:9" x14ac:dyDescent="0.25">
      <c r="I748"/>
    </row>
    <row r="749" spans="9:9" x14ac:dyDescent="0.25">
      <c r="I749"/>
    </row>
    <row r="750" spans="9:9" x14ac:dyDescent="0.25">
      <c r="I750"/>
    </row>
    <row r="751" spans="9:9" x14ac:dyDescent="0.25">
      <c r="I751"/>
    </row>
    <row r="752" spans="9:9" x14ac:dyDescent="0.25">
      <c r="I752"/>
    </row>
    <row r="753" spans="9:9" x14ac:dyDescent="0.25">
      <c r="I753"/>
    </row>
    <row r="754" spans="9:9" x14ac:dyDescent="0.25">
      <c r="I754"/>
    </row>
    <row r="755" spans="9:9" x14ac:dyDescent="0.25">
      <c r="I755"/>
    </row>
    <row r="756" spans="9:9" x14ac:dyDescent="0.25">
      <c r="I756"/>
    </row>
    <row r="757" spans="9:9" x14ac:dyDescent="0.25">
      <c r="I757"/>
    </row>
    <row r="758" spans="9:9" x14ac:dyDescent="0.25">
      <c r="I758"/>
    </row>
    <row r="759" spans="9:9" x14ac:dyDescent="0.25">
      <c r="I759"/>
    </row>
    <row r="760" spans="9:9" x14ac:dyDescent="0.25">
      <c r="I760"/>
    </row>
    <row r="761" spans="9:9" x14ac:dyDescent="0.25">
      <c r="I761"/>
    </row>
    <row r="762" spans="9:9" x14ac:dyDescent="0.25">
      <c r="I762"/>
    </row>
    <row r="763" spans="9:9" x14ac:dyDescent="0.25">
      <c r="I763"/>
    </row>
    <row r="764" spans="9:9" x14ac:dyDescent="0.25">
      <c r="I764"/>
    </row>
    <row r="765" spans="9:9" x14ac:dyDescent="0.25">
      <c r="I765"/>
    </row>
    <row r="766" spans="9:9" x14ac:dyDescent="0.25">
      <c r="I766"/>
    </row>
    <row r="767" spans="9:9" x14ac:dyDescent="0.25">
      <c r="I767"/>
    </row>
    <row r="768" spans="9:9" x14ac:dyDescent="0.25">
      <c r="I768"/>
    </row>
    <row r="769" spans="9:9" x14ac:dyDescent="0.25">
      <c r="I769"/>
    </row>
    <row r="770" spans="9:9" x14ac:dyDescent="0.25">
      <c r="I770"/>
    </row>
    <row r="771" spans="9:9" x14ac:dyDescent="0.25">
      <c r="I771"/>
    </row>
    <row r="772" spans="9:9" x14ac:dyDescent="0.25">
      <c r="I772"/>
    </row>
    <row r="773" spans="9:9" x14ac:dyDescent="0.25">
      <c r="I773"/>
    </row>
    <row r="774" spans="9:9" x14ac:dyDescent="0.25">
      <c r="I774"/>
    </row>
    <row r="775" spans="9:9" x14ac:dyDescent="0.25">
      <c r="I775"/>
    </row>
    <row r="776" spans="9:9" x14ac:dyDescent="0.25">
      <c r="I776"/>
    </row>
    <row r="777" spans="9:9" x14ac:dyDescent="0.25">
      <c r="I777"/>
    </row>
    <row r="778" spans="9:9" x14ac:dyDescent="0.25">
      <c r="I778"/>
    </row>
    <row r="779" spans="9:9" x14ac:dyDescent="0.25">
      <c r="I779"/>
    </row>
    <row r="780" spans="9:9" x14ac:dyDescent="0.25">
      <c r="I780"/>
    </row>
    <row r="781" spans="9:9" x14ac:dyDescent="0.25">
      <c r="I781"/>
    </row>
    <row r="782" spans="9:9" x14ac:dyDescent="0.25">
      <c r="I782"/>
    </row>
    <row r="783" spans="9:9" x14ac:dyDescent="0.25">
      <c r="I783"/>
    </row>
    <row r="784" spans="9:9" x14ac:dyDescent="0.25">
      <c r="I784"/>
    </row>
    <row r="785" spans="9:9" x14ac:dyDescent="0.25">
      <c r="I785"/>
    </row>
    <row r="786" spans="9:9" x14ac:dyDescent="0.25">
      <c r="I786"/>
    </row>
    <row r="787" spans="9:9" x14ac:dyDescent="0.25">
      <c r="I787"/>
    </row>
    <row r="788" spans="9:9" x14ac:dyDescent="0.25">
      <c r="I788"/>
    </row>
    <row r="789" spans="9:9" x14ac:dyDescent="0.25">
      <c r="I789"/>
    </row>
    <row r="790" spans="9:9" x14ac:dyDescent="0.25">
      <c r="I790"/>
    </row>
    <row r="791" spans="9:9" x14ac:dyDescent="0.25">
      <c r="I791"/>
    </row>
    <row r="792" spans="9:9" x14ac:dyDescent="0.25">
      <c r="I792"/>
    </row>
    <row r="793" spans="9:9" x14ac:dyDescent="0.25">
      <c r="I793"/>
    </row>
    <row r="794" spans="9:9" x14ac:dyDescent="0.25">
      <c r="I794"/>
    </row>
    <row r="795" spans="9:9" x14ac:dyDescent="0.25">
      <c r="I795"/>
    </row>
    <row r="796" spans="9:9" x14ac:dyDescent="0.25">
      <c r="I796"/>
    </row>
    <row r="797" spans="9:9" x14ac:dyDescent="0.25">
      <c r="I797"/>
    </row>
    <row r="798" spans="9:9" x14ac:dyDescent="0.25">
      <c r="I798"/>
    </row>
    <row r="799" spans="9:9" x14ac:dyDescent="0.25">
      <c r="I799"/>
    </row>
    <row r="800" spans="9:9" x14ac:dyDescent="0.25">
      <c r="I800"/>
    </row>
    <row r="801" spans="9:9" x14ac:dyDescent="0.25">
      <c r="I801"/>
    </row>
    <row r="802" spans="9:9" x14ac:dyDescent="0.25">
      <c r="I802"/>
    </row>
    <row r="803" spans="9:9" x14ac:dyDescent="0.25">
      <c r="I803"/>
    </row>
    <row r="804" spans="9:9" x14ac:dyDescent="0.25">
      <c r="I804"/>
    </row>
    <row r="805" spans="9:9" x14ac:dyDescent="0.25">
      <c r="I805"/>
    </row>
    <row r="806" spans="9:9" x14ac:dyDescent="0.25">
      <c r="I806"/>
    </row>
    <row r="807" spans="9:9" x14ac:dyDescent="0.25">
      <c r="I807"/>
    </row>
    <row r="808" spans="9:9" x14ac:dyDescent="0.25">
      <c r="I808"/>
    </row>
    <row r="809" spans="9:9" x14ac:dyDescent="0.25">
      <c r="I809"/>
    </row>
    <row r="810" spans="9:9" x14ac:dyDescent="0.25">
      <c r="I810"/>
    </row>
    <row r="811" spans="9:9" x14ac:dyDescent="0.25">
      <c r="I811"/>
    </row>
    <row r="812" spans="9:9" x14ac:dyDescent="0.25">
      <c r="I812"/>
    </row>
    <row r="813" spans="9:9" x14ac:dyDescent="0.25">
      <c r="I813"/>
    </row>
    <row r="814" spans="9:9" x14ac:dyDescent="0.25">
      <c r="I814"/>
    </row>
    <row r="815" spans="9:9" x14ac:dyDescent="0.25">
      <c r="I815"/>
    </row>
    <row r="816" spans="9:9" x14ac:dyDescent="0.25">
      <c r="I816"/>
    </row>
    <row r="817" spans="9:9" x14ac:dyDescent="0.25">
      <c r="I817"/>
    </row>
    <row r="818" spans="9:9" x14ac:dyDescent="0.25">
      <c r="I818"/>
    </row>
    <row r="819" spans="9:9" x14ac:dyDescent="0.25">
      <c r="I819"/>
    </row>
    <row r="820" spans="9:9" x14ac:dyDescent="0.25">
      <c r="I820"/>
    </row>
    <row r="821" spans="9:9" x14ac:dyDescent="0.25">
      <c r="I821"/>
    </row>
    <row r="822" spans="9:9" x14ac:dyDescent="0.25">
      <c r="I822"/>
    </row>
    <row r="823" spans="9:9" x14ac:dyDescent="0.25">
      <c r="I823"/>
    </row>
    <row r="824" spans="9:9" x14ac:dyDescent="0.25">
      <c r="I824"/>
    </row>
    <row r="825" spans="9:9" x14ac:dyDescent="0.25">
      <c r="I825"/>
    </row>
    <row r="826" spans="9:9" x14ac:dyDescent="0.25">
      <c r="I826"/>
    </row>
    <row r="827" spans="9:9" x14ac:dyDescent="0.25">
      <c r="I827"/>
    </row>
    <row r="828" spans="9:9" x14ac:dyDescent="0.25">
      <c r="I828"/>
    </row>
    <row r="829" spans="9:9" x14ac:dyDescent="0.25">
      <c r="I829"/>
    </row>
    <row r="830" spans="9:9" x14ac:dyDescent="0.25">
      <c r="I830"/>
    </row>
    <row r="831" spans="9:9" x14ac:dyDescent="0.25">
      <c r="I831"/>
    </row>
    <row r="832" spans="9:9" x14ac:dyDescent="0.25">
      <c r="I832"/>
    </row>
    <row r="833" spans="9:9" x14ac:dyDescent="0.25">
      <c r="I833"/>
    </row>
    <row r="834" spans="9:9" x14ac:dyDescent="0.25">
      <c r="I834"/>
    </row>
    <row r="835" spans="9:9" x14ac:dyDescent="0.25">
      <c r="I835"/>
    </row>
    <row r="836" spans="9:9" x14ac:dyDescent="0.25">
      <c r="I836"/>
    </row>
    <row r="837" spans="9:9" x14ac:dyDescent="0.25">
      <c r="I837"/>
    </row>
    <row r="838" spans="9:9" x14ac:dyDescent="0.25">
      <c r="I838"/>
    </row>
    <row r="839" spans="9:9" x14ac:dyDescent="0.25">
      <c r="I839"/>
    </row>
    <row r="840" spans="9:9" x14ac:dyDescent="0.25">
      <c r="I840"/>
    </row>
    <row r="841" spans="9:9" x14ac:dyDescent="0.25">
      <c r="I841"/>
    </row>
    <row r="842" spans="9:9" x14ac:dyDescent="0.25">
      <c r="I842"/>
    </row>
    <row r="843" spans="9:9" x14ac:dyDescent="0.25">
      <c r="I843"/>
    </row>
    <row r="844" spans="9:9" x14ac:dyDescent="0.25">
      <c r="I844"/>
    </row>
    <row r="845" spans="9:9" x14ac:dyDescent="0.25">
      <c r="I845"/>
    </row>
    <row r="846" spans="9:9" x14ac:dyDescent="0.25">
      <c r="I846"/>
    </row>
    <row r="847" spans="9:9" x14ac:dyDescent="0.25">
      <c r="I847"/>
    </row>
    <row r="848" spans="9:9" x14ac:dyDescent="0.25">
      <c r="I848"/>
    </row>
    <row r="849" spans="9:9" x14ac:dyDescent="0.25">
      <c r="I849"/>
    </row>
    <row r="850" spans="9:9" x14ac:dyDescent="0.25">
      <c r="I850"/>
    </row>
    <row r="851" spans="9:9" x14ac:dyDescent="0.25">
      <c r="I851"/>
    </row>
    <row r="852" spans="9:9" x14ac:dyDescent="0.25">
      <c r="I852"/>
    </row>
    <row r="853" spans="9:9" x14ac:dyDescent="0.25">
      <c r="I853"/>
    </row>
    <row r="854" spans="9:9" x14ac:dyDescent="0.25">
      <c r="I854"/>
    </row>
    <row r="855" spans="9:9" x14ac:dyDescent="0.25">
      <c r="I855"/>
    </row>
    <row r="856" spans="9:9" x14ac:dyDescent="0.25">
      <c r="I856"/>
    </row>
    <row r="857" spans="9:9" x14ac:dyDescent="0.25">
      <c r="I857"/>
    </row>
    <row r="858" spans="9:9" x14ac:dyDescent="0.25">
      <c r="I858"/>
    </row>
    <row r="859" spans="9:9" x14ac:dyDescent="0.25">
      <c r="I859"/>
    </row>
    <row r="860" spans="9:9" x14ac:dyDescent="0.25">
      <c r="I860"/>
    </row>
    <row r="861" spans="9:9" x14ac:dyDescent="0.25">
      <c r="I861"/>
    </row>
    <row r="862" spans="9:9" x14ac:dyDescent="0.25">
      <c r="I862"/>
    </row>
    <row r="863" spans="9:9" x14ac:dyDescent="0.25">
      <c r="I863"/>
    </row>
    <row r="864" spans="9:9" x14ac:dyDescent="0.25">
      <c r="I864"/>
    </row>
    <row r="865" spans="9:9" x14ac:dyDescent="0.25">
      <c r="I865"/>
    </row>
    <row r="866" spans="9:9" x14ac:dyDescent="0.25">
      <c r="I866"/>
    </row>
    <row r="867" spans="9:9" x14ac:dyDescent="0.25">
      <c r="I867"/>
    </row>
    <row r="868" spans="9:9" x14ac:dyDescent="0.25">
      <c r="I868"/>
    </row>
    <row r="869" spans="9:9" x14ac:dyDescent="0.25">
      <c r="I869"/>
    </row>
    <row r="870" spans="9:9" x14ac:dyDescent="0.25">
      <c r="I870"/>
    </row>
    <row r="871" spans="9:9" x14ac:dyDescent="0.25">
      <c r="I871"/>
    </row>
    <row r="872" spans="9:9" x14ac:dyDescent="0.25">
      <c r="I872"/>
    </row>
    <row r="873" spans="9:9" x14ac:dyDescent="0.25">
      <c r="I873"/>
    </row>
    <row r="874" spans="9:9" x14ac:dyDescent="0.25">
      <c r="I874"/>
    </row>
    <row r="875" spans="9:9" x14ac:dyDescent="0.25">
      <c r="I875"/>
    </row>
    <row r="876" spans="9:9" x14ac:dyDescent="0.25">
      <c r="I876"/>
    </row>
    <row r="877" spans="9:9" x14ac:dyDescent="0.25">
      <c r="I877"/>
    </row>
    <row r="878" spans="9:9" x14ac:dyDescent="0.25">
      <c r="I878"/>
    </row>
    <row r="879" spans="9:9" x14ac:dyDescent="0.25">
      <c r="I879"/>
    </row>
    <row r="880" spans="9:9" x14ac:dyDescent="0.25">
      <c r="I880"/>
    </row>
    <row r="881" spans="9:9" x14ac:dyDescent="0.25">
      <c r="I881"/>
    </row>
    <row r="882" spans="9:9" x14ac:dyDescent="0.25">
      <c r="I882"/>
    </row>
    <row r="883" spans="9:9" x14ac:dyDescent="0.25">
      <c r="I883"/>
    </row>
    <row r="884" spans="9:9" x14ac:dyDescent="0.25">
      <c r="I884"/>
    </row>
    <row r="885" spans="9:9" x14ac:dyDescent="0.25">
      <c r="I885"/>
    </row>
    <row r="886" spans="9:9" x14ac:dyDescent="0.25">
      <c r="I886"/>
    </row>
    <row r="887" spans="9:9" x14ac:dyDescent="0.25">
      <c r="I887"/>
    </row>
    <row r="888" spans="9:9" x14ac:dyDescent="0.25">
      <c r="I888"/>
    </row>
    <row r="889" spans="9:9" x14ac:dyDescent="0.25">
      <c r="I889"/>
    </row>
    <row r="890" spans="9:9" x14ac:dyDescent="0.25">
      <c r="I890"/>
    </row>
    <row r="891" spans="9:9" x14ac:dyDescent="0.25">
      <c r="I891"/>
    </row>
    <row r="892" spans="9:9" x14ac:dyDescent="0.25">
      <c r="I892"/>
    </row>
    <row r="893" spans="9:9" x14ac:dyDescent="0.25">
      <c r="I893"/>
    </row>
    <row r="894" spans="9:9" x14ac:dyDescent="0.25">
      <c r="I894"/>
    </row>
    <row r="895" spans="9:9" x14ac:dyDescent="0.25">
      <c r="I895"/>
    </row>
    <row r="896" spans="9:9" x14ac:dyDescent="0.25">
      <c r="I896"/>
    </row>
    <row r="897" spans="9:9" x14ac:dyDescent="0.25">
      <c r="I897"/>
    </row>
    <row r="898" spans="9:9" x14ac:dyDescent="0.25">
      <c r="I898"/>
    </row>
    <row r="899" spans="9:9" x14ac:dyDescent="0.25">
      <c r="I899"/>
    </row>
    <row r="900" spans="9:9" x14ac:dyDescent="0.25">
      <c r="I900"/>
    </row>
    <row r="901" spans="9:9" x14ac:dyDescent="0.25">
      <c r="I901"/>
    </row>
    <row r="902" spans="9:9" x14ac:dyDescent="0.25">
      <c r="I902"/>
    </row>
    <row r="903" spans="9:9" x14ac:dyDescent="0.25">
      <c r="I903"/>
    </row>
    <row r="904" spans="9:9" x14ac:dyDescent="0.25">
      <c r="I904"/>
    </row>
    <row r="905" spans="9:9" x14ac:dyDescent="0.25">
      <c r="I905"/>
    </row>
    <row r="906" spans="9:9" x14ac:dyDescent="0.25">
      <c r="I906"/>
    </row>
    <row r="907" spans="9:9" x14ac:dyDescent="0.25">
      <c r="I907"/>
    </row>
    <row r="908" spans="9:9" x14ac:dyDescent="0.25">
      <c r="I908"/>
    </row>
    <row r="909" spans="9:9" x14ac:dyDescent="0.25">
      <c r="I909"/>
    </row>
    <row r="910" spans="9:9" x14ac:dyDescent="0.25">
      <c r="I910"/>
    </row>
    <row r="911" spans="9:9" x14ac:dyDescent="0.25">
      <c r="I911"/>
    </row>
    <row r="912" spans="9:9" x14ac:dyDescent="0.25">
      <c r="I912"/>
    </row>
    <row r="913" spans="9:9" x14ac:dyDescent="0.25">
      <c r="I913"/>
    </row>
    <row r="914" spans="9:9" x14ac:dyDescent="0.25">
      <c r="I914"/>
    </row>
    <row r="915" spans="9:9" x14ac:dyDescent="0.25">
      <c r="I915"/>
    </row>
    <row r="916" spans="9:9" x14ac:dyDescent="0.25">
      <c r="I916"/>
    </row>
    <row r="917" spans="9:9" x14ac:dyDescent="0.25">
      <c r="I917"/>
    </row>
    <row r="918" spans="9:9" x14ac:dyDescent="0.25">
      <c r="I918"/>
    </row>
    <row r="919" spans="9:9" x14ac:dyDescent="0.25">
      <c r="I919"/>
    </row>
    <row r="920" spans="9:9" x14ac:dyDescent="0.25">
      <c r="I920"/>
    </row>
    <row r="921" spans="9:9" x14ac:dyDescent="0.25">
      <c r="I921"/>
    </row>
    <row r="922" spans="9:9" x14ac:dyDescent="0.25">
      <c r="I922"/>
    </row>
    <row r="923" spans="9:9" x14ac:dyDescent="0.25">
      <c r="I923"/>
    </row>
    <row r="924" spans="9:9" x14ac:dyDescent="0.25">
      <c r="I924"/>
    </row>
    <row r="925" spans="9:9" x14ac:dyDescent="0.25">
      <c r="I925"/>
    </row>
    <row r="926" spans="9:9" x14ac:dyDescent="0.25">
      <c r="I926"/>
    </row>
    <row r="927" spans="9:9" x14ac:dyDescent="0.25">
      <c r="I927"/>
    </row>
    <row r="928" spans="9:9" x14ac:dyDescent="0.25">
      <c r="I928"/>
    </row>
    <row r="929" spans="9:9" x14ac:dyDescent="0.25">
      <c r="I929"/>
    </row>
    <row r="930" spans="9:9" x14ac:dyDescent="0.25">
      <c r="I930"/>
    </row>
    <row r="931" spans="9:9" x14ac:dyDescent="0.25">
      <c r="I931"/>
    </row>
    <row r="932" spans="9:9" x14ac:dyDescent="0.25">
      <c r="I932"/>
    </row>
    <row r="933" spans="9:9" x14ac:dyDescent="0.25">
      <c r="I933"/>
    </row>
    <row r="934" spans="9:9" x14ac:dyDescent="0.25">
      <c r="I934"/>
    </row>
    <row r="935" spans="9:9" x14ac:dyDescent="0.25">
      <c r="I935"/>
    </row>
    <row r="936" spans="9:9" x14ac:dyDescent="0.25">
      <c r="I936"/>
    </row>
    <row r="937" spans="9:9" x14ac:dyDescent="0.25">
      <c r="I937"/>
    </row>
    <row r="938" spans="9:9" x14ac:dyDescent="0.25">
      <c r="I938"/>
    </row>
    <row r="939" spans="9:9" x14ac:dyDescent="0.25">
      <c r="I939"/>
    </row>
    <row r="940" spans="9:9" x14ac:dyDescent="0.25">
      <c r="I940"/>
    </row>
    <row r="941" spans="9:9" x14ac:dyDescent="0.25">
      <c r="I941"/>
    </row>
    <row r="942" spans="9:9" x14ac:dyDescent="0.25">
      <c r="I942"/>
    </row>
    <row r="943" spans="9:9" x14ac:dyDescent="0.25">
      <c r="I943"/>
    </row>
    <row r="944" spans="9:9" x14ac:dyDescent="0.25">
      <c r="I944"/>
    </row>
    <row r="945" spans="9:9" x14ac:dyDescent="0.25">
      <c r="I945"/>
    </row>
    <row r="946" spans="9:9" x14ac:dyDescent="0.25">
      <c r="I946"/>
    </row>
    <row r="947" spans="9:9" x14ac:dyDescent="0.25">
      <c r="I947"/>
    </row>
    <row r="948" spans="9:9" x14ac:dyDescent="0.25">
      <c r="I948"/>
    </row>
    <row r="949" spans="9:9" x14ac:dyDescent="0.25">
      <c r="I949"/>
    </row>
    <row r="950" spans="9:9" x14ac:dyDescent="0.25">
      <c r="I950"/>
    </row>
    <row r="951" spans="9:9" x14ac:dyDescent="0.25">
      <c r="I951"/>
    </row>
    <row r="952" spans="9:9" x14ac:dyDescent="0.25">
      <c r="I952"/>
    </row>
    <row r="953" spans="9:9" x14ac:dyDescent="0.25">
      <c r="I953"/>
    </row>
    <row r="954" spans="9:9" x14ac:dyDescent="0.25">
      <c r="I954"/>
    </row>
    <row r="955" spans="9:9" x14ac:dyDescent="0.25">
      <c r="I955"/>
    </row>
    <row r="956" spans="9:9" x14ac:dyDescent="0.25">
      <c r="I956"/>
    </row>
    <row r="957" spans="9:9" x14ac:dyDescent="0.25">
      <c r="I957"/>
    </row>
    <row r="958" spans="9:9" x14ac:dyDescent="0.25">
      <c r="I958"/>
    </row>
    <row r="959" spans="9:9" x14ac:dyDescent="0.25">
      <c r="I959"/>
    </row>
    <row r="960" spans="9:9" x14ac:dyDescent="0.25">
      <c r="I960"/>
    </row>
    <row r="961" spans="9:9" x14ac:dyDescent="0.25">
      <c r="I961"/>
    </row>
    <row r="962" spans="9:9" x14ac:dyDescent="0.25">
      <c r="I962"/>
    </row>
    <row r="963" spans="9:9" x14ac:dyDescent="0.25">
      <c r="I963"/>
    </row>
    <row r="964" spans="9:9" x14ac:dyDescent="0.25">
      <c r="I964"/>
    </row>
    <row r="965" spans="9:9" x14ac:dyDescent="0.25">
      <c r="I965"/>
    </row>
    <row r="966" spans="9:9" x14ac:dyDescent="0.25">
      <c r="I966"/>
    </row>
    <row r="967" spans="9:9" x14ac:dyDescent="0.25">
      <c r="I967"/>
    </row>
    <row r="968" spans="9:9" x14ac:dyDescent="0.25">
      <c r="I968"/>
    </row>
    <row r="969" spans="9:9" x14ac:dyDescent="0.25">
      <c r="I969"/>
    </row>
    <row r="970" spans="9:9" x14ac:dyDescent="0.25">
      <c r="I970"/>
    </row>
    <row r="971" spans="9:9" x14ac:dyDescent="0.25">
      <c r="I971"/>
    </row>
    <row r="972" spans="9:9" x14ac:dyDescent="0.25">
      <c r="I972"/>
    </row>
    <row r="973" spans="9:9" x14ac:dyDescent="0.25">
      <c r="I973"/>
    </row>
    <row r="974" spans="9:9" x14ac:dyDescent="0.25">
      <c r="I974"/>
    </row>
    <row r="975" spans="9:9" x14ac:dyDescent="0.25">
      <c r="I975"/>
    </row>
    <row r="976" spans="9:9" x14ac:dyDescent="0.25">
      <c r="I976"/>
    </row>
    <row r="977" spans="9:9" x14ac:dyDescent="0.25">
      <c r="I977"/>
    </row>
    <row r="978" spans="9:9" x14ac:dyDescent="0.25">
      <c r="I978"/>
    </row>
    <row r="979" spans="9:9" x14ac:dyDescent="0.25">
      <c r="I979"/>
    </row>
    <row r="980" spans="9:9" x14ac:dyDescent="0.25">
      <c r="I980"/>
    </row>
    <row r="981" spans="9:9" x14ac:dyDescent="0.25">
      <c r="I981"/>
    </row>
    <row r="982" spans="9:9" x14ac:dyDescent="0.25">
      <c r="I982"/>
    </row>
    <row r="983" spans="9:9" x14ac:dyDescent="0.25">
      <c r="I983"/>
    </row>
    <row r="984" spans="9:9" x14ac:dyDescent="0.25">
      <c r="I984"/>
    </row>
    <row r="985" spans="9:9" x14ac:dyDescent="0.25">
      <c r="I985"/>
    </row>
    <row r="986" spans="9:9" x14ac:dyDescent="0.25">
      <c r="I986"/>
    </row>
    <row r="987" spans="9:9" x14ac:dyDescent="0.25">
      <c r="I987"/>
    </row>
    <row r="988" spans="9:9" x14ac:dyDescent="0.25">
      <c r="I988"/>
    </row>
    <row r="989" spans="9:9" x14ac:dyDescent="0.25">
      <c r="I989"/>
    </row>
    <row r="990" spans="9:9" x14ac:dyDescent="0.25">
      <c r="I990"/>
    </row>
    <row r="991" spans="9:9" x14ac:dyDescent="0.25">
      <c r="I991"/>
    </row>
    <row r="992" spans="9:9" x14ac:dyDescent="0.25">
      <c r="I992"/>
    </row>
    <row r="993" spans="9:9" x14ac:dyDescent="0.25">
      <c r="I993"/>
    </row>
    <row r="994" spans="9:9" x14ac:dyDescent="0.25">
      <c r="I994"/>
    </row>
    <row r="995" spans="9:9" x14ac:dyDescent="0.25">
      <c r="I995"/>
    </row>
    <row r="996" spans="9:9" x14ac:dyDescent="0.25">
      <c r="I996"/>
    </row>
    <row r="997" spans="9:9" x14ac:dyDescent="0.25">
      <c r="I997"/>
    </row>
    <row r="998" spans="9:9" x14ac:dyDescent="0.25">
      <c r="I998"/>
    </row>
    <row r="999" spans="9:9" x14ac:dyDescent="0.25">
      <c r="I999"/>
    </row>
    <row r="1000" spans="9:9" x14ac:dyDescent="0.25">
      <c r="I1000"/>
    </row>
    <row r="1001" spans="9:9" x14ac:dyDescent="0.25">
      <c r="I1001"/>
    </row>
    <row r="1002" spans="9:9" x14ac:dyDescent="0.25">
      <c r="I1002"/>
    </row>
    <row r="1003" spans="9:9" x14ac:dyDescent="0.25">
      <c r="I1003"/>
    </row>
    <row r="1004" spans="9:9" x14ac:dyDescent="0.25">
      <c r="I1004"/>
    </row>
    <row r="1005" spans="9:9" x14ac:dyDescent="0.25">
      <c r="I1005"/>
    </row>
    <row r="1006" spans="9:9" x14ac:dyDescent="0.25">
      <c r="I1006"/>
    </row>
    <row r="1007" spans="9:9" x14ac:dyDescent="0.25">
      <c r="I1007"/>
    </row>
    <row r="1008" spans="9:9" x14ac:dyDescent="0.25">
      <c r="I1008"/>
    </row>
    <row r="1009" spans="9:9" x14ac:dyDescent="0.25">
      <c r="I1009"/>
    </row>
    <row r="1010" spans="9:9" x14ac:dyDescent="0.25">
      <c r="I1010"/>
    </row>
    <row r="1011" spans="9:9" x14ac:dyDescent="0.25">
      <c r="I1011"/>
    </row>
    <row r="1012" spans="9:9" x14ac:dyDescent="0.25">
      <c r="I1012"/>
    </row>
    <row r="1013" spans="9:9" x14ac:dyDescent="0.25">
      <c r="I1013"/>
    </row>
    <row r="1014" spans="9:9" x14ac:dyDescent="0.25">
      <c r="I1014"/>
    </row>
    <row r="1015" spans="9:9" x14ac:dyDescent="0.25">
      <c r="I1015"/>
    </row>
    <row r="1016" spans="9:9" x14ac:dyDescent="0.25">
      <c r="I1016"/>
    </row>
    <row r="1017" spans="9:9" x14ac:dyDescent="0.25">
      <c r="I1017"/>
    </row>
    <row r="1018" spans="9:9" x14ac:dyDescent="0.25">
      <c r="I1018"/>
    </row>
    <row r="1019" spans="9:9" x14ac:dyDescent="0.25">
      <c r="I1019"/>
    </row>
    <row r="1020" spans="9:9" x14ac:dyDescent="0.25">
      <c r="I1020"/>
    </row>
    <row r="1021" spans="9:9" x14ac:dyDescent="0.25">
      <c r="I1021"/>
    </row>
    <row r="1022" spans="9:9" x14ac:dyDescent="0.25">
      <c r="I1022"/>
    </row>
    <row r="1023" spans="9:9" x14ac:dyDescent="0.25">
      <c r="I1023"/>
    </row>
    <row r="1024" spans="9:9" x14ac:dyDescent="0.25">
      <c r="I1024"/>
    </row>
    <row r="1025" spans="9:9" x14ac:dyDescent="0.25">
      <c r="I1025"/>
    </row>
    <row r="1026" spans="9:9" x14ac:dyDescent="0.25">
      <c r="I1026"/>
    </row>
    <row r="1027" spans="9:9" x14ac:dyDescent="0.25">
      <c r="I1027"/>
    </row>
    <row r="1028" spans="9:9" x14ac:dyDescent="0.25">
      <c r="I1028"/>
    </row>
    <row r="1029" spans="9:9" x14ac:dyDescent="0.25">
      <c r="I1029"/>
    </row>
    <row r="1030" spans="9:9" x14ac:dyDescent="0.25">
      <c r="I1030"/>
    </row>
    <row r="1031" spans="9:9" x14ac:dyDescent="0.25">
      <c r="I1031"/>
    </row>
    <row r="1032" spans="9:9" x14ac:dyDescent="0.25">
      <c r="I1032"/>
    </row>
    <row r="1033" spans="9:9" x14ac:dyDescent="0.25">
      <c r="I1033"/>
    </row>
    <row r="1034" spans="9:9" x14ac:dyDescent="0.25">
      <c r="I1034"/>
    </row>
    <row r="1035" spans="9:9" x14ac:dyDescent="0.25">
      <c r="I1035"/>
    </row>
    <row r="1036" spans="9:9" x14ac:dyDescent="0.25">
      <c r="I1036"/>
    </row>
    <row r="1037" spans="9:9" x14ac:dyDescent="0.25">
      <c r="I1037"/>
    </row>
    <row r="1038" spans="9:9" x14ac:dyDescent="0.25">
      <c r="I1038"/>
    </row>
    <row r="1039" spans="9:9" x14ac:dyDescent="0.25">
      <c r="I1039"/>
    </row>
    <row r="1040" spans="9:9" x14ac:dyDescent="0.25">
      <c r="I1040"/>
    </row>
    <row r="1041" spans="9:9" x14ac:dyDescent="0.25">
      <c r="I1041"/>
    </row>
    <row r="1042" spans="9:9" x14ac:dyDescent="0.25">
      <c r="I1042"/>
    </row>
    <row r="1043" spans="9:9" x14ac:dyDescent="0.25">
      <c r="I1043"/>
    </row>
    <row r="1044" spans="9:9" x14ac:dyDescent="0.25">
      <c r="I1044"/>
    </row>
    <row r="1045" spans="9:9" x14ac:dyDescent="0.25">
      <c r="I1045"/>
    </row>
    <row r="1046" spans="9:9" x14ac:dyDescent="0.25">
      <c r="I1046"/>
    </row>
    <row r="1047" spans="9:9" x14ac:dyDescent="0.25">
      <c r="I1047"/>
    </row>
    <row r="1048" spans="9:9" x14ac:dyDescent="0.25">
      <c r="I1048"/>
    </row>
    <row r="1049" spans="9:9" x14ac:dyDescent="0.25">
      <c r="I1049"/>
    </row>
    <row r="1050" spans="9:9" x14ac:dyDescent="0.25">
      <c r="I1050"/>
    </row>
    <row r="1051" spans="9:9" x14ac:dyDescent="0.25">
      <c r="I1051"/>
    </row>
    <row r="1052" spans="9:9" x14ac:dyDescent="0.25">
      <c r="I1052"/>
    </row>
    <row r="1053" spans="9:9" x14ac:dyDescent="0.25">
      <c r="I1053"/>
    </row>
    <row r="1054" spans="9:9" x14ac:dyDescent="0.25">
      <c r="I1054"/>
    </row>
    <row r="1055" spans="9:9" x14ac:dyDescent="0.25">
      <c r="I1055"/>
    </row>
    <row r="1056" spans="9:9" x14ac:dyDescent="0.25">
      <c r="I1056"/>
    </row>
    <row r="1057" spans="9:9" x14ac:dyDescent="0.25">
      <c r="I1057"/>
    </row>
    <row r="1058" spans="9:9" x14ac:dyDescent="0.25">
      <c r="I1058"/>
    </row>
    <row r="1059" spans="9:9" x14ac:dyDescent="0.25">
      <c r="I1059"/>
    </row>
    <row r="1060" spans="9:9" x14ac:dyDescent="0.25">
      <c r="I1060"/>
    </row>
    <row r="1061" spans="9:9" x14ac:dyDescent="0.25">
      <c r="I1061"/>
    </row>
    <row r="1062" spans="9:9" x14ac:dyDescent="0.25">
      <c r="I1062"/>
    </row>
    <row r="1063" spans="9:9" x14ac:dyDescent="0.25">
      <c r="I1063"/>
    </row>
    <row r="1064" spans="9:9" x14ac:dyDescent="0.25">
      <c r="I1064"/>
    </row>
    <row r="1065" spans="9:9" x14ac:dyDescent="0.25">
      <c r="I1065"/>
    </row>
    <row r="1066" spans="9:9" x14ac:dyDescent="0.25">
      <c r="I1066"/>
    </row>
    <row r="1067" spans="9:9" x14ac:dyDescent="0.25">
      <c r="I1067"/>
    </row>
    <row r="1068" spans="9:9" x14ac:dyDescent="0.25">
      <c r="I1068"/>
    </row>
    <row r="1069" spans="9:9" x14ac:dyDescent="0.25">
      <c r="I1069"/>
    </row>
    <row r="1070" spans="9:9" x14ac:dyDescent="0.25">
      <c r="I1070"/>
    </row>
    <row r="1071" spans="9:9" x14ac:dyDescent="0.25">
      <c r="I1071"/>
    </row>
    <row r="1072" spans="9:9" x14ac:dyDescent="0.25">
      <c r="I1072"/>
    </row>
    <row r="1073" spans="9:9" x14ac:dyDescent="0.25">
      <c r="I1073"/>
    </row>
    <row r="1074" spans="9:9" x14ac:dyDescent="0.25">
      <c r="I1074"/>
    </row>
    <row r="1075" spans="9:9" x14ac:dyDescent="0.25">
      <c r="I1075"/>
    </row>
    <row r="1076" spans="9:9" x14ac:dyDescent="0.25">
      <c r="I1076"/>
    </row>
    <row r="1077" spans="9:9" x14ac:dyDescent="0.25">
      <c r="I1077"/>
    </row>
    <row r="1078" spans="9:9" x14ac:dyDescent="0.25">
      <c r="I1078"/>
    </row>
    <row r="1079" spans="9:9" x14ac:dyDescent="0.25">
      <c r="I1079"/>
    </row>
    <row r="1080" spans="9:9" x14ac:dyDescent="0.25">
      <c r="I1080"/>
    </row>
    <row r="1081" spans="9:9" x14ac:dyDescent="0.25">
      <c r="I1081"/>
    </row>
    <row r="1082" spans="9:9" x14ac:dyDescent="0.25">
      <c r="I1082"/>
    </row>
    <row r="1083" spans="9:9" x14ac:dyDescent="0.25">
      <c r="I1083"/>
    </row>
    <row r="1084" spans="9:9" x14ac:dyDescent="0.25">
      <c r="I1084"/>
    </row>
    <row r="1085" spans="9:9" x14ac:dyDescent="0.25">
      <c r="I1085"/>
    </row>
    <row r="1086" spans="9:9" x14ac:dyDescent="0.25">
      <c r="I1086"/>
    </row>
    <row r="1087" spans="9:9" x14ac:dyDescent="0.25">
      <c r="I1087"/>
    </row>
    <row r="1088" spans="9:9" x14ac:dyDescent="0.25">
      <c r="I1088"/>
    </row>
    <row r="1089" spans="9:9" x14ac:dyDescent="0.25">
      <c r="I1089"/>
    </row>
    <row r="1090" spans="9:9" x14ac:dyDescent="0.25">
      <c r="I1090"/>
    </row>
    <row r="1091" spans="9:9" x14ac:dyDescent="0.25">
      <c r="I1091"/>
    </row>
    <row r="1092" spans="9:9" x14ac:dyDescent="0.25">
      <c r="I1092"/>
    </row>
    <row r="1093" spans="9:9" x14ac:dyDescent="0.25">
      <c r="I1093"/>
    </row>
    <row r="1094" spans="9:9" x14ac:dyDescent="0.25">
      <c r="I1094"/>
    </row>
    <row r="1095" spans="9:9" x14ac:dyDescent="0.25">
      <c r="I1095"/>
    </row>
    <row r="1096" spans="9:9" x14ac:dyDescent="0.25">
      <c r="I1096"/>
    </row>
    <row r="1097" spans="9:9" x14ac:dyDescent="0.25">
      <c r="I1097"/>
    </row>
    <row r="1098" spans="9:9" x14ac:dyDescent="0.25">
      <c r="I1098"/>
    </row>
    <row r="1099" spans="9:9" x14ac:dyDescent="0.25">
      <c r="I1099"/>
    </row>
    <row r="1100" spans="9:9" x14ac:dyDescent="0.25">
      <c r="I1100"/>
    </row>
    <row r="1101" spans="9:9" x14ac:dyDescent="0.25">
      <c r="I1101"/>
    </row>
    <row r="1102" spans="9:9" x14ac:dyDescent="0.25">
      <c r="I1102"/>
    </row>
    <row r="1103" spans="9:9" x14ac:dyDescent="0.25">
      <c r="I1103"/>
    </row>
    <row r="1104" spans="9:9" x14ac:dyDescent="0.25">
      <c r="I1104"/>
    </row>
    <row r="1105" spans="9:9" x14ac:dyDescent="0.25">
      <c r="I1105"/>
    </row>
    <row r="1106" spans="9:9" x14ac:dyDescent="0.25">
      <c r="I1106"/>
    </row>
    <row r="1107" spans="9:9" x14ac:dyDescent="0.25">
      <c r="I1107"/>
    </row>
    <row r="1108" spans="9:9" x14ac:dyDescent="0.25">
      <c r="I1108"/>
    </row>
    <row r="1109" spans="9:9" x14ac:dyDescent="0.25">
      <c r="I1109"/>
    </row>
    <row r="1110" spans="9:9" x14ac:dyDescent="0.25">
      <c r="I1110"/>
    </row>
    <row r="1111" spans="9:9" x14ac:dyDescent="0.25">
      <c r="I1111"/>
    </row>
    <row r="1112" spans="9:9" x14ac:dyDescent="0.25">
      <c r="I1112"/>
    </row>
    <row r="1113" spans="9:9" x14ac:dyDescent="0.25">
      <c r="I1113"/>
    </row>
    <row r="1114" spans="9:9" x14ac:dyDescent="0.25">
      <c r="I1114"/>
    </row>
    <row r="1115" spans="9:9" x14ac:dyDescent="0.25">
      <c r="I1115"/>
    </row>
    <row r="1116" spans="9:9" x14ac:dyDescent="0.25">
      <c r="I1116"/>
    </row>
    <row r="1117" spans="9:9" x14ac:dyDescent="0.25">
      <c r="I1117"/>
    </row>
    <row r="1118" spans="9:9" x14ac:dyDescent="0.25">
      <c r="I1118"/>
    </row>
    <row r="1119" spans="9:9" x14ac:dyDescent="0.25">
      <c r="I1119"/>
    </row>
    <row r="1120" spans="9:9" x14ac:dyDescent="0.25">
      <c r="I1120"/>
    </row>
    <row r="1121" spans="9:9" x14ac:dyDescent="0.25">
      <c r="I1121"/>
    </row>
    <row r="1122" spans="9:9" x14ac:dyDescent="0.25">
      <c r="I1122"/>
    </row>
    <row r="1123" spans="9:9" x14ac:dyDescent="0.25">
      <c r="I1123"/>
    </row>
    <row r="1124" spans="9:9" x14ac:dyDescent="0.25">
      <c r="I1124"/>
    </row>
    <row r="1125" spans="9:9" x14ac:dyDescent="0.25">
      <c r="I1125"/>
    </row>
    <row r="1126" spans="9:9" x14ac:dyDescent="0.25">
      <c r="I1126"/>
    </row>
    <row r="1127" spans="9:9" x14ac:dyDescent="0.25">
      <c r="I1127"/>
    </row>
    <row r="1128" spans="9:9" x14ac:dyDescent="0.25">
      <c r="I1128"/>
    </row>
    <row r="1129" spans="9:9" x14ac:dyDescent="0.25">
      <c r="I1129"/>
    </row>
    <row r="1130" spans="9:9" x14ac:dyDescent="0.25">
      <c r="I1130"/>
    </row>
    <row r="1131" spans="9:9" x14ac:dyDescent="0.25">
      <c r="I1131"/>
    </row>
    <row r="1132" spans="9:9" x14ac:dyDescent="0.25">
      <c r="I1132"/>
    </row>
    <row r="1133" spans="9:9" x14ac:dyDescent="0.25">
      <c r="I1133"/>
    </row>
    <row r="1134" spans="9:9" x14ac:dyDescent="0.25">
      <c r="I1134"/>
    </row>
    <row r="1135" spans="9:9" x14ac:dyDescent="0.25">
      <c r="I1135"/>
    </row>
    <row r="1136" spans="9:9" x14ac:dyDescent="0.25">
      <c r="I1136"/>
    </row>
    <row r="1137" spans="9:9" x14ac:dyDescent="0.25">
      <c r="I1137"/>
    </row>
    <row r="1138" spans="9:9" x14ac:dyDescent="0.25">
      <c r="I1138"/>
    </row>
    <row r="1139" spans="9:9" x14ac:dyDescent="0.25">
      <c r="I1139"/>
    </row>
    <row r="1140" spans="9:9" x14ac:dyDescent="0.25">
      <c r="I1140"/>
    </row>
    <row r="1141" spans="9:9" x14ac:dyDescent="0.25">
      <c r="I1141"/>
    </row>
    <row r="1142" spans="9:9" x14ac:dyDescent="0.25">
      <c r="I1142"/>
    </row>
    <row r="1143" spans="9:9" x14ac:dyDescent="0.25">
      <c r="I1143"/>
    </row>
    <row r="1144" spans="9:9" x14ac:dyDescent="0.25">
      <c r="I1144"/>
    </row>
    <row r="1145" spans="9:9" x14ac:dyDescent="0.25">
      <c r="I1145"/>
    </row>
    <row r="1146" spans="9:9" x14ac:dyDescent="0.25">
      <c r="I1146"/>
    </row>
    <row r="1147" spans="9:9" x14ac:dyDescent="0.25">
      <c r="I1147"/>
    </row>
    <row r="1148" spans="9:9" x14ac:dyDescent="0.25">
      <c r="I1148"/>
    </row>
    <row r="1149" spans="9:9" x14ac:dyDescent="0.25">
      <c r="I1149"/>
    </row>
    <row r="1150" spans="9:9" x14ac:dyDescent="0.25">
      <c r="I1150"/>
    </row>
    <row r="1151" spans="9:9" x14ac:dyDescent="0.25">
      <c r="I1151"/>
    </row>
    <row r="1152" spans="9:9" x14ac:dyDescent="0.25">
      <c r="I1152"/>
    </row>
    <row r="1153" spans="9:9" x14ac:dyDescent="0.25">
      <c r="I1153"/>
    </row>
    <row r="1154" spans="9:9" x14ac:dyDescent="0.25">
      <c r="I1154"/>
    </row>
    <row r="1155" spans="9:9" x14ac:dyDescent="0.25">
      <c r="I1155"/>
    </row>
    <row r="1156" spans="9:9" x14ac:dyDescent="0.25">
      <c r="I1156"/>
    </row>
    <row r="1157" spans="9:9" x14ac:dyDescent="0.25">
      <c r="I1157"/>
    </row>
    <row r="1158" spans="9:9" x14ac:dyDescent="0.25">
      <c r="I1158"/>
    </row>
    <row r="1159" spans="9:9" x14ac:dyDescent="0.25">
      <c r="I1159"/>
    </row>
    <row r="1160" spans="9:9" x14ac:dyDescent="0.25">
      <c r="I1160"/>
    </row>
    <row r="1161" spans="9:9" x14ac:dyDescent="0.25">
      <c r="I1161"/>
    </row>
    <row r="1162" spans="9:9" x14ac:dyDescent="0.25">
      <c r="I1162"/>
    </row>
    <row r="1163" spans="9:9" x14ac:dyDescent="0.25">
      <c r="I1163"/>
    </row>
    <row r="1164" spans="9:9" x14ac:dyDescent="0.25">
      <c r="I1164"/>
    </row>
    <row r="1165" spans="9:9" x14ac:dyDescent="0.25">
      <c r="I1165"/>
    </row>
    <row r="1166" spans="9:9" x14ac:dyDescent="0.25">
      <c r="I1166"/>
    </row>
    <row r="1167" spans="9:9" x14ac:dyDescent="0.25">
      <c r="I1167"/>
    </row>
    <row r="1168" spans="9:9" x14ac:dyDescent="0.25">
      <c r="I1168"/>
    </row>
    <row r="1169" spans="9:9" x14ac:dyDescent="0.25">
      <c r="I1169"/>
    </row>
    <row r="1170" spans="9:9" x14ac:dyDescent="0.25">
      <c r="I1170"/>
    </row>
    <row r="1171" spans="9:9" x14ac:dyDescent="0.25">
      <c r="I1171"/>
    </row>
    <row r="1172" spans="9:9" x14ac:dyDescent="0.25">
      <c r="I1172"/>
    </row>
    <row r="1173" spans="9:9" x14ac:dyDescent="0.25">
      <c r="I1173"/>
    </row>
    <row r="1174" spans="9:9" x14ac:dyDescent="0.25">
      <c r="I1174"/>
    </row>
    <row r="1175" spans="9:9" x14ac:dyDescent="0.25">
      <c r="I1175"/>
    </row>
    <row r="1176" spans="9:9" x14ac:dyDescent="0.25">
      <c r="I1176"/>
    </row>
    <row r="1177" spans="9:9" x14ac:dyDescent="0.25">
      <c r="I1177"/>
    </row>
    <row r="1178" spans="9:9" x14ac:dyDescent="0.25">
      <c r="I1178"/>
    </row>
  </sheetData>
  <conditionalFormatting sqref="N3:N43">
    <cfRule type="colorScale" priority="10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3:I43">
    <cfRule type="duplicateValues" dxfId="0" priority="110"/>
  </conditionalFormatting>
  <pageMargins left="0.511811024" right="0.511811024" top="0.78740157499999996" bottom="0.78740157499999996" header="0.31496062000000002" footer="0.31496062000000002"/>
  <pageSetup paperSize="9" orientation="portrait" horizontalDpi="4294967294" verticalDpi="4294967294" r:id="rId1"/>
  <drawing r:id="rId2"/>
  <legacyDrawing r:id="rId3"/>
  <controls>
    <mc:AlternateContent xmlns:mc="http://schemas.openxmlformats.org/markup-compatibility/2006">
      <mc:Choice Requires="x14">
        <control shapeId="14338" r:id="rId4" name="CommandButton1">
          <controlPr defaultSize="0" autoLine="0" r:id="rId5">
            <anchor moveWithCells="1">
              <from>
                <xdr:col>15</xdr:col>
                <xdr:colOff>47625</xdr:colOff>
                <xdr:row>2</xdr:row>
                <xdr:rowOff>28575</xdr:rowOff>
              </from>
              <to>
                <xdr:col>19</xdr:col>
                <xdr:colOff>419100</xdr:colOff>
                <xdr:row>4</xdr:row>
                <xdr:rowOff>152400</xdr:rowOff>
              </to>
            </anchor>
          </controlPr>
        </control>
      </mc:Choice>
      <mc:Fallback>
        <control shapeId="14338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3">
    <tabColor theme="9" tint="-0.249977111117893"/>
  </sheetPr>
  <dimension ref="B2:V232"/>
  <sheetViews>
    <sheetView showGridLines="0" tabSelected="1" zoomScale="85" zoomScaleNormal="85" workbookViewId="0">
      <selection activeCell="D91" sqref="D91"/>
    </sheetView>
  </sheetViews>
  <sheetFormatPr defaultRowHeight="15" x14ac:dyDescent="0.25"/>
  <cols>
    <col min="2" max="2" width="13.28515625" bestFit="1" customWidth="1"/>
  </cols>
  <sheetData>
    <row r="2" spans="2:22" x14ac:dyDescent="0.25">
      <c r="B2" s="107" t="s">
        <v>984</v>
      </c>
      <c r="C2" s="107"/>
      <c r="D2" s="107"/>
      <c r="E2" s="107"/>
    </row>
    <row r="3" spans="2:22" x14ac:dyDescent="0.25">
      <c r="B3" s="69" t="s">
        <v>974</v>
      </c>
      <c r="C3" s="70" t="s">
        <v>1291</v>
      </c>
      <c r="D3" s="61">
        <v>1978</v>
      </c>
      <c r="E3" s="61">
        <v>1982</v>
      </c>
      <c r="F3" s="61">
        <v>1991</v>
      </c>
      <c r="G3" s="61">
        <v>1996</v>
      </c>
      <c r="H3" s="61">
        <v>1997</v>
      </c>
      <c r="I3" s="61">
        <v>1998</v>
      </c>
      <c r="J3" s="61">
        <v>1999</v>
      </c>
      <c r="K3" s="61">
        <v>2000</v>
      </c>
      <c r="L3" s="61">
        <v>2001</v>
      </c>
      <c r="M3" s="61">
        <v>2002</v>
      </c>
      <c r="N3" s="61">
        <v>2003</v>
      </c>
      <c r="O3" s="61">
        <v>2004</v>
      </c>
      <c r="P3" s="61">
        <v>2005</v>
      </c>
      <c r="Q3" s="61">
        <v>2006</v>
      </c>
      <c r="R3" s="61">
        <v>2007</v>
      </c>
      <c r="S3" s="61">
        <v>2008</v>
      </c>
      <c r="T3" s="61">
        <v>2010</v>
      </c>
      <c r="U3" s="61">
        <v>2011</v>
      </c>
      <c r="V3" s="61">
        <v>2012</v>
      </c>
    </row>
    <row r="4" spans="2:22" x14ac:dyDescent="0.25">
      <c r="B4" s="65" t="s">
        <v>107</v>
      </c>
      <c r="C4" s="72">
        <v>1</v>
      </c>
      <c r="D4" s="66" t="str">
        <f>IF(COUNTIFS(Dados!$E:$E,$B4,Dados!$C:$C,D$3)=0,"",SUMIFS(Dados!$G:$G,Dados!$E:$E,$B4,Dados!$C:$C,D$3)/COUNTIFS(Dados!$E:$E,$B4,Dados!$C:$C,D$3))</f>
        <v/>
      </c>
      <c r="E4" s="66" t="str">
        <f>IF(COUNTIFS(Dados!$E:$E,$B4,Dados!$C:$C,E$3)=0,"",SUMIFS(Dados!$G:$G,Dados!$E:$E,$B4,Dados!$C:$C,E$3)/COUNTIFS(Dados!$E:$E,$B4,Dados!$C:$C,E$3))</f>
        <v/>
      </c>
      <c r="F4" s="66" t="str">
        <f>IF(COUNTIFS(Dados!$E:$E,$B4,Dados!$C:$C,F$3)=0,"",SUMIFS(Dados!$G:$G,Dados!$E:$E,$B4,Dados!$C:$C,F$3)/COUNTIFS(Dados!$E:$E,$B4,Dados!$C:$C,F$3))</f>
        <v/>
      </c>
      <c r="G4" s="66" t="str">
        <f>IF(COUNTIFS(Dados!$E:$E,$B4,Dados!$C:$C,G$3)=0,"",SUMIFS(Dados!$G:$G,Dados!$E:$E,$B4,Dados!$C:$C,G$3)/COUNTIFS(Dados!$E:$E,$B4,Dados!$C:$C,G$3))</f>
        <v/>
      </c>
      <c r="H4" s="66" t="str">
        <f>IF(COUNTIFS(Dados!$E:$E,$B4,Dados!$C:$C,H$3)=0,"",SUMIFS(Dados!$G:$G,Dados!$E:$E,$B4,Dados!$C:$C,H$3)/COUNTIFS(Dados!$E:$E,$B4,Dados!$C:$C,H$3))</f>
        <v/>
      </c>
      <c r="I4" s="66" t="str">
        <f>IF(COUNTIFS(Dados!$E:$E,$B4,Dados!$C:$C,I$3)=0,"",SUMIFS(Dados!$G:$G,Dados!$E:$E,$B4,Dados!$C:$C,I$3)/COUNTIFS(Dados!$E:$E,$B4,Dados!$C:$C,I$3))</f>
        <v/>
      </c>
      <c r="J4" s="66" t="str">
        <f>IF(COUNTIFS(Dados!$E:$E,$B4,Dados!$C:$C,J$3)=0,"",SUMIFS(Dados!$G:$G,Dados!$E:$E,$B4,Dados!$C:$C,J$3)/COUNTIFS(Dados!$E:$E,$B4,Dados!$C:$C,J$3))</f>
        <v/>
      </c>
      <c r="K4" s="66" t="str">
        <f>IF(COUNTIFS(Dados!$E:$E,$B4,Dados!$C:$C,K$3)=0,"",SUMIFS(Dados!$G:$G,Dados!$E:$E,$B4,Dados!$C:$C,K$3)/COUNTIFS(Dados!$E:$E,$B4,Dados!$C:$C,K$3))</f>
        <v/>
      </c>
      <c r="L4" s="66">
        <f>IF(COUNTIFS(Dados!$E:$E,$B4,Dados!$C:$C,L$3)=0,"",SUMIFS(Dados!$G:$G,Dados!$E:$E,$B4,Dados!$C:$C,L$3)/COUNTIFS(Dados!$E:$E,$B4,Dados!$C:$C,L$3))</f>
        <v>0.78258067126373032</v>
      </c>
      <c r="M4" s="66">
        <f>IF(COUNTIFS(Dados!$E:$E,$B4,Dados!$C:$C,M$3)=0,"",SUMIFS(Dados!$G:$G,Dados!$E:$E,$B4,Dados!$C:$C,M$3)/COUNTIFS(Dados!$E:$E,$B4,Dados!$C:$C,M$3))</f>
        <v>0.75904341518181506</v>
      </c>
      <c r="N4" s="66">
        <f>IF(COUNTIFS(Dados!$E:$E,$B4,Dados!$C:$C,N$3)=0,"",SUMIFS(Dados!$G:$G,Dados!$E:$E,$B4,Dados!$C:$C,N$3)/COUNTIFS(Dados!$E:$E,$B4,Dados!$C:$C,N$3))</f>
        <v>0.92638069867071471</v>
      </c>
      <c r="O4" s="66" t="str">
        <f>IF(COUNTIFS(Dados!$E:$E,$B4,Dados!$C:$C,O$3)=0,"",SUMIFS(Dados!$G:$G,Dados!$E:$E,$B4,Dados!$C:$C,O$3)/COUNTIFS(Dados!$E:$E,$B4,Dados!$C:$C,O$3))</f>
        <v/>
      </c>
      <c r="P4" s="66" t="str">
        <f>IF(COUNTIFS(Dados!$E:$E,$B4,Dados!$C:$C,P$3)=0,"",SUMIFS(Dados!$G:$G,Dados!$E:$E,$B4,Dados!$C:$C,P$3)/COUNTIFS(Dados!$E:$E,$B4,Dados!$C:$C,P$3))</f>
        <v/>
      </c>
      <c r="Q4" s="66" t="str">
        <f>IF(COUNTIFS(Dados!$E:$E,$B4,Dados!$C:$C,Q$3)=0,"",SUMIFS(Dados!$G:$G,Dados!$E:$E,$B4,Dados!$C:$C,Q$3)/COUNTIFS(Dados!$E:$E,$B4,Dados!$C:$C,Q$3))</f>
        <v/>
      </c>
      <c r="R4" s="66" t="str">
        <f>IF(COUNTIFS(Dados!$E:$E,$B4,Dados!$C:$C,R$3)=0,"",SUMIFS(Dados!$G:$G,Dados!$E:$E,$B4,Dados!$C:$C,R$3)/COUNTIFS(Dados!$E:$E,$B4,Dados!$C:$C,R$3))</f>
        <v/>
      </c>
      <c r="S4" s="66" t="str">
        <f>IF(COUNTIFS(Dados!$E:$E,$B4,Dados!$C:$C,S$3)=0,"",SUMIFS(Dados!$G:$G,Dados!$E:$E,$B4,Dados!$C:$C,S$3)/COUNTIFS(Dados!$E:$E,$B4,Dados!$C:$C,S$3))</f>
        <v/>
      </c>
      <c r="T4" s="66" t="str">
        <f>IF(COUNTIFS(Dados!$E:$E,$B4,Dados!$C:$C,T$3)=0,"",SUMIFS(Dados!$G:$G,Dados!$E:$E,$B4,Dados!$C:$C,T$3)/COUNTIFS(Dados!$E:$E,$B4,Dados!$C:$C,T$3))</f>
        <v/>
      </c>
      <c r="U4" s="66" t="str">
        <f>IF(COUNTIFS(Dados!$E:$E,$B4,Dados!$C:$C,U$3)=0,"",SUMIFS(Dados!$G:$G,Dados!$E:$E,$B4,Dados!$C:$C,U$3)/COUNTIFS(Dados!$E:$E,$B4,Dados!$C:$C,U$3))</f>
        <v/>
      </c>
      <c r="V4" s="66" t="str">
        <f>IF(COUNTIFS(Dados!$E:$E,$B4,Dados!$C:$C,V$3)=0,"",SUMIFS(Dados!$G:$G,Dados!$E:$E,$B4,Dados!$C:$C,V$3)/COUNTIFS(Dados!$E:$E,$B4,Dados!$C:$C,V$3))</f>
        <v/>
      </c>
    </row>
    <row r="5" spans="2:22" x14ac:dyDescent="0.25">
      <c r="B5" s="67" t="s">
        <v>96</v>
      </c>
      <c r="C5" s="71">
        <v>2</v>
      </c>
      <c r="D5" s="68" t="str">
        <f>IF(COUNTIFS(Dados!$E:$E,$B5,Dados!$C:$C,D$3)=0,"",SUMIFS(Dados!$G:$G,Dados!$E:$E,$B5,Dados!$C:$C,D$3)/COUNTIFS(Dados!$E:$E,$B5,Dados!$C:$C,D$3))</f>
        <v/>
      </c>
      <c r="E5" s="68" t="str">
        <f>IF(COUNTIFS(Dados!$E:$E,$B5,Dados!$C:$C,E$3)=0,"",SUMIFS(Dados!$G:$G,Dados!$E:$E,$B5,Dados!$C:$C,E$3)/COUNTIFS(Dados!$E:$E,$B5,Dados!$C:$C,E$3))</f>
        <v/>
      </c>
      <c r="F5" s="68" t="str">
        <f>IF(COUNTIFS(Dados!$E:$E,$B5,Dados!$C:$C,F$3)=0,"",SUMIFS(Dados!$G:$G,Dados!$E:$E,$B5,Dados!$C:$C,F$3)/COUNTIFS(Dados!$E:$E,$B5,Dados!$C:$C,F$3))</f>
        <v/>
      </c>
      <c r="G5" s="68">
        <f>IF(COUNTIFS(Dados!$E:$E,$B5,Dados!$C:$C,G$3)=0,"",SUMIFS(Dados!$G:$G,Dados!$E:$E,$B5,Dados!$C:$C,G$3)/COUNTIFS(Dados!$E:$E,$B5,Dados!$C:$C,G$3))</f>
        <v>0.73874740999999988</v>
      </c>
      <c r="H5" s="68" t="str">
        <f>IF(COUNTIFS(Dados!$E:$E,$B5,Dados!$C:$C,H$3)=0,"",SUMIFS(Dados!$G:$G,Dados!$E:$E,$B5,Dados!$C:$C,H$3)/COUNTIFS(Dados!$E:$E,$B5,Dados!$C:$C,H$3))</f>
        <v/>
      </c>
      <c r="I5" s="68" t="str">
        <f>IF(COUNTIFS(Dados!$E:$E,$B5,Dados!$C:$C,I$3)=0,"",SUMIFS(Dados!$G:$G,Dados!$E:$E,$B5,Dados!$C:$C,I$3)/COUNTIFS(Dados!$E:$E,$B5,Dados!$C:$C,I$3))</f>
        <v/>
      </c>
      <c r="J5" s="68" t="str">
        <f>IF(COUNTIFS(Dados!$E:$E,$B5,Dados!$C:$C,J$3)=0,"",SUMIFS(Dados!$G:$G,Dados!$E:$E,$B5,Dados!$C:$C,J$3)/COUNTIFS(Dados!$E:$E,$B5,Dados!$C:$C,J$3))</f>
        <v/>
      </c>
      <c r="K5" s="68" t="str">
        <f>IF(COUNTIFS(Dados!$E:$E,$B5,Dados!$C:$C,K$3)=0,"",SUMIFS(Dados!$G:$G,Dados!$E:$E,$B5,Dados!$C:$C,K$3)/COUNTIFS(Dados!$E:$E,$B5,Dados!$C:$C,K$3))</f>
        <v/>
      </c>
      <c r="L5" s="68" t="str">
        <f>IF(COUNTIFS(Dados!$E:$E,$B5,Dados!$C:$C,L$3)=0,"",SUMIFS(Dados!$G:$G,Dados!$E:$E,$B5,Dados!$C:$C,L$3)/COUNTIFS(Dados!$E:$E,$B5,Dados!$C:$C,L$3))</f>
        <v/>
      </c>
      <c r="M5" s="68" t="str">
        <f>IF(COUNTIFS(Dados!$E:$E,$B5,Dados!$C:$C,M$3)=0,"",SUMIFS(Dados!$G:$G,Dados!$E:$E,$B5,Dados!$C:$C,M$3)/COUNTIFS(Dados!$E:$E,$B5,Dados!$C:$C,M$3))</f>
        <v/>
      </c>
      <c r="N5" s="68" t="str">
        <f>IF(COUNTIFS(Dados!$E:$E,$B5,Dados!$C:$C,N$3)=0,"",SUMIFS(Dados!$G:$G,Dados!$E:$E,$B5,Dados!$C:$C,N$3)/COUNTIFS(Dados!$E:$E,$B5,Dados!$C:$C,N$3))</f>
        <v/>
      </c>
      <c r="O5" s="68" t="str">
        <f>IF(COUNTIFS(Dados!$E:$E,$B5,Dados!$C:$C,O$3)=0,"",SUMIFS(Dados!$G:$G,Dados!$E:$E,$B5,Dados!$C:$C,O$3)/COUNTIFS(Dados!$E:$E,$B5,Dados!$C:$C,O$3))</f>
        <v/>
      </c>
      <c r="P5" s="68">
        <f>IF(COUNTIFS(Dados!$E:$E,$B5,Dados!$C:$C,P$3)=0,"",SUMIFS(Dados!$G:$G,Dados!$E:$E,$B5,Dados!$C:$C,P$3)/COUNTIFS(Dados!$E:$E,$B5,Dados!$C:$C,P$3))</f>
        <v>0.85222794038844818</v>
      </c>
      <c r="Q5" s="68" t="str">
        <f>IF(COUNTIFS(Dados!$E:$E,$B5,Dados!$C:$C,Q$3)=0,"",SUMIFS(Dados!$G:$G,Dados!$E:$E,$B5,Dados!$C:$C,Q$3)/COUNTIFS(Dados!$E:$E,$B5,Dados!$C:$C,Q$3))</f>
        <v/>
      </c>
      <c r="R5" s="68">
        <f>IF(COUNTIFS(Dados!$E:$E,$B5,Dados!$C:$C,R$3)=0,"",SUMIFS(Dados!$G:$G,Dados!$E:$E,$B5,Dados!$C:$C,R$3)/COUNTIFS(Dados!$E:$E,$B5,Dados!$C:$C,R$3))</f>
        <v>0.83892997222715215</v>
      </c>
      <c r="S5" s="68" t="str">
        <f>IF(COUNTIFS(Dados!$E:$E,$B5,Dados!$C:$C,S$3)=0,"",SUMIFS(Dados!$G:$G,Dados!$E:$E,$B5,Dados!$C:$C,S$3)/COUNTIFS(Dados!$E:$E,$B5,Dados!$C:$C,S$3))</f>
        <v/>
      </c>
      <c r="T5" s="68" t="str">
        <f>IF(COUNTIFS(Dados!$E:$E,$B5,Dados!$C:$C,T$3)=0,"",SUMIFS(Dados!$G:$G,Dados!$E:$E,$B5,Dados!$C:$C,T$3)/COUNTIFS(Dados!$E:$E,$B5,Dados!$C:$C,T$3))</f>
        <v/>
      </c>
      <c r="U5" s="68" t="str">
        <f>IF(COUNTIFS(Dados!$E:$E,$B5,Dados!$C:$C,U$3)=0,"",SUMIFS(Dados!$G:$G,Dados!$E:$E,$B5,Dados!$C:$C,U$3)/COUNTIFS(Dados!$E:$E,$B5,Dados!$C:$C,U$3))</f>
        <v/>
      </c>
      <c r="V5" s="68" t="str">
        <f>IF(COUNTIFS(Dados!$E:$E,$B5,Dados!$C:$C,V$3)=0,"",SUMIFS(Dados!$G:$G,Dados!$E:$E,$B5,Dados!$C:$C,V$3)/COUNTIFS(Dados!$E:$E,$B5,Dados!$C:$C,V$3))</f>
        <v/>
      </c>
    </row>
    <row r="6" spans="2:22" x14ac:dyDescent="0.25">
      <c r="B6" s="65" t="s">
        <v>1297</v>
      </c>
      <c r="C6" s="72">
        <v>3</v>
      </c>
      <c r="D6" s="66" t="str">
        <f>IF(COUNTIFS(Dados!$E:$E,$B6,Dados!$C:$C,D$3)=0,"",SUMIFS(Dados!$G:$G,Dados!$E:$E,$B6,Dados!$C:$C,D$3)/COUNTIFS(Dados!$E:$E,$B6,Dados!$C:$C,D$3))</f>
        <v/>
      </c>
      <c r="E6" s="66" t="str">
        <f>IF(COUNTIFS(Dados!$E:$E,$B6,Dados!$C:$C,E$3)=0,"",SUMIFS(Dados!$G:$G,Dados!$E:$E,$B6,Dados!$C:$C,E$3)/COUNTIFS(Dados!$E:$E,$B6,Dados!$C:$C,E$3))</f>
        <v/>
      </c>
      <c r="F6" s="66" t="str">
        <f>IF(COUNTIFS(Dados!$E:$E,$B6,Dados!$C:$C,F$3)=0,"",SUMIFS(Dados!$G:$G,Dados!$E:$E,$B6,Dados!$C:$C,F$3)/COUNTIFS(Dados!$E:$E,$B6,Dados!$C:$C,F$3))</f>
        <v/>
      </c>
      <c r="G6" s="66" t="str">
        <f>IF(COUNTIFS(Dados!$E:$E,$B6,Dados!$C:$C,G$3)=0,"",SUMIFS(Dados!$G:$G,Dados!$E:$E,$B6,Dados!$C:$C,G$3)/COUNTIFS(Dados!$E:$E,$B6,Dados!$C:$C,G$3))</f>
        <v/>
      </c>
      <c r="H6" s="66" t="str">
        <f>IF(COUNTIFS(Dados!$E:$E,$B6,Dados!$C:$C,H$3)=0,"",SUMIFS(Dados!$G:$G,Dados!$E:$E,$B6,Dados!$C:$C,H$3)/COUNTIFS(Dados!$E:$E,$B6,Dados!$C:$C,H$3))</f>
        <v/>
      </c>
      <c r="I6" s="66" t="str">
        <f>IF(COUNTIFS(Dados!$E:$E,$B6,Dados!$C:$C,I$3)=0,"",SUMIFS(Dados!$G:$G,Dados!$E:$E,$B6,Dados!$C:$C,I$3)/COUNTIFS(Dados!$E:$E,$B6,Dados!$C:$C,I$3))</f>
        <v/>
      </c>
      <c r="J6" s="66" t="str">
        <f>IF(COUNTIFS(Dados!$E:$E,$B6,Dados!$C:$C,J$3)=0,"",SUMIFS(Dados!$G:$G,Dados!$E:$E,$B6,Dados!$C:$C,J$3)/COUNTIFS(Dados!$E:$E,$B6,Dados!$C:$C,J$3))</f>
        <v/>
      </c>
      <c r="K6" s="66" t="str">
        <f>IF(COUNTIFS(Dados!$E:$E,$B6,Dados!$C:$C,K$3)=0,"",SUMIFS(Dados!$G:$G,Dados!$E:$E,$B6,Dados!$C:$C,K$3)/COUNTIFS(Dados!$E:$E,$B6,Dados!$C:$C,K$3))</f>
        <v/>
      </c>
      <c r="L6" s="66" t="str">
        <f>IF(COUNTIFS(Dados!$E:$E,$B6,Dados!$C:$C,L$3)=0,"",SUMIFS(Dados!$G:$G,Dados!$E:$E,$B6,Dados!$C:$C,L$3)/COUNTIFS(Dados!$E:$E,$B6,Dados!$C:$C,L$3))</f>
        <v/>
      </c>
      <c r="M6" s="66" t="str">
        <f>IF(COUNTIFS(Dados!$E:$E,$B6,Dados!$C:$C,M$3)=0,"",SUMIFS(Dados!$G:$G,Dados!$E:$E,$B6,Dados!$C:$C,M$3)/COUNTIFS(Dados!$E:$E,$B6,Dados!$C:$C,M$3))</f>
        <v/>
      </c>
      <c r="N6" s="66" t="str">
        <f>IF(COUNTIFS(Dados!$E:$E,$B6,Dados!$C:$C,N$3)=0,"",SUMIFS(Dados!$G:$G,Dados!$E:$E,$B6,Dados!$C:$C,N$3)/COUNTIFS(Dados!$E:$E,$B6,Dados!$C:$C,N$3))</f>
        <v/>
      </c>
      <c r="O6" s="66" t="str">
        <f>IF(COUNTIFS(Dados!$E:$E,$B6,Dados!$C:$C,O$3)=0,"",SUMIFS(Dados!$G:$G,Dados!$E:$E,$B6,Dados!$C:$C,O$3)/COUNTIFS(Dados!$E:$E,$B6,Dados!$C:$C,O$3))</f>
        <v/>
      </c>
      <c r="P6" s="66" t="str">
        <f>IF(COUNTIFS(Dados!$E:$E,$B6,Dados!$C:$C,P$3)=0,"",SUMIFS(Dados!$G:$G,Dados!$E:$E,$B6,Dados!$C:$C,P$3)/COUNTIFS(Dados!$E:$E,$B6,Dados!$C:$C,P$3))</f>
        <v/>
      </c>
      <c r="Q6" s="66" t="str">
        <f>IF(COUNTIFS(Dados!$E:$E,$B6,Dados!$C:$C,Q$3)=0,"",SUMIFS(Dados!$G:$G,Dados!$E:$E,$B6,Dados!$C:$C,Q$3)/COUNTIFS(Dados!$E:$E,$B6,Dados!$C:$C,Q$3))</f>
        <v/>
      </c>
      <c r="R6" s="66" t="str">
        <f>IF(COUNTIFS(Dados!$E:$E,$B6,Dados!$C:$C,R$3)=0,"",SUMIFS(Dados!$G:$G,Dados!$E:$E,$B6,Dados!$C:$C,R$3)/COUNTIFS(Dados!$E:$E,$B6,Dados!$C:$C,R$3))</f>
        <v/>
      </c>
      <c r="S6" s="66" t="str">
        <f>IF(COUNTIFS(Dados!$E:$E,$B6,Dados!$C:$C,S$3)=0,"",SUMIFS(Dados!$G:$G,Dados!$E:$E,$B6,Dados!$C:$C,S$3)/COUNTIFS(Dados!$E:$E,$B6,Dados!$C:$C,S$3))</f>
        <v/>
      </c>
      <c r="T6" s="66" t="str">
        <f>IF(COUNTIFS(Dados!$E:$E,$B6,Dados!$C:$C,T$3)=0,"",SUMIFS(Dados!$G:$G,Dados!$E:$E,$B6,Dados!$C:$C,T$3)/COUNTIFS(Dados!$E:$E,$B6,Dados!$C:$C,T$3))</f>
        <v/>
      </c>
      <c r="U6" s="66" t="str">
        <f>IF(COUNTIFS(Dados!$E:$E,$B6,Dados!$C:$C,U$3)=0,"",SUMIFS(Dados!$G:$G,Dados!$E:$E,$B6,Dados!$C:$C,U$3)/COUNTIFS(Dados!$E:$E,$B6,Dados!$C:$C,U$3))</f>
        <v/>
      </c>
      <c r="V6" s="66" t="str">
        <f>IF(COUNTIFS(Dados!$E:$E,$B6,Dados!$C:$C,V$3)=0,"",SUMIFS(Dados!$G:$G,Dados!$E:$E,$B6,Dados!$C:$C,V$3)/COUNTIFS(Dados!$E:$E,$B6,Dados!$C:$C,V$3))</f>
        <v/>
      </c>
    </row>
    <row r="7" spans="2:22" x14ac:dyDescent="0.25">
      <c r="B7" s="67" t="s">
        <v>1303</v>
      </c>
      <c r="C7" s="71">
        <v>4</v>
      </c>
      <c r="D7" s="68" t="str">
        <f>IF(COUNTIFS(Dados!$E:$E,$B7,Dados!$C:$C,D$3)=0,"",SUMIFS(Dados!$G:$G,Dados!$E:$E,$B7,Dados!$C:$C,D$3)/COUNTIFS(Dados!$E:$E,$B7,Dados!$C:$C,D$3))</f>
        <v/>
      </c>
      <c r="E7" s="68" t="str">
        <f>IF(COUNTIFS(Dados!$E:$E,$B7,Dados!$C:$C,E$3)=0,"",SUMIFS(Dados!$G:$G,Dados!$E:$E,$B7,Dados!$C:$C,E$3)/COUNTIFS(Dados!$E:$E,$B7,Dados!$C:$C,E$3))</f>
        <v/>
      </c>
      <c r="F7" s="68" t="str">
        <f>IF(COUNTIFS(Dados!$E:$E,$B7,Dados!$C:$C,F$3)=0,"",SUMIFS(Dados!$G:$G,Dados!$E:$E,$B7,Dados!$C:$C,F$3)/COUNTIFS(Dados!$E:$E,$B7,Dados!$C:$C,F$3))</f>
        <v/>
      </c>
      <c r="G7" s="68" t="str">
        <f>IF(COUNTIFS(Dados!$E:$E,$B7,Dados!$C:$C,G$3)=0,"",SUMIFS(Dados!$G:$G,Dados!$E:$E,$B7,Dados!$C:$C,G$3)/COUNTIFS(Dados!$E:$E,$B7,Dados!$C:$C,G$3))</f>
        <v/>
      </c>
      <c r="H7" s="68" t="str">
        <f>IF(COUNTIFS(Dados!$E:$E,$B7,Dados!$C:$C,H$3)=0,"",SUMIFS(Dados!$G:$G,Dados!$E:$E,$B7,Dados!$C:$C,H$3)/COUNTIFS(Dados!$E:$E,$B7,Dados!$C:$C,H$3))</f>
        <v/>
      </c>
      <c r="I7" s="68" t="str">
        <f>IF(COUNTIFS(Dados!$E:$E,$B7,Dados!$C:$C,I$3)=0,"",SUMIFS(Dados!$G:$G,Dados!$E:$E,$B7,Dados!$C:$C,I$3)/COUNTIFS(Dados!$E:$E,$B7,Dados!$C:$C,I$3))</f>
        <v/>
      </c>
      <c r="J7" s="68" t="str">
        <f>IF(COUNTIFS(Dados!$E:$E,$B7,Dados!$C:$C,J$3)=0,"",SUMIFS(Dados!$G:$G,Dados!$E:$E,$B7,Dados!$C:$C,J$3)/COUNTIFS(Dados!$E:$E,$B7,Dados!$C:$C,J$3))</f>
        <v/>
      </c>
      <c r="K7" s="68" t="str">
        <f>IF(COUNTIFS(Dados!$E:$E,$B7,Dados!$C:$C,K$3)=0,"",SUMIFS(Dados!$G:$G,Dados!$E:$E,$B7,Dados!$C:$C,K$3)/COUNTIFS(Dados!$E:$E,$B7,Dados!$C:$C,K$3))</f>
        <v/>
      </c>
      <c r="L7" s="68" t="str">
        <f>IF(COUNTIFS(Dados!$E:$E,$B7,Dados!$C:$C,L$3)=0,"",SUMIFS(Dados!$G:$G,Dados!$E:$E,$B7,Dados!$C:$C,L$3)/COUNTIFS(Dados!$E:$E,$B7,Dados!$C:$C,L$3))</f>
        <v/>
      </c>
      <c r="M7" s="68" t="str">
        <f>IF(COUNTIFS(Dados!$E:$E,$B7,Dados!$C:$C,M$3)=0,"",SUMIFS(Dados!$G:$G,Dados!$E:$E,$B7,Dados!$C:$C,M$3)/COUNTIFS(Dados!$E:$E,$B7,Dados!$C:$C,M$3))</f>
        <v/>
      </c>
      <c r="N7" s="68" t="str">
        <f>IF(COUNTIFS(Dados!$E:$E,$B7,Dados!$C:$C,N$3)=0,"",SUMIFS(Dados!$G:$G,Dados!$E:$E,$B7,Dados!$C:$C,N$3)/COUNTIFS(Dados!$E:$E,$B7,Dados!$C:$C,N$3))</f>
        <v/>
      </c>
      <c r="O7" s="68" t="str">
        <f>IF(COUNTIFS(Dados!$E:$E,$B7,Dados!$C:$C,O$3)=0,"",SUMIFS(Dados!$G:$G,Dados!$E:$E,$B7,Dados!$C:$C,O$3)/COUNTIFS(Dados!$E:$E,$B7,Dados!$C:$C,O$3))</f>
        <v/>
      </c>
      <c r="P7" s="68" t="str">
        <f>IF(COUNTIFS(Dados!$E:$E,$B7,Dados!$C:$C,P$3)=0,"",SUMIFS(Dados!$G:$G,Dados!$E:$E,$B7,Dados!$C:$C,P$3)/COUNTIFS(Dados!$E:$E,$B7,Dados!$C:$C,P$3))</f>
        <v/>
      </c>
      <c r="Q7" s="68" t="str">
        <f>IF(COUNTIFS(Dados!$E:$E,$B7,Dados!$C:$C,Q$3)=0,"",SUMIFS(Dados!$G:$G,Dados!$E:$E,$B7,Dados!$C:$C,Q$3)/COUNTIFS(Dados!$E:$E,$B7,Dados!$C:$C,Q$3))</f>
        <v/>
      </c>
      <c r="R7" s="68" t="str">
        <f>IF(COUNTIFS(Dados!$E:$E,$B7,Dados!$C:$C,R$3)=0,"",SUMIFS(Dados!$G:$G,Dados!$E:$E,$B7,Dados!$C:$C,R$3)/COUNTIFS(Dados!$E:$E,$B7,Dados!$C:$C,R$3))</f>
        <v/>
      </c>
      <c r="S7" s="68" t="str">
        <f>IF(COUNTIFS(Dados!$E:$E,$B7,Dados!$C:$C,S$3)=0,"",SUMIFS(Dados!$G:$G,Dados!$E:$E,$B7,Dados!$C:$C,S$3)/COUNTIFS(Dados!$E:$E,$B7,Dados!$C:$C,S$3))</f>
        <v/>
      </c>
      <c r="T7" s="68" t="str">
        <f>IF(COUNTIFS(Dados!$E:$E,$B7,Dados!$C:$C,T$3)=0,"",SUMIFS(Dados!$G:$G,Dados!$E:$E,$B7,Dados!$C:$C,T$3)/COUNTIFS(Dados!$E:$E,$B7,Dados!$C:$C,T$3))</f>
        <v/>
      </c>
      <c r="U7" s="68" t="str">
        <f>IF(COUNTIFS(Dados!$E:$E,$B7,Dados!$C:$C,U$3)=0,"",SUMIFS(Dados!$G:$G,Dados!$E:$E,$B7,Dados!$C:$C,U$3)/COUNTIFS(Dados!$E:$E,$B7,Dados!$C:$C,U$3))</f>
        <v/>
      </c>
      <c r="V7" s="68" t="str">
        <f>IF(COUNTIFS(Dados!$E:$E,$B7,Dados!$C:$C,V$3)=0,"",SUMIFS(Dados!$G:$G,Dados!$E:$E,$B7,Dados!$C:$C,V$3)/COUNTIFS(Dados!$E:$E,$B7,Dados!$C:$C,V$3))</f>
        <v/>
      </c>
    </row>
    <row r="8" spans="2:22" x14ac:dyDescent="0.25">
      <c r="B8" s="65" t="s">
        <v>1304</v>
      </c>
      <c r="C8" s="72">
        <v>5</v>
      </c>
      <c r="D8" s="66" t="str">
        <f>IF(COUNTIFS(Dados!$E:$E,$B8,Dados!$C:$C,D$3)=0,"",SUMIFS(Dados!$G:$G,Dados!$E:$E,$B8,Dados!$C:$C,D$3)/COUNTIFS(Dados!$E:$E,$B8,Dados!$C:$C,D$3))</f>
        <v/>
      </c>
      <c r="E8" s="66" t="str">
        <f>IF(COUNTIFS(Dados!$E:$E,$B8,Dados!$C:$C,E$3)=0,"",SUMIFS(Dados!$G:$G,Dados!$E:$E,$B8,Dados!$C:$C,E$3)/COUNTIFS(Dados!$E:$E,$B8,Dados!$C:$C,E$3))</f>
        <v/>
      </c>
      <c r="F8" s="66" t="str">
        <f>IF(COUNTIFS(Dados!$E:$E,$B8,Dados!$C:$C,F$3)=0,"",SUMIFS(Dados!$G:$G,Dados!$E:$E,$B8,Dados!$C:$C,F$3)/COUNTIFS(Dados!$E:$E,$B8,Dados!$C:$C,F$3))</f>
        <v/>
      </c>
      <c r="G8" s="66" t="str">
        <f>IF(COUNTIFS(Dados!$E:$E,$B8,Dados!$C:$C,G$3)=0,"",SUMIFS(Dados!$G:$G,Dados!$E:$E,$B8,Dados!$C:$C,G$3)/COUNTIFS(Dados!$E:$E,$B8,Dados!$C:$C,G$3))</f>
        <v/>
      </c>
      <c r="H8" s="66" t="str">
        <f>IF(COUNTIFS(Dados!$E:$E,$B8,Dados!$C:$C,H$3)=0,"",SUMIFS(Dados!$G:$G,Dados!$E:$E,$B8,Dados!$C:$C,H$3)/COUNTIFS(Dados!$E:$E,$B8,Dados!$C:$C,H$3))</f>
        <v/>
      </c>
      <c r="I8" s="66" t="str">
        <f>IF(COUNTIFS(Dados!$E:$E,$B8,Dados!$C:$C,I$3)=0,"",SUMIFS(Dados!$G:$G,Dados!$E:$E,$B8,Dados!$C:$C,I$3)/COUNTIFS(Dados!$E:$E,$B8,Dados!$C:$C,I$3))</f>
        <v/>
      </c>
      <c r="J8" s="66" t="str">
        <f>IF(COUNTIFS(Dados!$E:$E,$B8,Dados!$C:$C,J$3)=0,"",SUMIFS(Dados!$G:$G,Dados!$E:$E,$B8,Dados!$C:$C,J$3)/COUNTIFS(Dados!$E:$E,$B8,Dados!$C:$C,J$3))</f>
        <v/>
      </c>
      <c r="K8" s="66" t="str">
        <f>IF(COUNTIFS(Dados!$E:$E,$B8,Dados!$C:$C,K$3)=0,"",SUMIFS(Dados!$G:$G,Dados!$E:$E,$B8,Dados!$C:$C,K$3)/COUNTIFS(Dados!$E:$E,$B8,Dados!$C:$C,K$3))</f>
        <v/>
      </c>
      <c r="L8" s="66" t="str">
        <f>IF(COUNTIFS(Dados!$E:$E,$B8,Dados!$C:$C,L$3)=0,"",SUMIFS(Dados!$G:$G,Dados!$E:$E,$B8,Dados!$C:$C,L$3)/COUNTIFS(Dados!$E:$E,$B8,Dados!$C:$C,L$3))</f>
        <v/>
      </c>
      <c r="M8" s="66" t="str">
        <f>IF(COUNTIFS(Dados!$E:$E,$B8,Dados!$C:$C,M$3)=0,"",SUMIFS(Dados!$G:$G,Dados!$E:$E,$B8,Dados!$C:$C,M$3)/COUNTIFS(Dados!$E:$E,$B8,Dados!$C:$C,M$3))</f>
        <v/>
      </c>
      <c r="N8" s="66" t="str">
        <f>IF(COUNTIFS(Dados!$E:$E,$B8,Dados!$C:$C,N$3)=0,"",SUMIFS(Dados!$G:$G,Dados!$E:$E,$B8,Dados!$C:$C,N$3)/COUNTIFS(Dados!$E:$E,$B8,Dados!$C:$C,N$3))</f>
        <v/>
      </c>
      <c r="O8" s="66" t="str">
        <f>IF(COUNTIFS(Dados!$E:$E,$B8,Dados!$C:$C,O$3)=0,"",SUMIFS(Dados!$G:$G,Dados!$E:$E,$B8,Dados!$C:$C,O$3)/COUNTIFS(Dados!$E:$E,$B8,Dados!$C:$C,O$3))</f>
        <v/>
      </c>
      <c r="P8" s="66" t="str">
        <f>IF(COUNTIFS(Dados!$E:$E,$B8,Dados!$C:$C,P$3)=0,"",SUMIFS(Dados!$G:$G,Dados!$E:$E,$B8,Dados!$C:$C,P$3)/COUNTIFS(Dados!$E:$E,$B8,Dados!$C:$C,P$3))</f>
        <v/>
      </c>
      <c r="Q8" s="66" t="str">
        <f>IF(COUNTIFS(Dados!$E:$E,$B8,Dados!$C:$C,Q$3)=0,"",SUMIFS(Dados!$G:$G,Dados!$E:$E,$B8,Dados!$C:$C,Q$3)/COUNTIFS(Dados!$E:$E,$B8,Dados!$C:$C,Q$3))</f>
        <v/>
      </c>
      <c r="R8" s="66" t="str">
        <f>IF(COUNTIFS(Dados!$E:$E,$B8,Dados!$C:$C,R$3)=0,"",SUMIFS(Dados!$G:$G,Dados!$E:$E,$B8,Dados!$C:$C,R$3)/COUNTIFS(Dados!$E:$E,$B8,Dados!$C:$C,R$3))</f>
        <v/>
      </c>
      <c r="S8" s="66" t="str">
        <f>IF(COUNTIFS(Dados!$E:$E,$B8,Dados!$C:$C,S$3)=0,"",SUMIFS(Dados!$G:$G,Dados!$E:$E,$B8,Dados!$C:$C,S$3)/COUNTIFS(Dados!$E:$E,$B8,Dados!$C:$C,S$3))</f>
        <v/>
      </c>
      <c r="T8" s="66" t="str">
        <f>IF(COUNTIFS(Dados!$E:$E,$B8,Dados!$C:$C,T$3)=0,"",SUMIFS(Dados!$G:$G,Dados!$E:$E,$B8,Dados!$C:$C,T$3)/COUNTIFS(Dados!$E:$E,$B8,Dados!$C:$C,T$3))</f>
        <v/>
      </c>
      <c r="U8" s="66" t="str">
        <f>IF(COUNTIFS(Dados!$E:$E,$B8,Dados!$C:$C,U$3)=0,"",SUMIFS(Dados!$G:$G,Dados!$E:$E,$B8,Dados!$C:$C,U$3)/COUNTIFS(Dados!$E:$E,$B8,Dados!$C:$C,U$3))</f>
        <v/>
      </c>
      <c r="V8" s="66" t="str">
        <f>IF(COUNTIFS(Dados!$E:$E,$B8,Dados!$C:$C,V$3)=0,"",SUMIFS(Dados!$G:$G,Dados!$E:$E,$B8,Dados!$C:$C,V$3)/COUNTIFS(Dados!$E:$E,$B8,Dados!$C:$C,V$3))</f>
        <v/>
      </c>
    </row>
    <row r="9" spans="2:22" x14ac:dyDescent="0.25">
      <c r="B9" s="67" t="s">
        <v>1298</v>
      </c>
      <c r="C9" s="71">
        <v>6</v>
      </c>
      <c r="D9" s="68" t="str">
        <f>IF(COUNTIFS(Dados!$E:$E,$B9,Dados!$C:$C,D$3)=0,"",SUMIFS(Dados!$G:$G,Dados!$E:$E,$B9,Dados!$C:$C,D$3)/COUNTIFS(Dados!$E:$E,$B9,Dados!$C:$C,D$3))</f>
        <v/>
      </c>
      <c r="E9" s="68" t="str">
        <f>IF(COUNTIFS(Dados!$E:$E,$B9,Dados!$C:$C,E$3)=0,"",SUMIFS(Dados!$G:$G,Dados!$E:$E,$B9,Dados!$C:$C,E$3)/COUNTIFS(Dados!$E:$E,$B9,Dados!$C:$C,E$3))</f>
        <v/>
      </c>
      <c r="F9" s="68" t="str">
        <f>IF(COUNTIFS(Dados!$E:$E,$B9,Dados!$C:$C,F$3)=0,"",SUMIFS(Dados!$G:$G,Dados!$E:$E,$B9,Dados!$C:$C,F$3)/COUNTIFS(Dados!$E:$E,$B9,Dados!$C:$C,F$3))</f>
        <v/>
      </c>
      <c r="G9" s="68" t="str">
        <f>IF(COUNTIFS(Dados!$E:$E,$B9,Dados!$C:$C,G$3)=0,"",SUMIFS(Dados!$G:$G,Dados!$E:$E,$B9,Dados!$C:$C,G$3)/COUNTIFS(Dados!$E:$E,$B9,Dados!$C:$C,G$3))</f>
        <v/>
      </c>
      <c r="H9" s="68" t="str">
        <f>IF(COUNTIFS(Dados!$E:$E,$B9,Dados!$C:$C,H$3)=0,"",SUMIFS(Dados!$G:$G,Dados!$E:$E,$B9,Dados!$C:$C,H$3)/COUNTIFS(Dados!$E:$E,$B9,Dados!$C:$C,H$3))</f>
        <v/>
      </c>
      <c r="I9" s="68" t="str">
        <f>IF(COUNTIFS(Dados!$E:$E,$B9,Dados!$C:$C,I$3)=0,"",SUMIFS(Dados!$G:$G,Dados!$E:$E,$B9,Dados!$C:$C,I$3)/COUNTIFS(Dados!$E:$E,$B9,Dados!$C:$C,I$3))</f>
        <v/>
      </c>
      <c r="J9" s="68" t="str">
        <f>IF(COUNTIFS(Dados!$E:$E,$B9,Dados!$C:$C,J$3)=0,"",SUMIFS(Dados!$G:$G,Dados!$E:$E,$B9,Dados!$C:$C,J$3)/COUNTIFS(Dados!$E:$E,$B9,Dados!$C:$C,J$3))</f>
        <v/>
      </c>
      <c r="K9" s="68" t="str">
        <f>IF(COUNTIFS(Dados!$E:$E,$B9,Dados!$C:$C,K$3)=0,"",SUMIFS(Dados!$G:$G,Dados!$E:$E,$B9,Dados!$C:$C,K$3)/COUNTIFS(Dados!$E:$E,$B9,Dados!$C:$C,K$3))</f>
        <v/>
      </c>
      <c r="L9" s="68" t="str">
        <f>IF(COUNTIFS(Dados!$E:$E,$B9,Dados!$C:$C,L$3)=0,"",SUMIFS(Dados!$G:$G,Dados!$E:$E,$B9,Dados!$C:$C,L$3)/COUNTIFS(Dados!$E:$E,$B9,Dados!$C:$C,L$3))</f>
        <v/>
      </c>
      <c r="M9" s="68" t="str">
        <f>IF(COUNTIFS(Dados!$E:$E,$B9,Dados!$C:$C,M$3)=0,"",SUMIFS(Dados!$G:$G,Dados!$E:$E,$B9,Dados!$C:$C,M$3)/COUNTIFS(Dados!$E:$E,$B9,Dados!$C:$C,M$3))</f>
        <v/>
      </c>
      <c r="N9" s="68" t="str">
        <f>IF(COUNTIFS(Dados!$E:$E,$B9,Dados!$C:$C,N$3)=0,"",SUMIFS(Dados!$G:$G,Dados!$E:$E,$B9,Dados!$C:$C,N$3)/COUNTIFS(Dados!$E:$E,$B9,Dados!$C:$C,N$3))</f>
        <v/>
      </c>
      <c r="O9" s="68" t="str">
        <f>IF(COUNTIFS(Dados!$E:$E,$B9,Dados!$C:$C,O$3)=0,"",SUMIFS(Dados!$G:$G,Dados!$E:$E,$B9,Dados!$C:$C,O$3)/COUNTIFS(Dados!$E:$E,$B9,Dados!$C:$C,O$3))</f>
        <v/>
      </c>
      <c r="P9" s="68" t="str">
        <f>IF(COUNTIFS(Dados!$E:$E,$B9,Dados!$C:$C,P$3)=0,"",SUMIFS(Dados!$G:$G,Dados!$E:$E,$B9,Dados!$C:$C,P$3)/COUNTIFS(Dados!$E:$E,$B9,Dados!$C:$C,P$3))</f>
        <v/>
      </c>
      <c r="Q9" s="68" t="str">
        <f>IF(COUNTIFS(Dados!$E:$E,$B9,Dados!$C:$C,Q$3)=0,"",SUMIFS(Dados!$G:$G,Dados!$E:$E,$B9,Dados!$C:$C,Q$3)/COUNTIFS(Dados!$E:$E,$B9,Dados!$C:$C,Q$3))</f>
        <v/>
      </c>
      <c r="R9" s="68" t="str">
        <f>IF(COUNTIFS(Dados!$E:$E,$B9,Dados!$C:$C,R$3)=0,"",SUMIFS(Dados!$G:$G,Dados!$E:$E,$B9,Dados!$C:$C,R$3)/COUNTIFS(Dados!$E:$E,$B9,Dados!$C:$C,R$3))</f>
        <v/>
      </c>
      <c r="S9" s="68" t="str">
        <f>IF(COUNTIFS(Dados!$E:$E,$B9,Dados!$C:$C,S$3)=0,"",SUMIFS(Dados!$G:$G,Dados!$E:$E,$B9,Dados!$C:$C,S$3)/COUNTIFS(Dados!$E:$E,$B9,Dados!$C:$C,S$3))</f>
        <v/>
      </c>
      <c r="T9" s="68" t="str">
        <f>IF(COUNTIFS(Dados!$E:$E,$B9,Dados!$C:$C,T$3)=0,"",SUMIFS(Dados!$G:$G,Dados!$E:$E,$B9,Dados!$C:$C,T$3)/COUNTIFS(Dados!$E:$E,$B9,Dados!$C:$C,T$3))</f>
        <v/>
      </c>
      <c r="U9" s="68" t="str">
        <f>IF(COUNTIFS(Dados!$E:$E,$B9,Dados!$C:$C,U$3)=0,"",SUMIFS(Dados!$G:$G,Dados!$E:$E,$B9,Dados!$C:$C,U$3)/COUNTIFS(Dados!$E:$E,$B9,Dados!$C:$C,U$3))</f>
        <v/>
      </c>
      <c r="V9" s="68" t="str">
        <f>IF(COUNTIFS(Dados!$E:$E,$B9,Dados!$C:$C,V$3)=0,"",SUMIFS(Dados!$G:$G,Dados!$E:$E,$B9,Dados!$C:$C,V$3)/COUNTIFS(Dados!$E:$E,$B9,Dados!$C:$C,V$3))</f>
        <v/>
      </c>
    </row>
    <row r="10" spans="2:22" x14ac:dyDescent="0.25">
      <c r="B10" s="65" t="s">
        <v>65</v>
      </c>
      <c r="C10" s="72">
        <v>7</v>
      </c>
      <c r="D10" s="66" t="str">
        <f>IF(COUNTIFS(Dados!$E:$E,$B10,Dados!$C:$C,D$3)=0,"",SUMIFS(Dados!$G:$G,Dados!$E:$E,$B10,Dados!$C:$C,D$3)/COUNTIFS(Dados!$E:$E,$B10,Dados!$C:$C,D$3))</f>
        <v/>
      </c>
      <c r="E10" s="66" t="str">
        <f>IF(COUNTIFS(Dados!$E:$E,$B10,Dados!$C:$C,E$3)=0,"",SUMIFS(Dados!$G:$G,Dados!$E:$E,$B10,Dados!$C:$C,E$3)/COUNTIFS(Dados!$E:$E,$B10,Dados!$C:$C,E$3))</f>
        <v/>
      </c>
      <c r="F10" s="66" t="str">
        <f>IF(COUNTIFS(Dados!$E:$E,$B10,Dados!$C:$C,F$3)=0,"",SUMIFS(Dados!$G:$G,Dados!$E:$E,$B10,Dados!$C:$C,F$3)/COUNTIFS(Dados!$E:$E,$B10,Dados!$C:$C,F$3))</f>
        <v/>
      </c>
      <c r="G10" s="66" t="str">
        <f>IF(COUNTIFS(Dados!$E:$E,$B10,Dados!$C:$C,G$3)=0,"",SUMIFS(Dados!$G:$G,Dados!$E:$E,$B10,Dados!$C:$C,G$3)/COUNTIFS(Dados!$E:$E,$B10,Dados!$C:$C,G$3))</f>
        <v/>
      </c>
      <c r="H10" s="66" t="str">
        <f>IF(COUNTIFS(Dados!$E:$E,$B10,Dados!$C:$C,H$3)=0,"",SUMIFS(Dados!$G:$G,Dados!$E:$E,$B10,Dados!$C:$C,H$3)/COUNTIFS(Dados!$E:$E,$B10,Dados!$C:$C,H$3))</f>
        <v/>
      </c>
      <c r="I10" s="66" t="str">
        <f>IF(COUNTIFS(Dados!$E:$E,$B10,Dados!$C:$C,I$3)=0,"",SUMIFS(Dados!$G:$G,Dados!$E:$E,$B10,Dados!$C:$C,I$3)/COUNTIFS(Dados!$E:$E,$B10,Dados!$C:$C,I$3))</f>
        <v/>
      </c>
      <c r="J10" s="66" t="str">
        <f>IF(COUNTIFS(Dados!$E:$E,$B10,Dados!$C:$C,J$3)=0,"",SUMIFS(Dados!$G:$G,Dados!$E:$E,$B10,Dados!$C:$C,J$3)/COUNTIFS(Dados!$E:$E,$B10,Dados!$C:$C,J$3))</f>
        <v/>
      </c>
      <c r="K10" s="66">
        <f>IF(COUNTIFS(Dados!$E:$E,$B10,Dados!$C:$C,K$3)=0,"",SUMIFS(Dados!$G:$G,Dados!$E:$E,$B10,Dados!$C:$C,K$3)/COUNTIFS(Dados!$E:$E,$B10,Dados!$C:$C,K$3))</f>
        <v>0.77738567261223568</v>
      </c>
      <c r="L10" s="66">
        <f>IF(COUNTIFS(Dados!$E:$E,$B10,Dados!$C:$C,L$3)=0,"",SUMIFS(Dados!$G:$G,Dados!$E:$E,$B10,Dados!$C:$C,L$3)/COUNTIFS(Dados!$E:$E,$B10,Dados!$C:$C,L$3))</f>
        <v>0.78735361434122442</v>
      </c>
      <c r="M10" s="66" t="str">
        <f>IF(COUNTIFS(Dados!$E:$E,$B10,Dados!$C:$C,M$3)=0,"",SUMIFS(Dados!$G:$G,Dados!$E:$E,$B10,Dados!$C:$C,M$3)/COUNTIFS(Dados!$E:$E,$B10,Dados!$C:$C,M$3))</f>
        <v/>
      </c>
      <c r="N10" s="66">
        <f>IF(COUNTIFS(Dados!$E:$E,$B10,Dados!$C:$C,N$3)=0,"",SUMIFS(Dados!$G:$G,Dados!$E:$E,$B10,Dados!$C:$C,N$3)/COUNTIFS(Dados!$E:$E,$B10,Dados!$C:$C,N$3))</f>
        <v>0.78862730930075431</v>
      </c>
      <c r="O10" s="66" t="str">
        <f>IF(COUNTIFS(Dados!$E:$E,$B10,Dados!$C:$C,O$3)=0,"",SUMIFS(Dados!$G:$G,Dados!$E:$E,$B10,Dados!$C:$C,O$3)/COUNTIFS(Dados!$E:$E,$B10,Dados!$C:$C,O$3))</f>
        <v/>
      </c>
      <c r="P10" s="66" t="str">
        <f>IF(COUNTIFS(Dados!$E:$E,$B10,Dados!$C:$C,P$3)=0,"",SUMIFS(Dados!$G:$G,Dados!$E:$E,$B10,Dados!$C:$C,P$3)/COUNTIFS(Dados!$E:$E,$B10,Dados!$C:$C,P$3))</f>
        <v/>
      </c>
      <c r="Q10" s="66">
        <f>IF(COUNTIFS(Dados!$E:$E,$B10,Dados!$C:$C,Q$3)=0,"",SUMIFS(Dados!$G:$G,Dados!$E:$E,$B10,Dados!$C:$C,Q$3)/COUNTIFS(Dados!$E:$E,$B10,Dados!$C:$C,Q$3))</f>
        <v>0.77176175850842199</v>
      </c>
      <c r="R10" s="66" t="str">
        <f>IF(COUNTIFS(Dados!$E:$E,$B10,Dados!$C:$C,R$3)=0,"",SUMIFS(Dados!$G:$G,Dados!$E:$E,$B10,Dados!$C:$C,R$3)/COUNTIFS(Dados!$E:$E,$B10,Dados!$C:$C,R$3))</f>
        <v/>
      </c>
      <c r="S10" s="66" t="str">
        <f>IF(COUNTIFS(Dados!$E:$E,$B10,Dados!$C:$C,S$3)=0,"",SUMIFS(Dados!$G:$G,Dados!$E:$E,$B10,Dados!$C:$C,S$3)/COUNTIFS(Dados!$E:$E,$B10,Dados!$C:$C,S$3))</f>
        <v/>
      </c>
      <c r="T10" s="66" t="str">
        <f>IF(COUNTIFS(Dados!$E:$E,$B10,Dados!$C:$C,T$3)=0,"",SUMIFS(Dados!$G:$G,Dados!$E:$E,$B10,Dados!$C:$C,T$3)/COUNTIFS(Dados!$E:$E,$B10,Dados!$C:$C,T$3))</f>
        <v/>
      </c>
      <c r="U10" s="66" t="str">
        <f>IF(COUNTIFS(Dados!$E:$E,$B10,Dados!$C:$C,U$3)=0,"",SUMIFS(Dados!$G:$G,Dados!$E:$E,$B10,Dados!$C:$C,U$3)/COUNTIFS(Dados!$E:$E,$B10,Dados!$C:$C,U$3))</f>
        <v/>
      </c>
      <c r="V10" s="66" t="str">
        <f>IF(COUNTIFS(Dados!$E:$E,$B10,Dados!$C:$C,V$3)=0,"",SUMIFS(Dados!$G:$G,Dados!$E:$E,$B10,Dados!$C:$C,V$3)/COUNTIFS(Dados!$E:$E,$B10,Dados!$C:$C,V$3))</f>
        <v/>
      </c>
    </row>
    <row r="11" spans="2:22" x14ac:dyDescent="0.25">
      <c r="B11" s="67" t="s">
        <v>32</v>
      </c>
      <c r="C11" s="71">
        <v>8</v>
      </c>
      <c r="D11" s="68" t="str">
        <f>IF(COUNTIFS(Dados!$E:$E,$B11,Dados!$C:$C,D$3)=0,"",SUMIFS(Dados!$G:$G,Dados!$E:$E,$B11,Dados!$C:$C,D$3)/COUNTIFS(Dados!$E:$E,$B11,Dados!$C:$C,D$3))</f>
        <v/>
      </c>
      <c r="E11" s="68" t="str">
        <f>IF(COUNTIFS(Dados!$E:$E,$B11,Dados!$C:$C,E$3)=0,"",SUMIFS(Dados!$G:$G,Dados!$E:$E,$B11,Dados!$C:$C,E$3)/COUNTIFS(Dados!$E:$E,$B11,Dados!$C:$C,E$3))</f>
        <v/>
      </c>
      <c r="F11" s="68" t="str">
        <f>IF(COUNTIFS(Dados!$E:$E,$B11,Dados!$C:$C,F$3)=0,"",SUMIFS(Dados!$G:$G,Dados!$E:$E,$B11,Dados!$C:$C,F$3)/COUNTIFS(Dados!$E:$E,$B11,Dados!$C:$C,F$3))</f>
        <v/>
      </c>
      <c r="G11" s="68" t="str">
        <f>IF(COUNTIFS(Dados!$E:$E,$B11,Dados!$C:$C,G$3)=0,"",SUMIFS(Dados!$G:$G,Dados!$E:$E,$B11,Dados!$C:$C,G$3)/COUNTIFS(Dados!$E:$E,$B11,Dados!$C:$C,G$3))</f>
        <v/>
      </c>
      <c r="H11" s="68" t="str">
        <f>IF(COUNTIFS(Dados!$E:$E,$B11,Dados!$C:$C,H$3)=0,"",SUMIFS(Dados!$G:$G,Dados!$E:$E,$B11,Dados!$C:$C,H$3)/COUNTIFS(Dados!$E:$E,$B11,Dados!$C:$C,H$3))</f>
        <v/>
      </c>
      <c r="I11" s="68" t="str">
        <f>IF(COUNTIFS(Dados!$E:$E,$B11,Dados!$C:$C,I$3)=0,"",SUMIFS(Dados!$G:$G,Dados!$E:$E,$B11,Dados!$C:$C,I$3)/COUNTIFS(Dados!$E:$E,$B11,Dados!$C:$C,I$3))</f>
        <v/>
      </c>
      <c r="J11" s="68" t="str">
        <f>IF(COUNTIFS(Dados!$E:$E,$B11,Dados!$C:$C,J$3)=0,"",SUMIFS(Dados!$G:$G,Dados!$E:$E,$B11,Dados!$C:$C,J$3)/COUNTIFS(Dados!$E:$E,$B11,Dados!$C:$C,J$3))</f>
        <v/>
      </c>
      <c r="K11" s="68" t="str">
        <f>IF(COUNTIFS(Dados!$E:$E,$B11,Dados!$C:$C,K$3)=0,"",SUMIFS(Dados!$G:$G,Dados!$E:$E,$B11,Dados!$C:$C,K$3)/COUNTIFS(Dados!$E:$E,$B11,Dados!$C:$C,K$3))</f>
        <v/>
      </c>
      <c r="L11" s="68" t="str">
        <f>IF(COUNTIFS(Dados!$E:$E,$B11,Dados!$C:$C,L$3)=0,"",SUMIFS(Dados!$G:$G,Dados!$E:$E,$B11,Dados!$C:$C,L$3)/COUNTIFS(Dados!$E:$E,$B11,Dados!$C:$C,L$3))</f>
        <v/>
      </c>
      <c r="M11" s="68" t="str">
        <f>IF(COUNTIFS(Dados!$E:$E,$B11,Dados!$C:$C,M$3)=0,"",SUMIFS(Dados!$G:$G,Dados!$E:$E,$B11,Dados!$C:$C,M$3)/COUNTIFS(Dados!$E:$E,$B11,Dados!$C:$C,M$3))</f>
        <v/>
      </c>
      <c r="N11" s="68" t="str">
        <f>IF(COUNTIFS(Dados!$E:$E,$B11,Dados!$C:$C,N$3)=0,"",SUMIFS(Dados!$G:$G,Dados!$E:$E,$B11,Dados!$C:$C,N$3)/COUNTIFS(Dados!$E:$E,$B11,Dados!$C:$C,N$3))</f>
        <v/>
      </c>
      <c r="O11" s="68">
        <f>IF(COUNTIFS(Dados!$E:$E,$B11,Dados!$C:$C,O$3)=0,"",SUMIFS(Dados!$G:$G,Dados!$E:$E,$B11,Dados!$C:$C,O$3)/COUNTIFS(Dados!$E:$E,$B11,Dados!$C:$C,O$3))</f>
        <v>0.79114566953918242</v>
      </c>
      <c r="P11" s="68" t="str">
        <f>IF(COUNTIFS(Dados!$E:$E,$B11,Dados!$C:$C,P$3)=0,"",SUMIFS(Dados!$G:$G,Dados!$E:$E,$B11,Dados!$C:$C,P$3)/COUNTIFS(Dados!$E:$E,$B11,Dados!$C:$C,P$3))</f>
        <v/>
      </c>
      <c r="Q11" s="68" t="str">
        <f>IF(COUNTIFS(Dados!$E:$E,$B11,Dados!$C:$C,Q$3)=0,"",SUMIFS(Dados!$G:$G,Dados!$E:$E,$B11,Dados!$C:$C,Q$3)/COUNTIFS(Dados!$E:$E,$B11,Dados!$C:$C,Q$3))</f>
        <v/>
      </c>
      <c r="R11" s="68">
        <f>IF(COUNTIFS(Dados!$E:$E,$B11,Dados!$C:$C,R$3)=0,"",SUMIFS(Dados!$G:$G,Dados!$E:$E,$B11,Dados!$C:$C,R$3)/COUNTIFS(Dados!$E:$E,$B11,Dados!$C:$C,R$3))</f>
        <v>0.87600847719309405</v>
      </c>
      <c r="S11" s="68" t="str">
        <f>IF(COUNTIFS(Dados!$E:$E,$B11,Dados!$C:$C,S$3)=0,"",SUMIFS(Dados!$G:$G,Dados!$E:$E,$B11,Dados!$C:$C,S$3)/COUNTIFS(Dados!$E:$E,$B11,Dados!$C:$C,S$3))</f>
        <v/>
      </c>
      <c r="T11" s="68" t="str">
        <f>IF(COUNTIFS(Dados!$E:$E,$B11,Dados!$C:$C,T$3)=0,"",SUMIFS(Dados!$G:$G,Dados!$E:$E,$B11,Dados!$C:$C,T$3)/COUNTIFS(Dados!$E:$E,$B11,Dados!$C:$C,T$3))</f>
        <v/>
      </c>
      <c r="U11" s="68" t="str">
        <f>IF(COUNTIFS(Dados!$E:$E,$B11,Dados!$C:$C,U$3)=0,"",SUMIFS(Dados!$G:$G,Dados!$E:$E,$B11,Dados!$C:$C,U$3)/COUNTIFS(Dados!$E:$E,$B11,Dados!$C:$C,U$3))</f>
        <v/>
      </c>
      <c r="V11" s="68" t="str">
        <f>IF(COUNTIFS(Dados!$E:$E,$B11,Dados!$C:$C,V$3)=0,"",SUMIFS(Dados!$G:$G,Dados!$E:$E,$B11,Dados!$C:$C,V$3)/COUNTIFS(Dados!$E:$E,$B11,Dados!$C:$C,V$3))</f>
        <v/>
      </c>
    </row>
    <row r="12" spans="2:22" x14ac:dyDescent="0.25">
      <c r="B12" s="65" t="s">
        <v>44</v>
      </c>
      <c r="C12" s="72">
        <v>9</v>
      </c>
      <c r="D12" s="66" t="str">
        <f>IF(COUNTIFS(Dados!$E:$E,$B12,Dados!$C:$C,D$3)=0,"",SUMIFS(Dados!$G:$G,Dados!$E:$E,$B12,Dados!$C:$C,D$3)/COUNTIFS(Dados!$E:$E,$B12,Dados!$C:$C,D$3))</f>
        <v/>
      </c>
      <c r="E12" s="66" t="str">
        <f>IF(COUNTIFS(Dados!$E:$E,$B12,Dados!$C:$C,E$3)=0,"",SUMIFS(Dados!$G:$G,Dados!$E:$E,$B12,Dados!$C:$C,E$3)/COUNTIFS(Dados!$E:$E,$B12,Dados!$C:$C,E$3))</f>
        <v/>
      </c>
      <c r="F12" s="66" t="str">
        <f>IF(COUNTIFS(Dados!$E:$E,$B12,Dados!$C:$C,F$3)=0,"",SUMIFS(Dados!$G:$G,Dados!$E:$E,$B12,Dados!$C:$C,F$3)/COUNTIFS(Dados!$E:$E,$B12,Dados!$C:$C,F$3))</f>
        <v/>
      </c>
      <c r="G12" s="66" t="str">
        <f>IF(COUNTIFS(Dados!$E:$E,$B12,Dados!$C:$C,G$3)=0,"",SUMIFS(Dados!$G:$G,Dados!$E:$E,$B12,Dados!$C:$C,G$3)/COUNTIFS(Dados!$E:$E,$B12,Dados!$C:$C,G$3))</f>
        <v/>
      </c>
      <c r="H12" s="66" t="str">
        <f>IF(COUNTIFS(Dados!$E:$E,$B12,Dados!$C:$C,H$3)=0,"",SUMIFS(Dados!$G:$G,Dados!$E:$E,$B12,Dados!$C:$C,H$3)/COUNTIFS(Dados!$E:$E,$B12,Dados!$C:$C,H$3))</f>
        <v/>
      </c>
      <c r="I12" s="66" t="str">
        <f>IF(COUNTIFS(Dados!$E:$E,$B12,Dados!$C:$C,I$3)=0,"",SUMIFS(Dados!$G:$G,Dados!$E:$E,$B12,Dados!$C:$C,I$3)/COUNTIFS(Dados!$E:$E,$B12,Dados!$C:$C,I$3))</f>
        <v/>
      </c>
      <c r="J12" s="66" t="str">
        <f>IF(COUNTIFS(Dados!$E:$E,$B12,Dados!$C:$C,J$3)=0,"",SUMIFS(Dados!$G:$G,Dados!$E:$E,$B12,Dados!$C:$C,J$3)/COUNTIFS(Dados!$E:$E,$B12,Dados!$C:$C,J$3))</f>
        <v/>
      </c>
      <c r="K12" s="66" t="str">
        <f>IF(COUNTIFS(Dados!$E:$E,$B12,Dados!$C:$C,K$3)=0,"",SUMIFS(Dados!$G:$G,Dados!$E:$E,$B12,Dados!$C:$C,K$3)/COUNTIFS(Dados!$E:$E,$B12,Dados!$C:$C,K$3))</f>
        <v/>
      </c>
      <c r="L12" s="66" t="str">
        <f>IF(COUNTIFS(Dados!$E:$E,$B12,Dados!$C:$C,L$3)=0,"",SUMIFS(Dados!$G:$G,Dados!$E:$E,$B12,Dados!$C:$C,L$3)/COUNTIFS(Dados!$E:$E,$B12,Dados!$C:$C,L$3))</f>
        <v/>
      </c>
      <c r="M12" s="66" t="str">
        <f>IF(COUNTIFS(Dados!$E:$E,$B12,Dados!$C:$C,M$3)=0,"",SUMIFS(Dados!$G:$G,Dados!$E:$E,$B12,Dados!$C:$C,M$3)/COUNTIFS(Dados!$E:$E,$B12,Dados!$C:$C,M$3))</f>
        <v/>
      </c>
      <c r="N12" s="66" t="str">
        <f>IF(COUNTIFS(Dados!$E:$E,$B12,Dados!$C:$C,N$3)=0,"",SUMIFS(Dados!$G:$G,Dados!$E:$E,$B12,Dados!$C:$C,N$3)/COUNTIFS(Dados!$E:$E,$B12,Dados!$C:$C,N$3))</f>
        <v/>
      </c>
      <c r="O12" s="66" t="str">
        <f>IF(COUNTIFS(Dados!$E:$E,$B12,Dados!$C:$C,O$3)=0,"",SUMIFS(Dados!$G:$G,Dados!$E:$E,$B12,Dados!$C:$C,O$3)/COUNTIFS(Dados!$E:$E,$B12,Dados!$C:$C,O$3))</f>
        <v/>
      </c>
      <c r="P12" s="66" t="str">
        <f>IF(COUNTIFS(Dados!$E:$E,$B12,Dados!$C:$C,P$3)=0,"",SUMIFS(Dados!$G:$G,Dados!$E:$E,$B12,Dados!$C:$C,P$3)/COUNTIFS(Dados!$E:$E,$B12,Dados!$C:$C,P$3))</f>
        <v/>
      </c>
      <c r="Q12" s="66" t="str">
        <f>IF(COUNTIFS(Dados!$E:$E,$B12,Dados!$C:$C,Q$3)=0,"",SUMIFS(Dados!$G:$G,Dados!$E:$E,$B12,Dados!$C:$C,Q$3)/COUNTIFS(Dados!$E:$E,$B12,Dados!$C:$C,Q$3))</f>
        <v/>
      </c>
      <c r="R12" s="66" t="str">
        <f>IF(COUNTIFS(Dados!$E:$E,$B12,Dados!$C:$C,R$3)=0,"",SUMIFS(Dados!$G:$G,Dados!$E:$E,$B12,Dados!$C:$C,R$3)/COUNTIFS(Dados!$E:$E,$B12,Dados!$C:$C,R$3))</f>
        <v/>
      </c>
      <c r="S12" s="66" t="str">
        <f>IF(COUNTIFS(Dados!$E:$E,$B12,Dados!$C:$C,S$3)=0,"",SUMIFS(Dados!$G:$G,Dados!$E:$E,$B12,Dados!$C:$C,S$3)/COUNTIFS(Dados!$E:$E,$B12,Dados!$C:$C,S$3))</f>
        <v/>
      </c>
      <c r="T12" s="66">
        <f>IF(COUNTIFS(Dados!$E:$E,$B12,Dados!$C:$C,T$3)=0,"",SUMIFS(Dados!$G:$G,Dados!$E:$E,$B12,Dados!$C:$C,T$3)/COUNTIFS(Dados!$E:$E,$B12,Dados!$C:$C,T$3))</f>
        <v>0.60358941161412871</v>
      </c>
      <c r="U12" s="66" t="str">
        <f>IF(COUNTIFS(Dados!$E:$E,$B12,Dados!$C:$C,U$3)=0,"",SUMIFS(Dados!$G:$G,Dados!$E:$E,$B12,Dados!$C:$C,U$3)/COUNTIFS(Dados!$E:$E,$B12,Dados!$C:$C,U$3))</f>
        <v/>
      </c>
      <c r="V12" s="66" t="str">
        <f>IF(COUNTIFS(Dados!$E:$E,$B12,Dados!$C:$C,V$3)=0,"",SUMIFS(Dados!$G:$G,Dados!$E:$E,$B12,Dados!$C:$C,V$3)/COUNTIFS(Dados!$E:$E,$B12,Dados!$C:$C,V$3))</f>
        <v/>
      </c>
    </row>
    <row r="13" spans="2:22" x14ac:dyDescent="0.25">
      <c r="B13" s="67" t="s">
        <v>147</v>
      </c>
      <c r="C13" s="71">
        <v>10</v>
      </c>
      <c r="D13" s="68" t="str">
        <f>IF(COUNTIFS(Dados!$E:$E,$B13,Dados!$C:$C,D$3)=0,"",SUMIFS(Dados!$G:$G,Dados!$E:$E,$B13,Dados!$C:$C,D$3)/COUNTIFS(Dados!$E:$E,$B13,Dados!$C:$C,D$3))</f>
        <v/>
      </c>
      <c r="E13" s="68" t="str">
        <f>IF(COUNTIFS(Dados!$E:$E,$B13,Dados!$C:$C,E$3)=0,"",SUMIFS(Dados!$G:$G,Dados!$E:$E,$B13,Dados!$C:$C,E$3)/COUNTIFS(Dados!$E:$E,$B13,Dados!$C:$C,E$3))</f>
        <v/>
      </c>
      <c r="F13" s="68" t="str">
        <f>IF(COUNTIFS(Dados!$E:$E,$B13,Dados!$C:$C,F$3)=0,"",SUMIFS(Dados!$G:$G,Dados!$E:$E,$B13,Dados!$C:$C,F$3)/COUNTIFS(Dados!$E:$E,$B13,Dados!$C:$C,F$3))</f>
        <v/>
      </c>
      <c r="G13" s="68">
        <f>IF(COUNTIFS(Dados!$E:$E,$B13,Dados!$C:$C,G$3)=0,"",SUMIFS(Dados!$G:$G,Dados!$E:$E,$B13,Dados!$C:$C,G$3)/COUNTIFS(Dados!$E:$E,$B13,Dados!$C:$C,G$3))</f>
        <v>0.67901972045454562</v>
      </c>
      <c r="H13" s="68" t="str">
        <f>IF(COUNTIFS(Dados!$E:$E,$B13,Dados!$C:$C,H$3)=0,"",SUMIFS(Dados!$G:$G,Dados!$E:$E,$B13,Dados!$C:$C,H$3)/COUNTIFS(Dados!$E:$E,$B13,Dados!$C:$C,H$3))</f>
        <v/>
      </c>
      <c r="I13" s="68" t="str">
        <f>IF(COUNTIFS(Dados!$E:$E,$B13,Dados!$C:$C,I$3)=0,"",SUMIFS(Dados!$G:$G,Dados!$E:$E,$B13,Dados!$C:$C,I$3)/COUNTIFS(Dados!$E:$E,$B13,Dados!$C:$C,I$3))</f>
        <v/>
      </c>
      <c r="J13" s="68" t="str">
        <f>IF(COUNTIFS(Dados!$E:$E,$B13,Dados!$C:$C,J$3)=0,"",SUMIFS(Dados!$G:$G,Dados!$E:$E,$B13,Dados!$C:$C,J$3)/COUNTIFS(Dados!$E:$E,$B13,Dados!$C:$C,J$3))</f>
        <v/>
      </c>
      <c r="K13" s="68">
        <f>IF(COUNTIFS(Dados!$E:$E,$B13,Dados!$C:$C,K$3)=0,"",SUMIFS(Dados!$G:$G,Dados!$E:$E,$B13,Dados!$C:$C,K$3)/COUNTIFS(Dados!$E:$E,$B13,Dados!$C:$C,K$3))</f>
        <v>0.79766461261197963</v>
      </c>
      <c r="L13" s="68">
        <f>IF(COUNTIFS(Dados!$E:$E,$B13,Dados!$C:$C,L$3)=0,"",SUMIFS(Dados!$G:$G,Dados!$E:$E,$B13,Dados!$C:$C,L$3)/COUNTIFS(Dados!$E:$E,$B13,Dados!$C:$C,L$3))</f>
        <v>0.92259506061243568</v>
      </c>
      <c r="M13" s="68" t="str">
        <f>IF(COUNTIFS(Dados!$E:$E,$B13,Dados!$C:$C,M$3)=0,"",SUMIFS(Dados!$G:$G,Dados!$E:$E,$B13,Dados!$C:$C,M$3)/COUNTIFS(Dados!$E:$E,$B13,Dados!$C:$C,M$3))</f>
        <v/>
      </c>
      <c r="N13" s="68" t="str">
        <f>IF(COUNTIFS(Dados!$E:$E,$B13,Dados!$C:$C,N$3)=0,"",SUMIFS(Dados!$G:$G,Dados!$E:$E,$B13,Dados!$C:$C,N$3)/COUNTIFS(Dados!$E:$E,$B13,Dados!$C:$C,N$3))</f>
        <v/>
      </c>
      <c r="O13" s="68" t="str">
        <f>IF(COUNTIFS(Dados!$E:$E,$B13,Dados!$C:$C,O$3)=0,"",SUMIFS(Dados!$G:$G,Dados!$E:$E,$B13,Dados!$C:$C,O$3)/COUNTIFS(Dados!$E:$E,$B13,Dados!$C:$C,O$3))</f>
        <v/>
      </c>
      <c r="P13" s="68" t="str">
        <f>IF(COUNTIFS(Dados!$E:$E,$B13,Dados!$C:$C,P$3)=0,"",SUMIFS(Dados!$G:$G,Dados!$E:$E,$B13,Dados!$C:$C,P$3)/COUNTIFS(Dados!$E:$E,$B13,Dados!$C:$C,P$3))</f>
        <v/>
      </c>
      <c r="Q13" s="68" t="str">
        <f>IF(COUNTIFS(Dados!$E:$E,$B13,Dados!$C:$C,Q$3)=0,"",SUMIFS(Dados!$G:$G,Dados!$E:$E,$B13,Dados!$C:$C,Q$3)/COUNTIFS(Dados!$E:$E,$B13,Dados!$C:$C,Q$3))</f>
        <v/>
      </c>
      <c r="R13" s="68" t="str">
        <f>IF(COUNTIFS(Dados!$E:$E,$B13,Dados!$C:$C,R$3)=0,"",SUMIFS(Dados!$G:$G,Dados!$E:$E,$B13,Dados!$C:$C,R$3)/COUNTIFS(Dados!$E:$E,$B13,Dados!$C:$C,R$3))</f>
        <v/>
      </c>
      <c r="S13" s="68" t="str">
        <f>IF(COUNTIFS(Dados!$E:$E,$B13,Dados!$C:$C,S$3)=0,"",SUMIFS(Dados!$G:$G,Dados!$E:$E,$B13,Dados!$C:$C,S$3)/COUNTIFS(Dados!$E:$E,$B13,Dados!$C:$C,S$3))</f>
        <v/>
      </c>
      <c r="T13" s="68" t="str">
        <f>IF(COUNTIFS(Dados!$E:$E,$B13,Dados!$C:$C,T$3)=0,"",SUMIFS(Dados!$G:$G,Dados!$E:$E,$B13,Dados!$C:$C,T$3)/COUNTIFS(Dados!$E:$E,$B13,Dados!$C:$C,T$3))</f>
        <v/>
      </c>
      <c r="U13" s="68" t="str">
        <f>IF(COUNTIFS(Dados!$E:$E,$B13,Dados!$C:$C,U$3)=0,"",SUMIFS(Dados!$G:$G,Dados!$E:$E,$B13,Dados!$C:$C,U$3)/COUNTIFS(Dados!$E:$E,$B13,Dados!$C:$C,U$3))</f>
        <v/>
      </c>
      <c r="V13" s="68" t="str">
        <f>IF(COUNTIFS(Dados!$E:$E,$B13,Dados!$C:$C,V$3)=0,"",SUMIFS(Dados!$G:$G,Dados!$E:$E,$B13,Dados!$C:$C,V$3)/COUNTIFS(Dados!$E:$E,$B13,Dados!$C:$C,V$3))</f>
        <v/>
      </c>
    </row>
    <row r="14" spans="2:22" x14ac:dyDescent="0.25">
      <c r="B14" s="65" t="s">
        <v>898</v>
      </c>
      <c r="C14" s="72">
        <v>11</v>
      </c>
      <c r="D14" s="66" t="str">
        <f>IF(COUNTIFS(Dados!$E:$E,$B14,Dados!$C:$C,D$3)=0,"",SUMIFS(Dados!$G:$G,Dados!$E:$E,$B14,Dados!$C:$C,D$3)/COUNTIFS(Dados!$E:$E,$B14,Dados!$C:$C,D$3))</f>
        <v/>
      </c>
      <c r="E14" s="66" t="str">
        <f>IF(COUNTIFS(Dados!$E:$E,$B14,Dados!$C:$C,E$3)=0,"",SUMIFS(Dados!$G:$G,Dados!$E:$E,$B14,Dados!$C:$C,E$3)/COUNTIFS(Dados!$E:$E,$B14,Dados!$C:$C,E$3))</f>
        <v/>
      </c>
      <c r="F14" s="66" t="str">
        <f>IF(COUNTIFS(Dados!$E:$E,$B14,Dados!$C:$C,F$3)=0,"",SUMIFS(Dados!$G:$G,Dados!$E:$E,$B14,Dados!$C:$C,F$3)/COUNTIFS(Dados!$E:$E,$B14,Dados!$C:$C,F$3))</f>
        <v/>
      </c>
      <c r="G14" s="66" t="str">
        <f>IF(COUNTIFS(Dados!$E:$E,$B14,Dados!$C:$C,G$3)=0,"",SUMIFS(Dados!$G:$G,Dados!$E:$E,$B14,Dados!$C:$C,G$3)/COUNTIFS(Dados!$E:$E,$B14,Dados!$C:$C,G$3))</f>
        <v/>
      </c>
      <c r="H14" s="66" t="str">
        <f>IF(COUNTIFS(Dados!$E:$E,$B14,Dados!$C:$C,H$3)=0,"",SUMIFS(Dados!$G:$G,Dados!$E:$E,$B14,Dados!$C:$C,H$3)/COUNTIFS(Dados!$E:$E,$B14,Dados!$C:$C,H$3))</f>
        <v/>
      </c>
      <c r="I14" s="66">
        <f>IF(COUNTIFS(Dados!$E:$E,$B14,Dados!$C:$C,I$3)=0,"",SUMIFS(Dados!$G:$G,Dados!$E:$E,$B14,Dados!$C:$C,I$3)/COUNTIFS(Dados!$E:$E,$B14,Dados!$C:$C,I$3))</f>
        <v>0.15122044433412066</v>
      </c>
      <c r="J14" s="66" t="str">
        <f>IF(COUNTIFS(Dados!$E:$E,$B14,Dados!$C:$C,J$3)=0,"",SUMIFS(Dados!$G:$G,Dados!$E:$E,$B14,Dados!$C:$C,J$3)/COUNTIFS(Dados!$E:$E,$B14,Dados!$C:$C,J$3))</f>
        <v/>
      </c>
      <c r="K14" s="66" t="str">
        <f>IF(COUNTIFS(Dados!$E:$E,$B14,Dados!$C:$C,K$3)=0,"",SUMIFS(Dados!$G:$G,Dados!$E:$E,$B14,Dados!$C:$C,K$3)/COUNTIFS(Dados!$E:$E,$B14,Dados!$C:$C,K$3))</f>
        <v/>
      </c>
      <c r="L14" s="66" t="str">
        <f>IF(COUNTIFS(Dados!$E:$E,$B14,Dados!$C:$C,L$3)=0,"",SUMIFS(Dados!$G:$G,Dados!$E:$E,$B14,Dados!$C:$C,L$3)/COUNTIFS(Dados!$E:$E,$B14,Dados!$C:$C,L$3))</f>
        <v/>
      </c>
      <c r="M14" s="66" t="str">
        <f>IF(COUNTIFS(Dados!$E:$E,$B14,Dados!$C:$C,M$3)=0,"",SUMIFS(Dados!$G:$G,Dados!$E:$E,$B14,Dados!$C:$C,M$3)/COUNTIFS(Dados!$E:$E,$B14,Dados!$C:$C,M$3))</f>
        <v/>
      </c>
      <c r="N14" s="66" t="str">
        <f>IF(COUNTIFS(Dados!$E:$E,$B14,Dados!$C:$C,N$3)=0,"",SUMIFS(Dados!$G:$G,Dados!$E:$E,$B14,Dados!$C:$C,N$3)/COUNTIFS(Dados!$E:$E,$B14,Dados!$C:$C,N$3))</f>
        <v/>
      </c>
      <c r="O14" s="66" t="str">
        <f>IF(COUNTIFS(Dados!$E:$E,$B14,Dados!$C:$C,O$3)=0,"",SUMIFS(Dados!$G:$G,Dados!$E:$E,$B14,Dados!$C:$C,O$3)/COUNTIFS(Dados!$E:$E,$B14,Dados!$C:$C,O$3))</f>
        <v/>
      </c>
      <c r="P14" s="66" t="str">
        <f>IF(COUNTIFS(Dados!$E:$E,$B14,Dados!$C:$C,P$3)=0,"",SUMIFS(Dados!$G:$G,Dados!$E:$E,$B14,Dados!$C:$C,P$3)/COUNTIFS(Dados!$E:$E,$B14,Dados!$C:$C,P$3))</f>
        <v/>
      </c>
      <c r="Q14" s="66" t="str">
        <f>IF(COUNTIFS(Dados!$E:$E,$B14,Dados!$C:$C,Q$3)=0,"",SUMIFS(Dados!$G:$G,Dados!$E:$E,$B14,Dados!$C:$C,Q$3)/COUNTIFS(Dados!$E:$E,$B14,Dados!$C:$C,Q$3))</f>
        <v/>
      </c>
      <c r="R14" s="66" t="str">
        <f>IF(COUNTIFS(Dados!$E:$E,$B14,Dados!$C:$C,R$3)=0,"",SUMIFS(Dados!$G:$G,Dados!$E:$E,$B14,Dados!$C:$C,R$3)/COUNTIFS(Dados!$E:$E,$B14,Dados!$C:$C,R$3))</f>
        <v/>
      </c>
      <c r="S14" s="66" t="str">
        <f>IF(COUNTIFS(Dados!$E:$E,$B14,Dados!$C:$C,S$3)=0,"",SUMIFS(Dados!$G:$G,Dados!$E:$E,$B14,Dados!$C:$C,S$3)/COUNTIFS(Dados!$E:$E,$B14,Dados!$C:$C,S$3))</f>
        <v/>
      </c>
      <c r="T14" s="66" t="str">
        <f>IF(COUNTIFS(Dados!$E:$E,$B14,Dados!$C:$C,T$3)=0,"",SUMIFS(Dados!$G:$G,Dados!$E:$E,$B14,Dados!$C:$C,T$3)/COUNTIFS(Dados!$E:$E,$B14,Dados!$C:$C,T$3))</f>
        <v/>
      </c>
      <c r="U14" s="66" t="str">
        <f>IF(COUNTIFS(Dados!$E:$E,$B14,Dados!$C:$C,U$3)=0,"",SUMIFS(Dados!$G:$G,Dados!$E:$E,$B14,Dados!$C:$C,U$3)/COUNTIFS(Dados!$E:$E,$B14,Dados!$C:$C,U$3))</f>
        <v/>
      </c>
      <c r="V14" s="66" t="str">
        <f>IF(COUNTIFS(Dados!$E:$E,$B14,Dados!$C:$C,V$3)=0,"",SUMIFS(Dados!$G:$G,Dados!$E:$E,$B14,Dados!$C:$C,V$3)/COUNTIFS(Dados!$E:$E,$B14,Dados!$C:$C,V$3))</f>
        <v/>
      </c>
    </row>
    <row r="15" spans="2:22" x14ac:dyDescent="0.25">
      <c r="B15" s="67" t="s">
        <v>1301</v>
      </c>
      <c r="C15" s="71">
        <v>12</v>
      </c>
      <c r="D15" s="68" t="str">
        <f>IF(COUNTIFS(Dados!$E:$E,$B15,Dados!$C:$C,D$3)=0,"",SUMIFS(Dados!$G:$G,Dados!$E:$E,$B15,Dados!$C:$C,D$3)/COUNTIFS(Dados!$E:$E,$B15,Dados!$C:$C,D$3))</f>
        <v/>
      </c>
      <c r="E15" s="68" t="str">
        <f>IF(COUNTIFS(Dados!$E:$E,$B15,Dados!$C:$C,E$3)=0,"",SUMIFS(Dados!$G:$G,Dados!$E:$E,$B15,Dados!$C:$C,E$3)/COUNTIFS(Dados!$E:$E,$B15,Dados!$C:$C,E$3))</f>
        <v/>
      </c>
      <c r="F15" s="68" t="str">
        <f>IF(COUNTIFS(Dados!$E:$E,$B15,Dados!$C:$C,F$3)=0,"",SUMIFS(Dados!$G:$G,Dados!$E:$E,$B15,Dados!$C:$C,F$3)/COUNTIFS(Dados!$E:$E,$B15,Dados!$C:$C,F$3))</f>
        <v/>
      </c>
      <c r="G15" s="68" t="str">
        <f>IF(COUNTIFS(Dados!$E:$E,$B15,Dados!$C:$C,G$3)=0,"",SUMIFS(Dados!$G:$G,Dados!$E:$E,$B15,Dados!$C:$C,G$3)/COUNTIFS(Dados!$E:$E,$B15,Dados!$C:$C,G$3))</f>
        <v/>
      </c>
      <c r="H15" s="68" t="str">
        <f>IF(COUNTIFS(Dados!$E:$E,$B15,Dados!$C:$C,H$3)=0,"",SUMIFS(Dados!$G:$G,Dados!$E:$E,$B15,Dados!$C:$C,H$3)/COUNTIFS(Dados!$E:$E,$B15,Dados!$C:$C,H$3))</f>
        <v/>
      </c>
      <c r="I15" s="68" t="str">
        <f>IF(COUNTIFS(Dados!$E:$E,$B15,Dados!$C:$C,I$3)=0,"",SUMIFS(Dados!$G:$G,Dados!$E:$E,$B15,Dados!$C:$C,I$3)/COUNTIFS(Dados!$E:$E,$B15,Dados!$C:$C,I$3))</f>
        <v/>
      </c>
      <c r="J15" s="68" t="str">
        <f>IF(COUNTIFS(Dados!$E:$E,$B15,Dados!$C:$C,J$3)=0,"",SUMIFS(Dados!$G:$G,Dados!$E:$E,$B15,Dados!$C:$C,J$3)/COUNTIFS(Dados!$E:$E,$B15,Dados!$C:$C,J$3))</f>
        <v/>
      </c>
      <c r="K15" s="68" t="str">
        <f>IF(COUNTIFS(Dados!$E:$E,$B15,Dados!$C:$C,K$3)=0,"",SUMIFS(Dados!$G:$G,Dados!$E:$E,$B15,Dados!$C:$C,K$3)/COUNTIFS(Dados!$E:$E,$B15,Dados!$C:$C,K$3))</f>
        <v/>
      </c>
      <c r="L15" s="68" t="str">
        <f>IF(COUNTIFS(Dados!$E:$E,$B15,Dados!$C:$C,L$3)=0,"",SUMIFS(Dados!$G:$G,Dados!$E:$E,$B15,Dados!$C:$C,L$3)/COUNTIFS(Dados!$E:$E,$B15,Dados!$C:$C,L$3))</f>
        <v/>
      </c>
      <c r="M15" s="68" t="str">
        <f>IF(COUNTIFS(Dados!$E:$E,$B15,Dados!$C:$C,M$3)=0,"",SUMIFS(Dados!$G:$G,Dados!$E:$E,$B15,Dados!$C:$C,M$3)/COUNTIFS(Dados!$E:$E,$B15,Dados!$C:$C,M$3))</f>
        <v/>
      </c>
      <c r="N15" s="68" t="str">
        <f>IF(COUNTIFS(Dados!$E:$E,$B15,Dados!$C:$C,N$3)=0,"",SUMIFS(Dados!$G:$G,Dados!$E:$E,$B15,Dados!$C:$C,N$3)/COUNTIFS(Dados!$E:$E,$B15,Dados!$C:$C,N$3))</f>
        <v/>
      </c>
      <c r="O15" s="68" t="str">
        <f>IF(COUNTIFS(Dados!$E:$E,$B15,Dados!$C:$C,O$3)=0,"",SUMIFS(Dados!$G:$G,Dados!$E:$E,$B15,Dados!$C:$C,O$3)/COUNTIFS(Dados!$E:$E,$B15,Dados!$C:$C,O$3))</f>
        <v/>
      </c>
      <c r="P15" s="68" t="str">
        <f>IF(COUNTIFS(Dados!$E:$E,$B15,Dados!$C:$C,P$3)=0,"",SUMIFS(Dados!$G:$G,Dados!$E:$E,$B15,Dados!$C:$C,P$3)/COUNTIFS(Dados!$E:$E,$B15,Dados!$C:$C,P$3))</f>
        <v/>
      </c>
      <c r="Q15" s="68" t="str">
        <f>IF(COUNTIFS(Dados!$E:$E,$B15,Dados!$C:$C,Q$3)=0,"",SUMIFS(Dados!$G:$G,Dados!$E:$E,$B15,Dados!$C:$C,Q$3)/COUNTIFS(Dados!$E:$E,$B15,Dados!$C:$C,Q$3))</f>
        <v/>
      </c>
      <c r="R15" s="68" t="str">
        <f>IF(COUNTIFS(Dados!$E:$E,$B15,Dados!$C:$C,R$3)=0,"",SUMIFS(Dados!$G:$G,Dados!$E:$E,$B15,Dados!$C:$C,R$3)/COUNTIFS(Dados!$E:$E,$B15,Dados!$C:$C,R$3))</f>
        <v/>
      </c>
      <c r="S15" s="68" t="str">
        <f>IF(COUNTIFS(Dados!$E:$E,$B15,Dados!$C:$C,S$3)=0,"",SUMIFS(Dados!$G:$G,Dados!$E:$E,$B15,Dados!$C:$C,S$3)/COUNTIFS(Dados!$E:$E,$B15,Dados!$C:$C,S$3))</f>
        <v/>
      </c>
      <c r="T15" s="68" t="str">
        <f>IF(COUNTIFS(Dados!$E:$E,$B15,Dados!$C:$C,T$3)=0,"",SUMIFS(Dados!$G:$G,Dados!$E:$E,$B15,Dados!$C:$C,T$3)/COUNTIFS(Dados!$E:$E,$B15,Dados!$C:$C,T$3))</f>
        <v/>
      </c>
      <c r="U15" s="68" t="str">
        <f>IF(COUNTIFS(Dados!$E:$E,$B15,Dados!$C:$C,U$3)=0,"",SUMIFS(Dados!$G:$G,Dados!$E:$E,$B15,Dados!$C:$C,U$3)/COUNTIFS(Dados!$E:$E,$B15,Dados!$C:$C,U$3))</f>
        <v/>
      </c>
      <c r="V15" s="68" t="str">
        <f>IF(COUNTIFS(Dados!$E:$E,$B15,Dados!$C:$C,V$3)=0,"",SUMIFS(Dados!$G:$G,Dados!$E:$E,$B15,Dados!$C:$C,V$3)/COUNTIFS(Dados!$E:$E,$B15,Dados!$C:$C,V$3))</f>
        <v/>
      </c>
    </row>
    <row r="16" spans="2:22" x14ac:dyDescent="0.25">
      <c r="B16" s="65" t="s">
        <v>1302</v>
      </c>
      <c r="C16" s="72">
        <v>13</v>
      </c>
      <c r="D16" s="66" t="str">
        <f>IF(COUNTIFS(Dados!$E:$E,$B16,Dados!$C:$C,D$3)=0,"",SUMIFS(Dados!$G:$G,Dados!$E:$E,$B16,Dados!$C:$C,D$3)/COUNTIFS(Dados!$E:$E,$B16,Dados!$C:$C,D$3))</f>
        <v/>
      </c>
      <c r="E16" s="66" t="str">
        <f>IF(COUNTIFS(Dados!$E:$E,$B16,Dados!$C:$C,E$3)=0,"",SUMIFS(Dados!$G:$G,Dados!$E:$E,$B16,Dados!$C:$C,E$3)/COUNTIFS(Dados!$E:$E,$B16,Dados!$C:$C,E$3))</f>
        <v/>
      </c>
      <c r="F16" s="66" t="str">
        <f>IF(COUNTIFS(Dados!$E:$E,$B16,Dados!$C:$C,F$3)=0,"",SUMIFS(Dados!$G:$G,Dados!$E:$E,$B16,Dados!$C:$C,F$3)/COUNTIFS(Dados!$E:$E,$B16,Dados!$C:$C,F$3))</f>
        <v/>
      </c>
      <c r="G16" s="66" t="str">
        <f>IF(COUNTIFS(Dados!$E:$E,$B16,Dados!$C:$C,G$3)=0,"",SUMIFS(Dados!$G:$G,Dados!$E:$E,$B16,Dados!$C:$C,G$3)/COUNTIFS(Dados!$E:$E,$B16,Dados!$C:$C,G$3))</f>
        <v/>
      </c>
      <c r="H16" s="66" t="str">
        <f>IF(COUNTIFS(Dados!$E:$E,$B16,Dados!$C:$C,H$3)=0,"",SUMIFS(Dados!$G:$G,Dados!$E:$E,$B16,Dados!$C:$C,H$3)/COUNTIFS(Dados!$E:$E,$B16,Dados!$C:$C,H$3))</f>
        <v/>
      </c>
      <c r="I16" s="66" t="str">
        <f>IF(COUNTIFS(Dados!$E:$E,$B16,Dados!$C:$C,I$3)=0,"",SUMIFS(Dados!$G:$G,Dados!$E:$E,$B16,Dados!$C:$C,I$3)/COUNTIFS(Dados!$E:$E,$B16,Dados!$C:$C,I$3))</f>
        <v/>
      </c>
      <c r="J16" s="66" t="str">
        <f>IF(COUNTIFS(Dados!$E:$E,$B16,Dados!$C:$C,J$3)=0,"",SUMIFS(Dados!$G:$G,Dados!$E:$E,$B16,Dados!$C:$C,J$3)/COUNTIFS(Dados!$E:$E,$B16,Dados!$C:$C,J$3))</f>
        <v/>
      </c>
      <c r="K16" s="66" t="str">
        <f>IF(COUNTIFS(Dados!$E:$E,$B16,Dados!$C:$C,K$3)=0,"",SUMIFS(Dados!$G:$G,Dados!$E:$E,$B16,Dados!$C:$C,K$3)/COUNTIFS(Dados!$E:$E,$B16,Dados!$C:$C,K$3))</f>
        <v/>
      </c>
      <c r="L16" s="66" t="str">
        <f>IF(COUNTIFS(Dados!$E:$E,$B16,Dados!$C:$C,L$3)=0,"",SUMIFS(Dados!$G:$G,Dados!$E:$E,$B16,Dados!$C:$C,L$3)/COUNTIFS(Dados!$E:$E,$B16,Dados!$C:$C,L$3))</f>
        <v/>
      </c>
      <c r="M16" s="66" t="str">
        <f>IF(COUNTIFS(Dados!$E:$E,$B16,Dados!$C:$C,M$3)=0,"",SUMIFS(Dados!$G:$G,Dados!$E:$E,$B16,Dados!$C:$C,M$3)/COUNTIFS(Dados!$E:$E,$B16,Dados!$C:$C,M$3))</f>
        <v/>
      </c>
      <c r="N16" s="66" t="str">
        <f>IF(COUNTIFS(Dados!$E:$E,$B16,Dados!$C:$C,N$3)=0,"",SUMIFS(Dados!$G:$G,Dados!$E:$E,$B16,Dados!$C:$C,N$3)/COUNTIFS(Dados!$E:$E,$B16,Dados!$C:$C,N$3))</f>
        <v/>
      </c>
      <c r="O16" s="66" t="str">
        <f>IF(COUNTIFS(Dados!$E:$E,$B16,Dados!$C:$C,O$3)=0,"",SUMIFS(Dados!$G:$G,Dados!$E:$E,$B16,Dados!$C:$C,O$3)/COUNTIFS(Dados!$E:$E,$B16,Dados!$C:$C,O$3))</f>
        <v/>
      </c>
      <c r="P16" s="66" t="str">
        <f>IF(COUNTIFS(Dados!$E:$E,$B16,Dados!$C:$C,P$3)=0,"",SUMIFS(Dados!$G:$G,Dados!$E:$E,$B16,Dados!$C:$C,P$3)/COUNTIFS(Dados!$E:$E,$B16,Dados!$C:$C,P$3))</f>
        <v/>
      </c>
      <c r="Q16" s="66" t="str">
        <f>IF(COUNTIFS(Dados!$E:$E,$B16,Dados!$C:$C,Q$3)=0,"",SUMIFS(Dados!$G:$G,Dados!$E:$E,$B16,Dados!$C:$C,Q$3)/COUNTIFS(Dados!$E:$E,$B16,Dados!$C:$C,Q$3))</f>
        <v/>
      </c>
      <c r="R16" s="66" t="str">
        <f>IF(COUNTIFS(Dados!$E:$E,$B16,Dados!$C:$C,R$3)=0,"",SUMIFS(Dados!$G:$G,Dados!$E:$E,$B16,Dados!$C:$C,R$3)/COUNTIFS(Dados!$E:$E,$B16,Dados!$C:$C,R$3))</f>
        <v/>
      </c>
      <c r="S16" s="66" t="str">
        <f>IF(COUNTIFS(Dados!$E:$E,$B16,Dados!$C:$C,S$3)=0,"",SUMIFS(Dados!$G:$G,Dados!$E:$E,$B16,Dados!$C:$C,S$3)/COUNTIFS(Dados!$E:$E,$B16,Dados!$C:$C,S$3))</f>
        <v/>
      </c>
      <c r="T16" s="66" t="str">
        <f>IF(COUNTIFS(Dados!$E:$E,$B16,Dados!$C:$C,T$3)=0,"",SUMIFS(Dados!$G:$G,Dados!$E:$E,$B16,Dados!$C:$C,T$3)/COUNTIFS(Dados!$E:$E,$B16,Dados!$C:$C,T$3))</f>
        <v/>
      </c>
      <c r="U16" s="66" t="str">
        <f>IF(COUNTIFS(Dados!$E:$E,$B16,Dados!$C:$C,U$3)=0,"",SUMIFS(Dados!$G:$G,Dados!$E:$E,$B16,Dados!$C:$C,U$3)/COUNTIFS(Dados!$E:$E,$B16,Dados!$C:$C,U$3))</f>
        <v/>
      </c>
      <c r="V16" s="66" t="str">
        <f>IF(COUNTIFS(Dados!$E:$E,$B16,Dados!$C:$C,V$3)=0,"",SUMIFS(Dados!$G:$G,Dados!$E:$E,$B16,Dados!$C:$C,V$3)/COUNTIFS(Dados!$E:$E,$B16,Dados!$C:$C,V$3))</f>
        <v/>
      </c>
    </row>
    <row r="17" spans="2:22" x14ac:dyDescent="0.25">
      <c r="B17" s="67" t="s">
        <v>1296</v>
      </c>
      <c r="C17" s="71">
        <v>14</v>
      </c>
      <c r="D17" s="68">
        <f>IF(COUNTIFS(Dados!$E:$E,$B17,Dados!$C:$C,D$3)=0,"",SUMIFS(Dados!$G:$G,Dados!$E:$E,$B17,Dados!$C:$C,D$3)/COUNTIFS(Dados!$E:$E,$B17,Dados!$C:$C,D$3))</f>
        <v>0.85126955282047545</v>
      </c>
      <c r="E17" s="68">
        <f>IF(COUNTIFS(Dados!$E:$E,$B17,Dados!$C:$C,E$3)=0,"",SUMIFS(Dados!$G:$G,Dados!$E:$E,$B17,Dados!$C:$C,E$3)/COUNTIFS(Dados!$E:$E,$B17,Dados!$C:$C,E$3))</f>
        <v>0.65473496937437625</v>
      </c>
      <c r="F17" s="68">
        <f>IF(COUNTIFS(Dados!$E:$E,$B17,Dados!$C:$C,F$3)=0,"",SUMIFS(Dados!$G:$G,Dados!$E:$E,$B17,Dados!$C:$C,F$3)/COUNTIFS(Dados!$E:$E,$B17,Dados!$C:$C,F$3))</f>
        <v>0.75168035596068372</v>
      </c>
      <c r="G17" s="68" t="str">
        <f>IF(COUNTIFS(Dados!$E:$E,$B17,Dados!$C:$C,G$3)=0,"",SUMIFS(Dados!$G:$G,Dados!$E:$E,$B17,Dados!$C:$C,G$3)/COUNTIFS(Dados!$E:$E,$B17,Dados!$C:$C,G$3))</f>
        <v/>
      </c>
      <c r="H17" s="68">
        <f>IF(COUNTIFS(Dados!$E:$E,$B17,Dados!$C:$C,H$3)=0,"",SUMIFS(Dados!$G:$G,Dados!$E:$E,$B17,Dados!$C:$C,H$3)/COUNTIFS(Dados!$E:$E,$B17,Dados!$C:$C,H$3))</f>
        <v>0.71275378543588674</v>
      </c>
      <c r="I17" s="68">
        <f>IF(COUNTIFS(Dados!$E:$E,$B17,Dados!$C:$C,I$3)=0,"",SUMIFS(Dados!$G:$G,Dados!$E:$E,$B17,Dados!$C:$C,I$3)/COUNTIFS(Dados!$E:$E,$B17,Dados!$C:$C,I$3))</f>
        <v>0.49172433366666662</v>
      </c>
      <c r="J17" s="68">
        <f>IF(COUNTIFS(Dados!$E:$E,$B17,Dados!$C:$C,J$3)=0,"",SUMIFS(Dados!$G:$G,Dados!$E:$E,$B17,Dados!$C:$C,J$3)/COUNTIFS(Dados!$E:$E,$B17,Dados!$C:$C,J$3))</f>
        <v>0.78008887374957103</v>
      </c>
      <c r="K17" s="68" t="str">
        <f>IF(COUNTIFS(Dados!$E:$E,$B17,Dados!$C:$C,K$3)=0,"",SUMIFS(Dados!$G:$G,Dados!$E:$E,$B17,Dados!$C:$C,K$3)/COUNTIFS(Dados!$E:$E,$B17,Dados!$C:$C,K$3))</f>
        <v/>
      </c>
      <c r="L17" s="68" t="str">
        <f>IF(COUNTIFS(Dados!$E:$E,$B17,Dados!$C:$C,L$3)=0,"",SUMIFS(Dados!$G:$G,Dados!$E:$E,$B17,Dados!$C:$C,L$3)/COUNTIFS(Dados!$E:$E,$B17,Dados!$C:$C,L$3))</f>
        <v/>
      </c>
      <c r="M17" s="68" t="str">
        <f>IF(COUNTIFS(Dados!$E:$E,$B17,Dados!$C:$C,M$3)=0,"",SUMIFS(Dados!$G:$G,Dados!$E:$E,$B17,Dados!$C:$C,M$3)/COUNTIFS(Dados!$E:$E,$B17,Dados!$C:$C,M$3))</f>
        <v/>
      </c>
      <c r="N17" s="68" t="str">
        <f>IF(COUNTIFS(Dados!$E:$E,$B17,Dados!$C:$C,N$3)=0,"",SUMIFS(Dados!$G:$G,Dados!$E:$E,$B17,Dados!$C:$C,N$3)/COUNTIFS(Dados!$E:$E,$B17,Dados!$C:$C,N$3))</f>
        <v/>
      </c>
      <c r="O17" s="68" t="str">
        <f>IF(COUNTIFS(Dados!$E:$E,$B17,Dados!$C:$C,O$3)=0,"",SUMIFS(Dados!$G:$G,Dados!$E:$E,$B17,Dados!$C:$C,O$3)/COUNTIFS(Dados!$E:$E,$B17,Dados!$C:$C,O$3))</f>
        <v/>
      </c>
      <c r="P17" s="68" t="str">
        <f>IF(COUNTIFS(Dados!$E:$E,$B17,Dados!$C:$C,P$3)=0,"",SUMIFS(Dados!$G:$G,Dados!$E:$E,$B17,Dados!$C:$C,P$3)/COUNTIFS(Dados!$E:$E,$B17,Dados!$C:$C,P$3))</f>
        <v/>
      </c>
      <c r="Q17" s="68">
        <f>IF(COUNTIFS(Dados!$E:$E,$B17,Dados!$C:$C,Q$3)=0,"",SUMIFS(Dados!$G:$G,Dados!$E:$E,$B17,Dados!$C:$C,Q$3)/COUNTIFS(Dados!$E:$E,$B17,Dados!$C:$C,Q$3))</f>
        <v>0.72934087943056791</v>
      </c>
      <c r="R17" s="68" t="str">
        <f>IF(COUNTIFS(Dados!$E:$E,$B17,Dados!$C:$C,R$3)=0,"",SUMIFS(Dados!$G:$G,Dados!$E:$E,$B17,Dados!$C:$C,R$3)/COUNTIFS(Dados!$E:$E,$B17,Dados!$C:$C,R$3))</f>
        <v/>
      </c>
      <c r="S17" s="68" t="str">
        <f>IF(COUNTIFS(Dados!$E:$E,$B17,Dados!$C:$C,S$3)=0,"",SUMIFS(Dados!$G:$G,Dados!$E:$E,$B17,Dados!$C:$C,S$3)/COUNTIFS(Dados!$E:$E,$B17,Dados!$C:$C,S$3))</f>
        <v/>
      </c>
      <c r="T17" s="68" t="str">
        <f>IF(COUNTIFS(Dados!$E:$E,$B17,Dados!$C:$C,T$3)=0,"",SUMIFS(Dados!$G:$G,Dados!$E:$E,$B17,Dados!$C:$C,T$3)/COUNTIFS(Dados!$E:$E,$B17,Dados!$C:$C,T$3))</f>
        <v/>
      </c>
      <c r="U17" s="68" t="str">
        <f>IF(COUNTIFS(Dados!$E:$E,$B17,Dados!$C:$C,U$3)=0,"",SUMIFS(Dados!$G:$G,Dados!$E:$E,$B17,Dados!$C:$C,U$3)/COUNTIFS(Dados!$E:$E,$B17,Dados!$C:$C,U$3))</f>
        <v/>
      </c>
      <c r="V17" s="68" t="str">
        <f>IF(COUNTIFS(Dados!$E:$E,$B17,Dados!$C:$C,V$3)=0,"",SUMIFS(Dados!$G:$G,Dados!$E:$E,$B17,Dados!$C:$C,V$3)/COUNTIFS(Dados!$E:$E,$B17,Dados!$C:$C,V$3))</f>
        <v/>
      </c>
    </row>
    <row r="18" spans="2:22" x14ac:dyDescent="0.25">
      <c r="B18" s="65" t="s">
        <v>33</v>
      </c>
      <c r="C18" s="72">
        <v>15</v>
      </c>
      <c r="D18" s="66" t="str">
        <f>IF(COUNTIFS(Dados!$E:$E,$B18,Dados!$C:$C,D$3)=0,"",SUMIFS(Dados!$G:$G,Dados!$E:$E,$B18,Dados!$C:$C,D$3)/COUNTIFS(Dados!$E:$E,$B18,Dados!$C:$C,D$3))</f>
        <v/>
      </c>
      <c r="E18" s="66" t="str">
        <f>IF(COUNTIFS(Dados!$E:$E,$B18,Dados!$C:$C,E$3)=0,"",SUMIFS(Dados!$G:$G,Dados!$E:$E,$B18,Dados!$C:$C,E$3)/COUNTIFS(Dados!$E:$E,$B18,Dados!$C:$C,E$3))</f>
        <v/>
      </c>
      <c r="F18" s="66" t="str">
        <f>IF(COUNTIFS(Dados!$E:$E,$B18,Dados!$C:$C,F$3)=0,"",SUMIFS(Dados!$G:$G,Dados!$E:$E,$B18,Dados!$C:$C,F$3)/COUNTIFS(Dados!$E:$E,$B18,Dados!$C:$C,F$3))</f>
        <v/>
      </c>
      <c r="G18" s="66" t="str">
        <f>IF(COUNTIFS(Dados!$E:$E,$B18,Dados!$C:$C,G$3)=0,"",SUMIFS(Dados!$G:$G,Dados!$E:$E,$B18,Dados!$C:$C,G$3)/COUNTIFS(Dados!$E:$E,$B18,Dados!$C:$C,G$3))</f>
        <v/>
      </c>
      <c r="H18" s="66" t="str">
        <f>IF(COUNTIFS(Dados!$E:$E,$B18,Dados!$C:$C,H$3)=0,"",SUMIFS(Dados!$G:$G,Dados!$E:$E,$B18,Dados!$C:$C,H$3)/COUNTIFS(Dados!$E:$E,$B18,Dados!$C:$C,H$3))</f>
        <v/>
      </c>
      <c r="I18" s="66">
        <f>IF(COUNTIFS(Dados!$E:$E,$B18,Dados!$C:$C,I$3)=0,"",SUMIFS(Dados!$G:$G,Dados!$E:$E,$B18,Dados!$C:$C,I$3)/COUNTIFS(Dados!$E:$E,$B18,Dados!$C:$C,I$3))</f>
        <v>0.49003954200000016</v>
      </c>
      <c r="J18" s="66" t="str">
        <f>IF(COUNTIFS(Dados!$E:$E,$B18,Dados!$C:$C,J$3)=0,"",SUMIFS(Dados!$G:$G,Dados!$E:$E,$B18,Dados!$C:$C,J$3)/COUNTIFS(Dados!$E:$E,$B18,Dados!$C:$C,J$3))</f>
        <v/>
      </c>
      <c r="K18" s="66" t="str">
        <f>IF(COUNTIFS(Dados!$E:$E,$B18,Dados!$C:$C,K$3)=0,"",SUMIFS(Dados!$G:$G,Dados!$E:$E,$B18,Dados!$C:$C,K$3)/COUNTIFS(Dados!$E:$E,$B18,Dados!$C:$C,K$3))</f>
        <v/>
      </c>
      <c r="L18" s="66" t="str">
        <f>IF(COUNTIFS(Dados!$E:$E,$B18,Dados!$C:$C,L$3)=0,"",SUMIFS(Dados!$G:$G,Dados!$E:$E,$B18,Dados!$C:$C,L$3)/COUNTIFS(Dados!$E:$E,$B18,Dados!$C:$C,L$3))</f>
        <v/>
      </c>
      <c r="M18" s="66" t="str">
        <f>IF(COUNTIFS(Dados!$E:$E,$B18,Dados!$C:$C,M$3)=0,"",SUMIFS(Dados!$G:$G,Dados!$E:$E,$B18,Dados!$C:$C,M$3)/COUNTIFS(Dados!$E:$E,$B18,Dados!$C:$C,M$3))</f>
        <v/>
      </c>
      <c r="N18" s="66" t="str">
        <f>IF(COUNTIFS(Dados!$E:$E,$B18,Dados!$C:$C,N$3)=0,"",SUMIFS(Dados!$G:$G,Dados!$E:$E,$B18,Dados!$C:$C,N$3)/COUNTIFS(Dados!$E:$E,$B18,Dados!$C:$C,N$3))</f>
        <v/>
      </c>
      <c r="O18" s="66" t="str">
        <f>IF(COUNTIFS(Dados!$E:$E,$B18,Dados!$C:$C,O$3)=0,"",SUMIFS(Dados!$G:$G,Dados!$E:$E,$B18,Dados!$C:$C,O$3)/COUNTIFS(Dados!$E:$E,$B18,Dados!$C:$C,O$3))</f>
        <v/>
      </c>
      <c r="P18" s="66" t="str">
        <f>IF(COUNTIFS(Dados!$E:$E,$B18,Dados!$C:$C,P$3)=0,"",SUMIFS(Dados!$G:$G,Dados!$E:$E,$B18,Dados!$C:$C,P$3)/COUNTIFS(Dados!$E:$E,$B18,Dados!$C:$C,P$3))</f>
        <v/>
      </c>
      <c r="Q18" s="66">
        <f>IF(COUNTIFS(Dados!$E:$E,$B18,Dados!$C:$C,Q$3)=0,"",SUMIFS(Dados!$G:$G,Dados!$E:$E,$B18,Dados!$C:$C,Q$3)/COUNTIFS(Dados!$E:$E,$B18,Dados!$C:$C,Q$3))</f>
        <v>0.91919746514641842</v>
      </c>
      <c r="R18" s="66">
        <f>IF(COUNTIFS(Dados!$E:$E,$B18,Dados!$C:$C,R$3)=0,"",SUMIFS(Dados!$G:$G,Dados!$E:$E,$B18,Dados!$C:$C,R$3)/COUNTIFS(Dados!$E:$E,$B18,Dados!$C:$C,R$3))</f>
        <v>0.82280094301215467</v>
      </c>
      <c r="S18" s="66" t="str">
        <f>IF(COUNTIFS(Dados!$E:$E,$B18,Dados!$C:$C,S$3)=0,"",SUMIFS(Dados!$G:$G,Dados!$E:$E,$B18,Dados!$C:$C,S$3)/COUNTIFS(Dados!$E:$E,$B18,Dados!$C:$C,S$3))</f>
        <v/>
      </c>
      <c r="T18" s="66">
        <f>IF(COUNTIFS(Dados!$E:$E,$B18,Dados!$C:$C,T$3)=0,"",SUMIFS(Dados!$G:$G,Dados!$E:$E,$B18,Dados!$C:$C,T$3)/COUNTIFS(Dados!$E:$E,$B18,Dados!$C:$C,T$3))</f>
        <v>0.5729104662349469</v>
      </c>
      <c r="U18" s="66">
        <f>IF(COUNTIFS(Dados!$E:$E,$B18,Dados!$C:$C,U$3)=0,"",SUMIFS(Dados!$G:$G,Dados!$E:$E,$B18,Dados!$C:$C,U$3)/COUNTIFS(Dados!$E:$E,$B18,Dados!$C:$C,U$3))</f>
        <v>0.57987603162367451</v>
      </c>
      <c r="V18" s="66" t="str">
        <f>IF(COUNTIFS(Dados!$E:$E,$B18,Dados!$C:$C,V$3)=0,"",SUMIFS(Dados!$G:$G,Dados!$E:$E,$B18,Dados!$C:$C,V$3)/COUNTIFS(Dados!$E:$E,$B18,Dados!$C:$C,V$3))</f>
        <v/>
      </c>
    </row>
    <row r="19" spans="2:22" x14ac:dyDescent="0.25">
      <c r="B19" s="67" t="s">
        <v>1299</v>
      </c>
      <c r="C19" s="71">
        <v>16</v>
      </c>
      <c r="D19" s="68" t="str">
        <f>IF(COUNTIFS(Dados!$E:$E,$B19,Dados!$C:$C,D$3)=0,"",SUMIFS(Dados!$G:$G,Dados!$E:$E,$B19,Dados!$C:$C,D$3)/COUNTIFS(Dados!$E:$E,$B19,Dados!$C:$C,D$3))</f>
        <v/>
      </c>
      <c r="E19" s="68" t="str">
        <f>IF(COUNTIFS(Dados!$E:$E,$B19,Dados!$C:$C,E$3)=0,"",SUMIFS(Dados!$G:$G,Dados!$E:$E,$B19,Dados!$C:$C,E$3)/COUNTIFS(Dados!$E:$E,$B19,Dados!$C:$C,E$3))</f>
        <v/>
      </c>
      <c r="F19" s="68" t="str">
        <f>IF(COUNTIFS(Dados!$E:$E,$B19,Dados!$C:$C,F$3)=0,"",SUMIFS(Dados!$G:$G,Dados!$E:$E,$B19,Dados!$C:$C,F$3)/COUNTIFS(Dados!$E:$E,$B19,Dados!$C:$C,F$3))</f>
        <v/>
      </c>
      <c r="G19" s="68" t="str">
        <f>IF(COUNTIFS(Dados!$E:$E,$B19,Dados!$C:$C,G$3)=0,"",SUMIFS(Dados!$G:$G,Dados!$E:$E,$B19,Dados!$C:$C,G$3)/COUNTIFS(Dados!$E:$E,$B19,Dados!$C:$C,G$3))</f>
        <v/>
      </c>
      <c r="H19" s="68" t="str">
        <f>IF(COUNTIFS(Dados!$E:$E,$B19,Dados!$C:$C,H$3)=0,"",SUMIFS(Dados!$G:$G,Dados!$E:$E,$B19,Dados!$C:$C,H$3)/COUNTIFS(Dados!$E:$E,$B19,Dados!$C:$C,H$3))</f>
        <v/>
      </c>
      <c r="I19" s="68" t="str">
        <f>IF(COUNTIFS(Dados!$E:$E,$B19,Dados!$C:$C,I$3)=0,"",SUMIFS(Dados!$G:$G,Dados!$E:$E,$B19,Dados!$C:$C,I$3)/COUNTIFS(Dados!$E:$E,$B19,Dados!$C:$C,I$3))</f>
        <v/>
      </c>
      <c r="J19" s="68" t="str">
        <f>IF(COUNTIFS(Dados!$E:$E,$B19,Dados!$C:$C,J$3)=0,"",SUMIFS(Dados!$G:$G,Dados!$E:$E,$B19,Dados!$C:$C,J$3)/COUNTIFS(Dados!$E:$E,$B19,Dados!$C:$C,J$3))</f>
        <v/>
      </c>
      <c r="K19" s="68" t="str">
        <f>IF(COUNTIFS(Dados!$E:$E,$B19,Dados!$C:$C,K$3)=0,"",SUMIFS(Dados!$G:$G,Dados!$E:$E,$B19,Dados!$C:$C,K$3)/COUNTIFS(Dados!$E:$E,$B19,Dados!$C:$C,K$3))</f>
        <v/>
      </c>
      <c r="L19" s="68" t="str">
        <f>IF(COUNTIFS(Dados!$E:$E,$B19,Dados!$C:$C,L$3)=0,"",SUMIFS(Dados!$G:$G,Dados!$E:$E,$B19,Dados!$C:$C,L$3)/COUNTIFS(Dados!$E:$E,$B19,Dados!$C:$C,L$3))</f>
        <v/>
      </c>
      <c r="M19" s="68" t="str">
        <f>IF(COUNTIFS(Dados!$E:$E,$B19,Dados!$C:$C,M$3)=0,"",SUMIFS(Dados!$G:$G,Dados!$E:$E,$B19,Dados!$C:$C,M$3)/COUNTIFS(Dados!$E:$E,$B19,Dados!$C:$C,M$3))</f>
        <v/>
      </c>
      <c r="N19" s="68" t="str">
        <f>IF(COUNTIFS(Dados!$E:$E,$B19,Dados!$C:$C,N$3)=0,"",SUMIFS(Dados!$G:$G,Dados!$E:$E,$B19,Dados!$C:$C,N$3)/COUNTIFS(Dados!$E:$E,$B19,Dados!$C:$C,N$3))</f>
        <v/>
      </c>
      <c r="O19" s="68" t="str">
        <f>IF(COUNTIFS(Dados!$E:$E,$B19,Dados!$C:$C,O$3)=0,"",SUMIFS(Dados!$G:$G,Dados!$E:$E,$B19,Dados!$C:$C,O$3)/COUNTIFS(Dados!$E:$E,$B19,Dados!$C:$C,O$3))</f>
        <v/>
      </c>
      <c r="P19" s="68" t="str">
        <f>IF(COUNTIFS(Dados!$E:$E,$B19,Dados!$C:$C,P$3)=0,"",SUMIFS(Dados!$G:$G,Dados!$E:$E,$B19,Dados!$C:$C,P$3)/COUNTIFS(Dados!$E:$E,$B19,Dados!$C:$C,P$3))</f>
        <v/>
      </c>
      <c r="Q19" s="68" t="str">
        <f>IF(COUNTIFS(Dados!$E:$E,$B19,Dados!$C:$C,Q$3)=0,"",SUMIFS(Dados!$G:$G,Dados!$E:$E,$B19,Dados!$C:$C,Q$3)/COUNTIFS(Dados!$E:$E,$B19,Dados!$C:$C,Q$3))</f>
        <v/>
      </c>
      <c r="R19" s="68" t="str">
        <f>IF(COUNTIFS(Dados!$E:$E,$B19,Dados!$C:$C,R$3)=0,"",SUMIFS(Dados!$G:$G,Dados!$E:$E,$B19,Dados!$C:$C,R$3)/COUNTIFS(Dados!$E:$E,$B19,Dados!$C:$C,R$3))</f>
        <v/>
      </c>
      <c r="S19" s="68" t="str">
        <f>IF(COUNTIFS(Dados!$E:$E,$B19,Dados!$C:$C,S$3)=0,"",SUMIFS(Dados!$G:$G,Dados!$E:$E,$B19,Dados!$C:$C,S$3)/COUNTIFS(Dados!$E:$E,$B19,Dados!$C:$C,S$3))</f>
        <v/>
      </c>
      <c r="T19" s="68" t="str">
        <f>IF(COUNTIFS(Dados!$E:$E,$B19,Dados!$C:$C,T$3)=0,"",SUMIFS(Dados!$G:$G,Dados!$E:$E,$B19,Dados!$C:$C,T$3)/COUNTIFS(Dados!$E:$E,$B19,Dados!$C:$C,T$3))</f>
        <v/>
      </c>
      <c r="U19" s="68" t="str">
        <f>IF(COUNTIFS(Dados!$E:$E,$B19,Dados!$C:$C,U$3)=0,"",SUMIFS(Dados!$G:$G,Dados!$E:$E,$B19,Dados!$C:$C,U$3)/COUNTIFS(Dados!$E:$E,$B19,Dados!$C:$C,U$3))</f>
        <v/>
      </c>
      <c r="V19" s="68" t="str">
        <f>IF(COUNTIFS(Dados!$E:$E,$B19,Dados!$C:$C,V$3)=0,"",SUMIFS(Dados!$G:$G,Dados!$E:$E,$B19,Dados!$C:$C,V$3)/COUNTIFS(Dados!$E:$E,$B19,Dados!$C:$C,V$3))</f>
        <v/>
      </c>
    </row>
    <row r="20" spans="2:22" x14ac:dyDescent="0.25">
      <c r="B20" s="65" t="s">
        <v>374</v>
      </c>
      <c r="C20" s="72">
        <v>17</v>
      </c>
      <c r="D20" s="66">
        <f>IF(COUNTIFS(Dados!$E:$E,$B20,Dados!$C:$C,D$3)=0,"",SUMIFS(Dados!$G:$G,Dados!$E:$E,$B20,Dados!$C:$C,D$3)/COUNTIFS(Dados!$E:$E,$B20,Dados!$C:$C,D$3))</f>
        <v>0.68455622226690871</v>
      </c>
      <c r="E20" s="66" t="str">
        <f>IF(COUNTIFS(Dados!$E:$E,$B20,Dados!$C:$C,E$3)=0,"",SUMIFS(Dados!$G:$G,Dados!$E:$E,$B20,Dados!$C:$C,E$3)/COUNTIFS(Dados!$E:$E,$B20,Dados!$C:$C,E$3))</f>
        <v/>
      </c>
      <c r="F20" s="66">
        <f>IF(COUNTIFS(Dados!$E:$E,$B20,Dados!$C:$C,F$3)=0,"",SUMIFS(Dados!$G:$G,Dados!$E:$E,$B20,Dados!$C:$C,F$3)/COUNTIFS(Dados!$E:$E,$B20,Dados!$C:$C,F$3))</f>
        <v>0.72391169654346443</v>
      </c>
      <c r="G20" s="66">
        <f>IF(COUNTIFS(Dados!$E:$E,$B20,Dados!$C:$C,G$3)=0,"",SUMIFS(Dados!$G:$G,Dados!$E:$E,$B20,Dados!$C:$C,G$3)/COUNTIFS(Dados!$E:$E,$B20,Dados!$C:$C,G$3))</f>
        <v>0.49511079249326606</v>
      </c>
      <c r="H20" s="66" t="str">
        <f>IF(COUNTIFS(Dados!$E:$E,$B20,Dados!$C:$C,H$3)=0,"",SUMIFS(Dados!$G:$G,Dados!$E:$E,$B20,Dados!$C:$C,H$3)/COUNTIFS(Dados!$E:$E,$B20,Dados!$C:$C,H$3))</f>
        <v/>
      </c>
      <c r="I20" s="66" t="str">
        <f>IF(COUNTIFS(Dados!$E:$E,$B20,Dados!$C:$C,I$3)=0,"",SUMIFS(Dados!$G:$G,Dados!$E:$E,$B20,Dados!$C:$C,I$3)/COUNTIFS(Dados!$E:$E,$B20,Dados!$C:$C,I$3))</f>
        <v/>
      </c>
      <c r="J20" s="66" t="str">
        <f>IF(COUNTIFS(Dados!$E:$E,$B20,Dados!$C:$C,J$3)=0,"",SUMIFS(Dados!$G:$G,Dados!$E:$E,$B20,Dados!$C:$C,J$3)/COUNTIFS(Dados!$E:$E,$B20,Dados!$C:$C,J$3))</f>
        <v/>
      </c>
      <c r="K20" s="66" t="str">
        <f>IF(COUNTIFS(Dados!$E:$E,$B20,Dados!$C:$C,K$3)=0,"",SUMIFS(Dados!$G:$G,Dados!$E:$E,$B20,Dados!$C:$C,K$3)/COUNTIFS(Dados!$E:$E,$B20,Dados!$C:$C,K$3))</f>
        <v/>
      </c>
      <c r="L20" s="66" t="str">
        <f>IF(COUNTIFS(Dados!$E:$E,$B20,Dados!$C:$C,L$3)=0,"",SUMIFS(Dados!$G:$G,Dados!$E:$E,$B20,Dados!$C:$C,L$3)/COUNTIFS(Dados!$E:$E,$B20,Dados!$C:$C,L$3))</f>
        <v/>
      </c>
      <c r="M20" s="66" t="str">
        <f>IF(COUNTIFS(Dados!$E:$E,$B20,Dados!$C:$C,M$3)=0,"",SUMIFS(Dados!$G:$G,Dados!$E:$E,$B20,Dados!$C:$C,M$3)/COUNTIFS(Dados!$E:$E,$B20,Dados!$C:$C,M$3))</f>
        <v/>
      </c>
      <c r="N20" s="66" t="str">
        <f>IF(COUNTIFS(Dados!$E:$E,$B20,Dados!$C:$C,N$3)=0,"",SUMIFS(Dados!$G:$G,Dados!$E:$E,$B20,Dados!$C:$C,N$3)/COUNTIFS(Dados!$E:$E,$B20,Dados!$C:$C,N$3))</f>
        <v/>
      </c>
      <c r="O20" s="66" t="str">
        <f>IF(COUNTIFS(Dados!$E:$E,$B20,Dados!$C:$C,O$3)=0,"",SUMIFS(Dados!$G:$G,Dados!$E:$E,$B20,Dados!$C:$C,O$3)/COUNTIFS(Dados!$E:$E,$B20,Dados!$C:$C,O$3))</f>
        <v/>
      </c>
      <c r="P20" s="66" t="str">
        <f>IF(COUNTIFS(Dados!$E:$E,$B20,Dados!$C:$C,P$3)=0,"",SUMIFS(Dados!$G:$G,Dados!$E:$E,$B20,Dados!$C:$C,P$3)/COUNTIFS(Dados!$E:$E,$B20,Dados!$C:$C,P$3))</f>
        <v/>
      </c>
      <c r="Q20" s="66" t="str">
        <f>IF(COUNTIFS(Dados!$E:$E,$B20,Dados!$C:$C,Q$3)=0,"",SUMIFS(Dados!$G:$G,Dados!$E:$E,$B20,Dados!$C:$C,Q$3)/COUNTIFS(Dados!$E:$E,$B20,Dados!$C:$C,Q$3))</f>
        <v/>
      </c>
      <c r="R20" s="66" t="str">
        <f>IF(COUNTIFS(Dados!$E:$E,$B20,Dados!$C:$C,R$3)=0,"",SUMIFS(Dados!$G:$G,Dados!$E:$E,$B20,Dados!$C:$C,R$3)/COUNTIFS(Dados!$E:$E,$B20,Dados!$C:$C,R$3))</f>
        <v/>
      </c>
      <c r="S20" s="66" t="str">
        <f>IF(COUNTIFS(Dados!$E:$E,$B20,Dados!$C:$C,S$3)=0,"",SUMIFS(Dados!$G:$G,Dados!$E:$E,$B20,Dados!$C:$C,S$3)/COUNTIFS(Dados!$E:$E,$B20,Dados!$C:$C,S$3))</f>
        <v/>
      </c>
      <c r="T20" s="66" t="str">
        <f>IF(COUNTIFS(Dados!$E:$E,$B20,Dados!$C:$C,T$3)=0,"",SUMIFS(Dados!$G:$G,Dados!$E:$E,$B20,Dados!$C:$C,T$3)/COUNTIFS(Dados!$E:$E,$B20,Dados!$C:$C,T$3))</f>
        <v/>
      </c>
      <c r="U20" s="66" t="str">
        <f>IF(COUNTIFS(Dados!$E:$E,$B20,Dados!$C:$C,U$3)=0,"",SUMIFS(Dados!$G:$G,Dados!$E:$E,$B20,Dados!$C:$C,U$3)/COUNTIFS(Dados!$E:$E,$B20,Dados!$C:$C,U$3))</f>
        <v/>
      </c>
      <c r="V20" s="66" t="str">
        <f>IF(COUNTIFS(Dados!$E:$E,$B20,Dados!$C:$C,V$3)=0,"",SUMIFS(Dados!$G:$G,Dados!$E:$E,$B20,Dados!$C:$C,V$3)/COUNTIFS(Dados!$E:$E,$B20,Dados!$C:$C,V$3))</f>
        <v/>
      </c>
    </row>
    <row r="21" spans="2:22" x14ac:dyDescent="0.25">
      <c r="B21" s="67" t="s">
        <v>375</v>
      </c>
      <c r="C21" s="71">
        <v>18</v>
      </c>
      <c r="D21" s="68" t="str">
        <f>IF(COUNTIFS(Dados!$E:$E,$B21,Dados!$C:$C,D$3)=0,"",SUMIFS(Dados!$G:$G,Dados!$E:$E,$B21,Dados!$C:$C,D$3)/COUNTIFS(Dados!$E:$E,$B21,Dados!$C:$C,D$3))</f>
        <v/>
      </c>
      <c r="E21" s="68" t="str">
        <f>IF(COUNTIFS(Dados!$E:$E,$B21,Dados!$C:$C,E$3)=0,"",SUMIFS(Dados!$G:$G,Dados!$E:$E,$B21,Dados!$C:$C,E$3)/COUNTIFS(Dados!$E:$E,$B21,Dados!$C:$C,E$3))</f>
        <v/>
      </c>
      <c r="F21" s="68" t="str">
        <f>IF(COUNTIFS(Dados!$E:$E,$B21,Dados!$C:$C,F$3)=0,"",SUMIFS(Dados!$G:$G,Dados!$E:$E,$B21,Dados!$C:$C,F$3)/COUNTIFS(Dados!$E:$E,$B21,Dados!$C:$C,F$3))</f>
        <v/>
      </c>
      <c r="G21" s="68" t="str">
        <f>IF(COUNTIFS(Dados!$E:$E,$B21,Dados!$C:$C,G$3)=0,"",SUMIFS(Dados!$G:$G,Dados!$E:$E,$B21,Dados!$C:$C,G$3)/COUNTIFS(Dados!$E:$E,$B21,Dados!$C:$C,G$3))</f>
        <v/>
      </c>
      <c r="H21" s="68" t="str">
        <f>IF(COUNTIFS(Dados!$E:$E,$B21,Dados!$C:$C,H$3)=0,"",SUMIFS(Dados!$G:$G,Dados!$E:$E,$B21,Dados!$C:$C,H$3)/COUNTIFS(Dados!$E:$E,$B21,Dados!$C:$C,H$3))</f>
        <v/>
      </c>
      <c r="I21" s="68" t="str">
        <f>IF(COUNTIFS(Dados!$E:$E,$B21,Dados!$C:$C,I$3)=0,"",SUMIFS(Dados!$G:$G,Dados!$E:$E,$B21,Dados!$C:$C,I$3)/COUNTIFS(Dados!$E:$E,$B21,Dados!$C:$C,I$3))</f>
        <v/>
      </c>
      <c r="J21" s="68" t="str">
        <f>IF(COUNTIFS(Dados!$E:$E,$B21,Dados!$C:$C,J$3)=0,"",SUMIFS(Dados!$G:$G,Dados!$E:$E,$B21,Dados!$C:$C,J$3)/COUNTIFS(Dados!$E:$E,$B21,Dados!$C:$C,J$3))</f>
        <v/>
      </c>
      <c r="K21" s="68" t="str">
        <f>IF(COUNTIFS(Dados!$E:$E,$B21,Dados!$C:$C,K$3)=0,"",SUMIFS(Dados!$G:$G,Dados!$E:$E,$B21,Dados!$C:$C,K$3)/COUNTIFS(Dados!$E:$E,$B21,Dados!$C:$C,K$3))</f>
        <v/>
      </c>
      <c r="L21" s="68" t="str">
        <f>IF(COUNTIFS(Dados!$E:$E,$B21,Dados!$C:$C,L$3)=0,"",SUMIFS(Dados!$G:$G,Dados!$E:$E,$B21,Dados!$C:$C,L$3)/COUNTIFS(Dados!$E:$E,$B21,Dados!$C:$C,L$3))</f>
        <v/>
      </c>
      <c r="M21" s="68" t="str">
        <f>IF(COUNTIFS(Dados!$E:$E,$B21,Dados!$C:$C,M$3)=0,"",SUMIFS(Dados!$G:$G,Dados!$E:$E,$B21,Dados!$C:$C,M$3)/COUNTIFS(Dados!$E:$E,$B21,Dados!$C:$C,M$3))</f>
        <v/>
      </c>
      <c r="N21" s="68" t="str">
        <f>IF(COUNTIFS(Dados!$E:$E,$B21,Dados!$C:$C,N$3)=0,"",SUMIFS(Dados!$G:$G,Dados!$E:$E,$B21,Dados!$C:$C,N$3)/COUNTIFS(Dados!$E:$E,$B21,Dados!$C:$C,N$3))</f>
        <v/>
      </c>
      <c r="O21" s="68" t="str">
        <f>IF(COUNTIFS(Dados!$E:$E,$B21,Dados!$C:$C,O$3)=0,"",SUMIFS(Dados!$G:$G,Dados!$E:$E,$B21,Dados!$C:$C,O$3)/COUNTIFS(Dados!$E:$E,$B21,Dados!$C:$C,O$3))</f>
        <v/>
      </c>
      <c r="P21" s="68" t="str">
        <f>IF(COUNTIFS(Dados!$E:$E,$B21,Dados!$C:$C,P$3)=0,"",SUMIFS(Dados!$G:$G,Dados!$E:$E,$B21,Dados!$C:$C,P$3)/COUNTIFS(Dados!$E:$E,$B21,Dados!$C:$C,P$3))</f>
        <v/>
      </c>
      <c r="Q21" s="68" t="str">
        <f>IF(COUNTIFS(Dados!$E:$E,$B21,Dados!$C:$C,Q$3)=0,"",SUMIFS(Dados!$G:$G,Dados!$E:$E,$B21,Dados!$C:$C,Q$3)/COUNTIFS(Dados!$E:$E,$B21,Dados!$C:$C,Q$3))</f>
        <v/>
      </c>
      <c r="R21" s="68" t="str">
        <f>IF(COUNTIFS(Dados!$E:$E,$B21,Dados!$C:$C,R$3)=0,"",SUMIFS(Dados!$G:$G,Dados!$E:$E,$B21,Dados!$C:$C,R$3)/COUNTIFS(Dados!$E:$E,$B21,Dados!$C:$C,R$3))</f>
        <v/>
      </c>
      <c r="S21" s="68" t="str">
        <f>IF(COUNTIFS(Dados!$E:$E,$B21,Dados!$C:$C,S$3)=0,"",SUMIFS(Dados!$G:$G,Dados!$E:$E,$B21,Dados!$C:$C,S$3)/COUNTIFS(Dados!$E:$E,$B21,Dados!$C:$C,S$3))</f>
        <v/>
      </c>
      <c r="T21" s="68" t="str">
        <f>IF(COUNTIFS(Dados!$E:$E,$B21,Dados!$C:$C,T$3)=0,"",SUMIFS(Dados!$G:$G,Dados!$E:$E,$B21,Dados!$C:$C,T$3)/COUNTIFS(Dados!$E:$E,$B21,Dados!$C:$C,T$3))</f>
        <v/>
      </c>
      <c r="U21" s="68" t="str">
        <f>IF(COUNTIFS(Dados!$E:$E,$B21,Dados!$C:$C,U$3)=0,"",SUMIFS(Dados!$G:$G,Dados!$E:$E,$B21,Dados!$C:$C,U$3)/COUNTIFS(Dados!$E:$E,$B21,Dados!$C:$C,U$3))</f>
        <v/>
      </c>
      <c r="V21" s="68">
        <f>IF(COUNTIFS(Dados!$E:$E,$B21,Dados!$C:$C,V$3)=0,"",SUMIFS(Dados!$G:$G,Dados!$E:$E,$B21,Dados!$C:$C,V$3)/COUNTIFS(Dados!$E:$E,$B21,Dados!$C:$C,V$3))</f>
        <v>0.91359104584814776</v>
      </c>
    </row>
    <row r="22" spans="2:22" x14ac:dyDescent="0.25">
      <c r="B22" s="65" t="s">
        <v>1300</v>
      </c>
      <c r="C22" s="72">
        <v>19</v>
      </c>
      <c r="D22" s="66" t="str">
        <f>IF(COUNTIFS(Dados!$E:$E,$B22,Dados!$C:$C,D$3)=0,"",SUMIFS(Dados!$G:$G,Dados!$E:$E,$B22,Dados!$C:$C,D$3)/COUNTIFS(Dados!$E:$E,$B22,Dados!$C:$C,D$3))</f>
        <v/>
      </c>
      <c r="E22" s="66" t="str">
        <f>IF(COUNTIFS(Dados!$E:$E,$B22,Dados!$C:$C,E$3)=0,"",SUMIFS(Dados!$G:$G,Dados!$E:$E,$B22,Dados!$C:$C,E$3)/COUNTIFS(Dados!$E:$E,$B22,Dados!$C:$C,E$3))</f>
        <v/>
      </c>
      <c r="F22" s="66" t="str">
        <f>IF(COUNTIFS(Dados!$E:$E,$B22,Dados!$C:$C,F$3)=0,"",SUMIFS(Dados!$G:$G,Dados!$E:$E,$B22,Dados!$C:$C,F$3)/COUNTIFS(Dados!$E:$E,$B22,Dados!$C:$C,F$3))</f>
        <v/>
      </c>
      <c r="G22" s="66" t="str">
        <f>IF(COUNTIFS(Dados!$E:$E,$B22,Dados!$C:$C,G$3)=0,"",SUMIFS(Dados!$G:$G,Dados!$E:$E,$B22,Dados!$C:$C,G$3)/COUNTIFS(Dados!$E:$E,$B22,Dados!$C:$C,G$3))</f>
        <v/>
      </c>
      <c r="H22" s="66" t="str">
        <f>IF(COUNTIFS(Dados!$E:$E,$B22,Dados!$C:$C,H$3)=0,"",SUMIFS(Dados!$G:$G,Dados!$E:$E,$B22,Dados!$C:$C,H$3)/COUNTIFS(Dados!$E:$E,$B22,Dados!$C:$C,H$3))</f>
        <v/>
      </c>
      <c r="I22" s="66" t="str">
        <f>IF(COUNTIFS(Dados!$E:$E,$B22,Dados!$C:$C,I$3)=0,"",SUMIFS(Dados!$G:$G,Dados!$E:$E,$B22,Dados!$C:$C,I$3)/COUNTIFS(Dados!$E:$E,$B22,Dados!$C:$C,I$3))</f>
        <v/>
      </c>
      <c r="J22" s="66" t="str">
        <f>IF(COUNTIFS(Dados!$E:$E,$B22,Dados!$C:$C,J$3)=0,"",SUMIFS(Dados!$G:$G,Dados!$E:$E,$B22,Dados!$C:$C,J$3)/COUNTIFS(Dados!$E:$E,$B22,Dados!$C:$C,J$3))</f>
        <v/>
      </c>
      <c r="K22" s="66" t="str">
        <f>IF(COUNTIFS(Dados!$E:$E,$B22,Dados!$C:$C,K$3)=0,"",SUMIFS(Dados!$G:$G,Dados!$E:$E,$B22,Dados!$C:$C,K$3)/COUNTIFS(Dados!$E:$E,$B22,Dados!$C:$C,K$3))</f>
        <v/>
      </c>
      <c r="L22" s="66" t="str">
        <f>IF(COUNTIFS(Dados!$E:$E,$B22,Dados!$C:$C,L$3)=0,"",SUMIFS(Dados!$G:$G,Dados!$E:$E,$B22,Dados!$C:$C,L$3)/COUNTIFS(Dados!$E:$E,$B22,Dados!$C:$C,L$3))</f>
        <v/>
      </c>
      <c r="M22" s="66" t="str">
        <f>IF(COUNTIFS(Dados!$E:$E,$B22,Dados!$C:$C,M$3)=0,"",SUMIFS(Dados!$G:$G,Dados!$E:$E,$B22,Dados!$C:$C,M$3)/COUNTIFS(Dados!$E:$E,$B22,Dados!$C:$C,M$3))</f>
        <v/>
      </c>
      <c r="N22" s="66" t="str">
        <f>IF(COUNTIFS(Dados!$E:$E,$B22,Dados!$C:$C,N$3)=0,"",SUMIFS(Dados!$G:$G,Dados!$E:$E,$B22,Dados!$C:$C,N$3)/COUNTIFS(Dados!$E:$E,$B22,Dados!$C:$C,N$3))</f>
        <v/>
      </c>
      <c r="O22" s="66" t="str">
        <f>IF(COUNTIFS(Dados!$E:$E,$B22,Dados!$C:$C,O$3)=0,"",SUMIFS(Dados!$G:$G,Dados!$E:$E,$B22,Dados!$C:$C,O$3)/COUNTIFS(Dados!$E:$E,$B22,Dados!$C:$C,O$3))</f>
        <v/>
      </c>
      <c r="P22" s="66" t="str">
        <f>IF(COUNTIFS(Dados!$E:$E,$B22,Dados!$C:$C,P$3)=0,"",SUMIFS(Dados!$G:$G,Dados!$E:$E,$B22,Dados!$C:$C,P$3)/COUNTIFS(Dados!$E:$E,$B22,Dados!$C:$C,P$3))</f>
        <v/>
      </c>
      <c r="Q22" s="66" t="str">
        <f>IF(COUNTIFS(Dados!$E:$E,$B22,Dados!$C:$C,Q$3)=0,"",SUMIFS(Dados!$G:$G,Dados!$E:$E,$B22,Dados!$C:$C,Q$3)/COUNTIFS(Dados!$E:$E,$B22,Dados!$C:$C,Q$3))</f>
        <v/>
      </c>
      <c r="R22" s="66" t="str">
        <f>IF(COUNTIFS(Dados!$E:$E,$B22,Dados!$C:$C,R$3)=0,"",SUMIFS(Dados!$G:$G,Dados!$E:$E,$B22,Dados!$C:$C,R$3)/COUNTIFS(Dados!$E:$E,$B22,Dados!$C:$C,R$3))</f>
        <v/>
      </c>
      <c r="S22" s="66" t="str">
        <f>IF(COUNTIFS(Dados!$E:$E,$B22,Dados!$C:$C,S$3)=0,"",SUMIFS(Dados!$G:$G,Dados!$E:$E,$B22,Dados!$C:$C,S$3)/COUNTIFS(Dados!$E:$E,$B22,Dados!$C:$C,S$3))</f>
        <v/>
      </c>
      <c r="T22" s="66" t="str">
        <f>IF(COUNTIFS(Dados!$E:$E,$B22,Dados!$C:$C,T$3)=0,"",SUMIFS(Dados!$G:$G,Dados!$E:$E,$B22,Dados!$C:$C,T$3)/COUNTIFS(Dados!$E:$E,$B22,Dados!$C:$C,T$3))</f>
        <v/>
      </c>
      <c r="U22" s="66" t="str">
        <f>IF(COUNTIFS(Dados!$E:$E,$B22,Dados!$C:$C,U$3)=0,"",SUMIFS(Dados!$G:$G,Dados!$E:$E,$B22,Dados!$C:$C,U$3)/COUNTIFS(Dados!$E:$E,$B22,Dados!$C:$C,U$3))</f>
        <v/>
      </c>
      <c r="V22" s="66" t="str">
        <f>IF(COUNTIFS(Dados!$E:$E,$B22,Dados!$C:$C,V$3)=0,"",SUMIFS(Dados!$G:$G,Dados!$E:$E,$B22,Dados!$C:$C,V$3)/COUNTIFS(Dados!$E:$E,$B22,Dados!$C:$C,V$3))</f>
        <v/>
      </c>
    </row>
    <row r="23" spans="2:22" x14ac:dyDescent="0.25">
      <c r="B23" s="63" t="s">
        <v>983</v>
      </c>
      <c r="C23" s="63"/>
      <c r="D23" s="63" t="s">
        <v>978</v>
      </c>
      <c r="E23" s="73">
        <v>1.5</v>
      </c>
    </row>
    <row r="24" spans="2:22" x14ac:dyDescent="0.25">
      <c r="B24" s="69" t="s">
        <v>974</v>
      </c>
      <c r="C24" s="70" t="s">
        <v>1291</v>
      </c>
      <c r="D24" s="61">
        <v>1978</v>
      </c>
      <c r="E24" s="61">
        <v>1982</v>
      </c>
      <c r="F24" s="61">
        <v>1991</v>
      </c>
      <c r="G24" s="61">
        <v>1996</v>
      </c>
      <c r="H24" s="61">
        <v>1997</v>
      </c>
      <c r="I24" s="61">
        <v>1998</v>
      </c>
      <c r="J24" s="61">
        <v>1999</v>
      </c>
      <c r="K24" s="61">
        <v>2000</v>
      </c>
      <c r="L24" s="61">
        <v>2001</v>
      </c>
      <c r="M24" s="61">
        <v>2002</v>
      </c>
      <c r="N24" s="61">
        <v>2003</v>
      </c>
      <c r="O24" s="61">
        <v>2004</v>
      </c>
      <c r="P24" s="61">
        <v>2005</v>
      </c>
      <c r="Q24" s="61">
        <v>2006</v>
      </c>
      <c r="R24" s="61">
        <v>2007</v>
      </c>
      <c r="S24" s="61">
        <v>2008</v>
      </c>
      <c r="T24" s="61">
        <v>2010</v>
      </c>
      <c r="U24" s="61">
        <v>2011</v>
      </c>
      <c r="V24" s="61">
        <v>2012</v>
      </c>
    </row>
    <row r="25" spans="2:22" x14ac:dyDescent="0.25">
      <c r="B25" s="65" t="s">
        <v>107</v>
      </c>
      <c r="C25" s="72">
        <f>VLOOKUP(B25,B4:C22,2,0)</f>
        <v>1</v>
      </c>
      <c r="D25" s="66" t="str">
        <f>IF(COUNTIFS(Dados!$E:$E,$B25,Dados!$C:$C,INDEX(D$3,1,1),Dados!$A:$A,INDEX($D:$E,MATCH("Y",$D:$D,0),2))=0,"",SUMIFS(Dados!$G:$G,Dados!$E:$E,$B25,Dados!$C:$C,INDEX(D$3,1,1),Dados!$A:$A,INDEX($D:$E,MATCH("Y",$D:$D,0),2))/COUNTIFS(Dados!$E:$E,$B25,Dados!$C:$C,INDEX(D$3,1,1),Dados!$A:$A,INDEX($D:$E,MATCH("Y",$D:$D,0),2)))</f>
        <v/>
      </c>
      <c r="E25" s="66" t="str">
        <f>IF(COUNTIFS(Dados!$E:$E,$B25,Dados!$C:$C,INDEX(E$3,1,1),Dados!$A:$A,INDEX($D:$E,MATCH("Y",$D:$D,0),2))=0,"",SUMIFS(Dados!$G:$G,Dados!$E:$E,$B25,Dados!$C:$C,INDEX(E$3,1,1),Dados!$A:$A,INDEX($D:$E,MATCH("Y",$D:$D,0),2))/COUNTIFS(Dados!$E:$E,$B25,Dados!$C:$C,INDEX(E$3,1,1),Dados!$A:$A,INDEX($D:$E,MATCH("Y",$D:$D,0),2)))</f>
        <v/>
      </c>
      <c r="F25" s="66" t="str">
        <f>IF(COUNTIFS(Dados!$E:$E,$B25,Dados!$C:$C,INDEX(F$3,1,1),Dados!$A:$A,INDEX($D:$E,MATCH("Y",$D:$D,0),2))=0,"",SUMIFS(Dados!$G:$G,Dados!$E:$E,$B25,Dados!$C:$C,INDEX(F$3,1,1),Dados!$A:$A,INDEX($D:$E,MATCH("Y",$D:$D,0),2))/COUNTIFS(Dados!$E:$E,$B25,Dados!$C:$C,INDEX(F$3,1,1),Dados!$A:$A,INDEX($D:$E,MATCH("Y",$D:$D,0),2)))</f>
        <v/>
      </c>
      <c r="G25" s="66" t="str">
        <f>IF(COUNTIFS(Dados!$E:$E,$B25,Dados!$C:$C,INDEX(G$3,1,1),Dados!$A:$A,INDEX($D:$E,MATCH("Y",$D:$D,0),2))=0,"",SUMIFS(Dados!$G:$G,Dados!$E:$E,$B25,Dados!$C:$C,INDEX(G$3,1,1),Dados!$A:$A,INDEX($D:$E,MATCH("Y",$D:$D,0),2))/COUNTIFS(Dados!$E:$E,$B25,Dados!$C:$C,INDEX(G$3,1,1),Dados!$A:$A,INDEX($D:$E,MATCH("Y",$D:$D,0),2)))</f>
        <v/>
      </c>
      <c r="H25" s="66" t="str">
        <f>IF(COUNTIFS(Dados!$E:$E,$B25,Dados!$C:$C,INDEX(H$3,1,1),Dados!$A:$A,INDEX($D:$E,MATCH("Y",$D:$D,0),2))=0,"",SUMIFS(Dados!$G:$G,Dados!$E:$E,$B25,Dados!$C:$C,INDEX(H$3,1,1),Dados!$A:$A,INDEX($D:$E,MATCH("Y",$D:$D,0),2))/COUNTIFS(Dados!$E:$E,$B25,Dados!$C:$C,INDEX(H$3,1,1),Dados!$A:$A,INDEX($D:$E,MATCH("Y",$D:$D,0),2)))</f>
        <v/>
      </c>
      <c r="I25" s="66" t="str">
        <f>IF(COUNTIFS(Dados!$E:$E,$B25,Dados!$C:$C,INDEX(I$3,1,1),Dados!$A:$A,INDEX($D:$E,MATCH("Y",$D:$D,0),2))=0,"",SUMIFS(Dados!$G:$G,Dados!$E:$E,$B25,Dados!$C:$C,INDEX(I$3,1,1),Dados!$A:$A,INDEX($D:$E,MATCH("Y",$D:$D,0),2))/COUNTIFS(Dados!$E:$E,$B25,Dados!$C:$C,INDEX(I$3,1,1),Dados!$A:$A,INDEX($D:$E,MATCH("Y",$D:$D,0),2)))</f>
        <v/>
      </c>
      <c r="J25" s="66" t="str">
        <f>IF(COUNTIFS(Dados!$E:$E,$B25,Dados!$C:$C,INDEX(J$3,1,1),Dados!$A:$A,INDEX($D:$E,MATCH("Y",$D:$D,0),2))=0,"",SUMIFS(Dados!$G:$G,Dados!$E:$E,$B25,Dados!$C:$C,INDEX(J$3,1,1),Dados!$A:$A,INDEX($D:$E,MATCH("Y",$D:$D,0),2))/COUNTIFS(Dados!$E:$E,$B25,Dados!$C:$C,INDEX(J$3,1,1),Dados!$A:$A,INDEX($D:$E,MATCH("Y",$D:$D,0),2)))</f>
        <v/>
      </c>
      <c r="K25" s="66" t="str">
        <f>IF(COUNTIFS(Dados!$E:$E,$B25,Dados!$C:$C,INDEX(K$3,1,1),Dados!$A:$A,INDEX($D:$E,MATCH("Y",$D:$D,0),2))=0,"",SUMIFS(Dados!$G:$G,Dados!$E:$E,$B25,Dados!$C:$C,INDEX(K$3,1,1),Dados!$A:$A,INDEX($D:$E,MATCH("Y",$D:$D,0),2))/COUNTIFS(Dados!$E:$E,$B25,Dados!$C:$C,INDEX(K$3,1,1),Dados!$A:$A,INDEX($D:$E,MATCH("Y",$D:$D,0),2)))</f>
        <v/>
      </c>
      <c r="L25" s="66">
        <f>IF(COUNTIFS(Dados!$E:$E,$B25,Dados!$C:$C,INDEX(L$3,1,1),Dados!$A:$A,INDEX($D:$E,MATCH("Y",$D:$D,0),2))=0,"",SUMIFS(Dados!$G:$G,Dados!$E:$E,$B25,Dados!$C:$C,INDEX(L$3,1,1),Dados!$A:$A,INDEX($D:$E,MATCH("Y",$D:$D,0),2))/COUNTIFS(Dados!$E:$E,$B25,Dados!$C:$C,INDEX(L$3,1,1),Dados!$A:$A,INDEX($D:$E,MATCH("Y",$D:$D,0),2)))</f>
        <v>0.77506834650449952</v>
      </c>
      <c r="M25" s="66" t="str">
        <f>IF(COUNTIFS(Dados!$E:$E,$B25,Dados!$C:$C,INDEX(M$3,1,1),Dados!$A:$A,INDEX($D:$E,MATCH("Y",$D:$D,0),2))=0,"",SUMIFS(Dados!$G:$G,Dados!$E:$E,$B25,Dados!$C:$C,INDEX(M$3,1,1),Dados!$A:$A,INDEX($D:$E,MATCH("Y",$D:$D,0),2))/COUNTIFS(Dados!$E:$E,$B25,Dados!$C:$C,INDEX(M$3,1,1),Dados!$A:$A,INDEX($D:$E,MATCH("Y",$D:$D,0),2)))</f>
        <v/>
      </c>
      <c r="N25" s="66">
        <f>IF(COUNTIFS(Dados!$E:$E,$B25,Dados!$C:$C,INDEX(N$3,1,1),Dados!$A:$A,INDEX($D:$E,MATCH("Y",$D:$D,0),2))=0,"",SUMIFS(Dados!$G:$G,Dados!$E:$E,$B25,Dados!$C:$C,INDEX(N$3,1,1),Dados!$A:$A,INDEX($D:$E,MATCH("Y",$D:$D,0),2))/COUNTIFS(Dados!$E:$E,$B25,Dados!$C:$C,INDEX(N$3,1,1),Dados!$A:$A,INDEX($D:$E,MATCH("Y",$D:$D,0),2)))</f>
        <v>0.92638069867071471</v>
      </c>
      <c r="O25" s="66" t="str">
        <f>IF(COUNTIFS(Dados!$E:$E,$B25,Dados!$C:$C,INDEX(O$3,1,1),Dados!$A:$A,INDEX($D:$E,MATCH("Y",$D:$D,0),2))=0,"",SUMIFS(Dados!$G:$G,Dados!$E:$E,$B25,Dados!$C:$C,INDEX(O$3,1,1),Dados!$A:$A,INDEX($D:$E,MATCH("Y",$D:$D,0),2))/COUNTIFS(Dados!$E:$E,$B25,Dados!$C:$C,INDEX(O$3,1,1),Dados!$A:$A,INDEX($D:$E,MATCH("Y",$D:$D,0),2)))</f>
        <v/>
      </c>
      <c r="P25" s="66" t="str">
        <f>IF(COUNTIFS(Dados!$E:$E,$B25,Dados!$C:$C,INDEX(P$3,1,1),Dados!$A:$A,INDEX($D:$E,MATCH("Y",$D:$D,0),2))=0,"",SUMIFS(Dados!$G:$G,Dados!$E:$E,$B25,Dados!$C:$C,INDEX(P$3,1,1),Dados!$A:$A,INDEX($D:$E,MATCH("Y",$D:$D,0),2))/COUNTIFS(Dados!$E:$E,$B25,Dados!$C:$C,INDEX(P$3,1,1),Dados!$A:$A,INDEX($D:$E,MATCH("Y",$D:$D,0),2)))</f>
        <v/>
      </c>
      <c r="Q25" s="66" t="str">
        <f>IF(COUNTIFS(Dados!$E:$E,$B25,Dados!$C:$C,INDEX(Q$3,1,1),Dados!$A:$A,INDEX($D:$E,MATCH("Y",$D:$D,0),2))=0,"",SUMIFS(Dados!$G:$G,Dados!$E:$E,$B25,Dados!$C:$C,INDEX(Q$3,1,1),Dados!$A:$A,INDEX($D:$E,MATCH("Y",$D:$D,0),2))/COUNTIFS(Dados!$E:$E,$B25,Dados!$C:$C,INDEX(Q$3,1,1),Dados!$A:$A,INDEX($D:$E,MATCH("Y",$D:$D,0),2)))</f>
        <v/>
      </c>
      <c r="R25" s="66" t="str">
        <f>IF(COUNTIFS(Dados!$E:$E,$B25,Dados!$C:$C,INDEX(R$3,1,1),Dados!$A:$A,INDEX($D:$E,MATCH("Y",$D:$D,0),2))=0,"",SUMIFS(Dados!$G:$G,Dados!$E:$E,$B25,Dados!$C:$C,INDEX(R$3,1,1),Dados!$A:$A,INDEX($D:$E,MATCH("Y",$D:$D,0),2))/COUNTIFS(Dados!$E:$E,$B25,Dados!$C:$C,INDEX(R$3,1,1),Dados!$A:$A,INDEX($D:$E,MATCH("Y",$D:$D,0),2)))</f>
        <v/>
      </c>
      <c r="S25" s="66" t="str">
        <f>IF(COUNTIFS(Dados!$E:$E,$B25,Dados!$C:$C,INDEX(S$3,1,1),Dados!$A:$A,INDEX($D:$E,MATCH("Y",$D:$D,0),2))=0,"",SUMIFS(Dados!$G:$G,Dados!$E:$E,$B25,Dados!$C:$C,INDEX(S$3,1,1),Dados!$A:$A,INDEX($D:$E,MATCH("Y",$D:$D,0),2))/COUNTIFS(Dados!$E:$E,$B25,Dados!$C:$C,INDEX(S$3,1,1),Dados!$A:$A,INDEX($D:$E,MATCH("Y",$D:$D,0),2)))</f>
        <v/>
      </c>
      <c r="T25" s="66" t="str">
        <f>IF(COUNTIFS(Dados!$E:$E,$B25,Dados!$C:$C,INDEX(T$3,1,1),Dados!$A:$A,INDEX($D:$E,MATCH("Y",$D:$D,0),2))=0,"",SUMIFS(Dados!$G:$G,Dados!$E:$E,$B25,Dados!$C:$C,INDEX(T$3,1,1),Dados!$A:$A,INDEX($D:$E,MATCH("Y",$D:$D,0),2))/COUNTIFS(Dados!$E:$E,$B25,Dados!$C:$C,INDEX(T$3,1,1),Dados!$A:$A,INDEX($D:$E,MATCH("Y",$D:$D,0),2)))</f>
        <v/>
      </c>
      <c r="U25" s="66" t="str">
        <f>IF(COUNTIFS(Dados!$E:$E,$B25,Dados!$C:$C,INDEX(U$3,1,1),Dados!$A:$A,INDEX($D:$E,MATCH("Y",$D:$D,0),2))=0,"",SUMIFS(Dados!$G:$G,Dados!$E:$E,$B25,Dados!$C:$C,INDEX(U$3,1,1),Dados!$A:$A,INDEX($D:$E,MATCH("Y",$D:$D,0),2))/COUNTIFS(Dados!$E:$E,$B25,Dados!$C:$C,INDEX(U$3,1,1),Dados!$A:$A,INDEX($D:$E,MATCH("Y",$D:$D,0),2)))</f>
        <v/>
      </c>
      <c r="V25" s="66" t="str">
        <f>IF(COUNTIFS(Dados!$E:$E,$B25,Dados!$C:$C,INDEX(V$3,1,1),Dados!$A:$A,INDEX($D:$E,MATCH("Y",$D:$D,0),2))=0,"",SUMIFS(Dados!$G:$G,Dados!$E:$E,$B25,Dados!$C:$C,INDEX(V$3,1,1),Dados!$A:$A,INDEX($D:$E,MATCH("Y",$D:$D,0),2))/COUNTIFS(Dados!$E:$E,$B25,Dados!$C:$C,INDEX(V$3,1,1),Dados!$A:$A,INDEX($D:$E,MATCH("Y",$D:$D,0),2)))</f>
        <v/>
      </c>
    </row>
    <row r="26" spans="2:22" x14ac:dyDescent="0.25">
      <c r="B26" s="67" t="s">
        <v>96</v>
      </c>
      <c r="C26" s="71">
        <f>VLOOKUP(B26,B4:C22,2,0)</f>
        <v>2</v>
      </c>
      <c r="D26" s="68" t="str">
        <f>IF(COUNTIFS(Dados!$E:$E,$B26,Dados!$C:$C,INDEX(D$3,1,1),Dados!$A:$A,INDEX($D:$E,MATCH("Y",$D:$D,0),2))=0,"",SUMIFS(Dados!$G:$G,Dados!$E:$E,$B26,Dados!$C:$C,INDEX(D$3,1,1),Dados!$A:$A,INDEX($D:$E,MATCH("Y",$D:$D,0),2))/COUNTIFS(Dados!$E:$E,$B26,Dados!$C:$C,INDEX(D$3,1,1),Dados!$A:$A,INDEX($D:$E,MATCH("Y",$D:$D,0),2)))</f>
        <v/>
      </c>
      <c r="E26" s="68" t="str">
        <f>IF(COUNTIFS(Dados!$E:$E,$B26,Dados!$C:$C,INDEX(E$3,1,1),Dados!$A:$A,INDEX($D:$E,MATCH("Y",$D:$D,0),2))=0,"",SUMIFS(Dados!$G:$G,Dados!$E:$E,$B26,Dados!$C:$C,INDEX(E$3,1,1),Dados!$A:$A,INDEX($D:$E,MATCH("Y",$D:$D,0),2))/COUNTIFS(Dados!$E:$E,$B26,Dados!$C:$C,INDEX(E$3,1,1),Dados!$A:$A,INDEX($D:$E,MATCH("Y",$D:$D,0),2)))</f>
        <v/>
      </c>
      <c r="F26" s="68" t="str">
        <f>IF(COUNTIFS(Dados!$E:$E,$B26,Dados!$C:$C,INDEX(F$3,1,1),Dados!$A:$A,INDEX($D:$E,MATCH("Y",$D:$D,0),2))=0,"",SUMIFS(Dados!$G:$G,Dados!$E:$E,$B26,Dados!$C:$C,INDEX(F$3,1,1),Dados!$A:$A,INDEX($D:$E,MATCH("Y",$D:$D,0),2))/COUNTIFS(Dados!$E:$E,$B26,Dados!$C:$C,INDEX(F$3,1,1),Dados!$A:$A,INDEX($D:$E,MATCH("Y",$D:$D,0),2)))</f>
        <v/>
      </c>
      <c r="G26" s="68">
        <f>IF(COUNTIFS(Dados!$E:$E,$B26,Dados!$C:$C,INDEX(G$3,1,1),Dados!$A:$A,INDEX($D:$E,MATCH("Y",$D:$D,0),2))=0,"",SUMIFS(Dados!$G:$G,Dados!$E:$E,$B26,Dados!$C:$C,INDEX(G$3,1,1),Dados!$A:$A,INDEX($D:$E,MATCH("Y",$D:$D,0),2))/COUNTIFS(Dados!$E:$E,$B26,Dados!$C:$C,INDEX(G$3,1,1),Dados!$A:$A,INDEX($D:$E,MATCH("Y",$D:$D,0),2)))</f>
        <v>0.73874740999999988</v>
      </c>
      <c r="H26" s="68" t="str">
        <f>IF(COUNTIFS(Dados!$E:$E,$B26,Dados!$C:$C,INDEX(H$3,1,1),Dados!$A:$A,INDEX($D:$E,MATCH("Y",$D:$D,0),2))=0,"",SUMIFS(Dados!$G:$G,Dados!$E:$E,$B26,Dados!$C:$C,INDEX(H$3,1,1),Dados!$A:$A,INDEX($D:$E,MATCH("Y",$D:$D,0),2))/COUNTIFS(Dados!$E:$E,$B26,Dados!$C:$C,INDEX(H$3,1,1),Dados!$A:$A,INDEX($D:$E,MATCH("Y",$D:$D,0),2)))</f>
        <v/>
      </c>
      <c r="I26" s="68" t="str">
        <f>IF(COUNTIFS(Dados!$E:$E,$B26,Dados!$C:$C,INDEX(I$3,1,1),Dados!$A:$A,INDEX($D:$E,MATCH("Y",$D:$D,0),2))=0,"",SUMIFS(Dados!$G:$G,Dados!$E:$E,$B26,Dados!$C:$C,INDEX(I$3,1,1),Dados!$A:$A,INDEX($D:$E,MATCH("Y",$D:$D,0),2))/COUNTIFS(Dados!$E:$E,$B26,Dados!$C:$C,INDEX(I$3,1,1),Dados!$A:$A,INDEX($D:$E,MATCH("Y",$D:$D,0),2)))</f>
        <v/>
      </c>
      <c r="J26" s="68" t="str">
        <f>IF(COUNTIFS(Dados!$E:$E,$B26,Dados!$C:$C,INDEX(J$3,1,1),Dados!$A:$A,INDEX($D:$E,MATCH("Y",$D:$D,0),2))=0,"",SUMIFS(Dados!$G:$G,Dados!$E:$E,$B26,Dados!$C:$C,INDEX(J$3,1,1),Dados!$A:$A,INDEX($D:$E,MATCH("Y",$D:$D,0),2))/COUNTIFS(Dados!$E:$E,$B26,Dados!$C:$C,INDEX(J$3,1,1),Dados!$A:$A,INDEX($D:$E,MATCH("Y",$D:$D,0),2)))</f>
        <v/>
      </c>
      <c r="K26" s="68" t="str">
        <f>IF(COUNTIFS(Dados!$E:$E,$B26,Dados!$C:$C,INDEX(K$3,1,1),Dados!$A:$A,INDEX($D:$E,MATCH("Y",$D:$D,0),2))=0,"",SUMIFS(Dados!$G:$G,Dados!$E:$E,$B26,Dados!$C:$C,INDEX(K$3,1,1),Dados!$A:$A,INDEX($D:$E,MATCH("Y",$D:$D,0),2))/COUNTIFS(Dados!$E:$E,$B26,Dados!$C:$C,INDEX(K$3,1,1),Dados!$A:$A,INDEX($D:$E,MATCH("Y",$D:$D,0),2)))</f>
        <v/>
      </c>
      <c r="L26" s="68" t="str">
        <f>IF(COUNTIFS(Dados!$E:$E,$B26,Dados!$C:$C,INDEX(L$3,1,1),Dados!$A:$A,INDEX($D:$E,MATCH("Y",$D:$D,0),2))=0,"",SUMIFS(Dados!$G:$G,Dados!$E:$E,$B26,Dados!$C:$C,INDEX(L$3,1,1),Dados!$A:$A,INDEX($D:$E,MATCH("Y",$D:$D,0),2))/COUNTIFS(Dados!$E:$E,$B26,Dados!$C:$C,INDEX(L$3,1,1),Dados!$A:$A,INDEX($D:$E,MATCH("Y",$D:$D,0),2)))</f>
        <v/>
      </c>
      <c r="M26" s="68" t="str">
        <f>IF(COUNTIFS(Dados!$E:$E,$B26,Dados!$C:$C,INDEX(M$3,1,1),Dados!$A:$A,INDEX($D:$E,MATCH("Y",$D:$D,0),2))=0,"",SUMIFS(Dados!$G:$G,Dados!$E:$E,$B26,Dados!$C:$C,INDEX(M$3,1,1),Dados!$A:$A,INDEX($D:$E,MATCH("Y",$D:$D,0),2))/COUNTIFS(Dados!$E:$E,$B26,Dados!$C:$C,INDEX(M$3,1,1),Dados!$A:$A,INDEX($D:$E,MATCH("Y",$D:$D,0),2)))</f>
        <v/>
      </c>
      <c r="N26" s="68" t="str">
        <f>IF(COUNTIFS(Dados!$E:$E,$B26,Dados!$C:$C,INDEX(N$3,1,1),Dados!$A:$A,INDEX($D:$E,MATCH("Y",$D:$D,0),2))=0,"",SUMIFS(Dados!$G:$G,Dados!$E:$E,$B26,Dados!$C:$C,INDEX(N$3,1,1),Dados!$A:$A,INDEX($D:$E,MATCH("Y",$D:$D,0),2))/COUNTIFS(Dados!$E:$E,$B26,Dados!$C:$C,INDEX(N$3,1,1),Dados!$A:$A,INDEX($D:$E,MATCH("Y",$D:$D,0),2)))</f>
        <v/>
      </c>
      <c r="O26" s="68" t="str">
        <f>IF(COUNTIFS(Dados!$E:$E,$B26,Dados!$C:$C,INDEX(O$3,1,1),Dados!$A:$A,INDEX($D:$E,MATCH("Y",$D:$D,0),2))=0,"",SUMIFS(Dados!$G:$G,Dados!$E:$E,$B26,Dados!$C:$C,INDEX(O$3,1,1),Dados!$A:$A,INDEX($D:$E,MATCH("Y",$D:$D,0),2))/COUNTIFS(Dados!$E:$E,$B26,Dados!$C:$C,INDEX(O$3,1,1),Dados!$A:$A,INDEX($D:$E,MATCH("Y",$D:$D,0),2)))</f>
        <v/>
      </c>
      <c r="P26" s="68" t="str">
        <f>IF(COUNTIFS(Dados!$E:$E,$B26,Dados!$C:$C,INDEX(P$3,1,1),Dados!$A:$A,INDEX($D:$E,MATCH("Y",$D:$D,0),2))=0,"",SUMIFS(Dados!$G:$G,Dados!$E:$E,$B26,Dados!$C:$C,INDEX(P$3,1,1),Dados!$A:$A,INDEX($D:$E,MATCH("Y",$D:$D,0),2))/COUNTIFS(Dados!$E:$E,$B26,Dados!$C:$C,INDEX(P$3,1,1),Dados!$A:$A,INDEX($D:$E,MATCH("Y",$D:$D,0),2)))</f>
        <v/>
      </c>
      <c r="Q26" s="68" t="str">
        <f>IF(COUNTIFS(Dados!$E:$E,$B26,Dados!$C:$C,INDEX(Q$3,1,1),Dados!$A:$A,INDEX($D:$E,MATCH("Y",$D:$D,0),2))=0,"",SUMIFS(Dados!$G:$G,Dados!$E:$E,$B26,Dados!$C:$C,INDEX(Q$3,1,1),Dados!$A:$A,INDEX($D:$E,MATCH("Y",$D:$D,0),2))/COUNTIFS(Dados!$E:$E,$B26,Dados!$C:$C,INDEX(Q$3,1,1),Dados!$A:$A,INDEX($D:$E,MATCH("Y",$D:$D,0),2)))</f>
        <v/>
      </c>
      <c r="R26" s="68" t="str">
        <f>IF(COUNTIFS(Dados!$E:$E,$B26,Dados!$C:$C,INDEX(R$3,1,1),Dados!$A:$A,INDEX($D:$E,MATCH("Y",$D:$D,0),2))=0,"",SUMIFS(Dados!$G:$G,Dados!$E:$E,$B26,Dados!$C:$C,INDEX(R$3,1,1),Dados!$A:$A,INDEX($D:$E,MATCH("Y",$D:$D,0),2))/COUNTIFS(Dados!$E:$E,$B26,Dados!$C:$C,INDEX(R$3,1,1),Dados!$A:$A,INDEX($D:$E,MATCH("Y",$D:$D,0),2)))</f>
        <v/>
      </c>
      <c r="S26" s="68" t="str">
        <f>IF(COUNTIFS(Dados!$E:$E,$B26,Dados!$C:$C,INDEX(S$3,1,1),Dados!$A:$A,INDEX($D:$E,MATCH("Y",$D:$D,0),2))=0,"",SUMIFS(Dados!$G:$G,Dados!$E:$E,$B26,Dados!$C:$C,INDEX(S$3,1,1),Dados!$A:$A,INDEX($D:$E,MATCH("Y",$D:$D,0),2))/COUNTIFS(Dados!$E:$E,$B26,Dados!$C:$C,INDEX(S$3,1,1),Dados!$A:$A,INDEX($D:$E,MATCH("Y",$D:$D,0),2)))</f>
        <v/>
      </c>
      <c r="T26" s="68" t="str">
        <f>IF(COUNTIFS(Dados!$E:$E,$B26,Dados!$C:$C,INDEX(T$3,1,1),Dados!$A:$A,INDEX($D:$E,MATCH("Y",$D:$D,0),2))=0,"",SUMIFS(Dados!$G:$G,Dados!$E:$E,$B26,Dados!$C:$C,INDEX(T$3,1,1),Dados!$A:$A,INDEX($D:$E,MATCH("Y",$D:$D,0),2))/COUNTIFS(Dados!$E:$E,$B26,Dados!$C:$C,INDEX(T$3,1,1),Dados!$A:$A,INDEX($D:$E,MATCH("Y",$D:$D,0),2)))</f>
        <v/>
      </c>
      <c r="U26" s="68" t="str">
        <f>IF(COUNTIFS(Dados!$E:$E,$B26,Dados!$C:$C,INDEX(U$3,1,1),Dados!$A:$A,INDEX($D:$E,MATCH("Y",$D:$D,0),2))=0,"",SUMIFS(Dados!$G:$G,Dados!$E:$E,$B26,Dados!$C:$C,INDEX(U$3,1,1),Dados!$A:$A,INDEX($D:$E,MATCH("Y",$D:$D,0),2))/COUNTIFS(Dados!$E:$E,$B26,Dados!$C:$C,INDEX(U$3,1,1),Dados!$A:$A,INDEX($D:$E,MATCH("Y",$D:$D,0),2)))</f>
        <v/>
      </c>
      <c r="V26" s="68" t="str">
        <f>IF(COUNTIFS(Dados!$E:$E,$B26,Dados!$C:$C,INDEX(V$3,1,1),Dados!$A:$A,INDEX($D:$E,MATCH("Y",$D:$D,0),2))=0,"",SUMIFS(Dados!$G:$G,Dados!$E:$E,$B26,Dados!$C:$C,INDEX(V$3,1,1),Dados!$A:$A,INDEX($D:$E,MATCH("Y",$D:$D,0),2))/COUNTIFS(Dados!$E:$E,$B26,Dados!$C:$C,INDEX(V$3,1,1),Dados!$A:$A,INDEX($D:$E,MATCH("Y",$D:$D,0),2)))</f>
        <v/>
      </c>
    </row>
    <row r="27" spans="2:22" x14ac:dyDescent="0.25">
      <c r="B27" s="65" t="s">
        <v>1297</v>
      </c>
      <c r="C27" s="72">
        <f>VLOOKUP(B27,B4:C22,2,0)</f>
        <v>3</v>
      </c>
      <c r="D27" s="66" t="str">
        <f>IF(COUNTIFS(Dados!$E:$E,$B27,Dados!$C:$C,INDEX(D$3,1,1),Dados!$A:$A,INDEX($D:$E,MATCH("Y",$D:$D,0),2))=0,"",SUMIFS(Dados!$G:$G,Dados!$E:$E,$B27,Dados!$C:$C,INDEX(D$3,1,1),Dados!$A:$A,INDEX($D:$E,MATCH("Y",$D:$D,0),2))/COUNTIFS(Dados!$E:$E,$B27,Dados!$C:$C,INDEX(D$3,1,1),Dados!$A:$A,INDEX($D:$E,MATCH("Y",$D:$D,0),2)))</f>
        <v/>
      </c>
      <c r="E27" s="66" t="str">
        <f>IF(COUNTIFS(Dados!$E:$E,$B27,Dados!$C:$C,INDEX(E$3,1,1),Dados!$A:$A,INDEX($D:$E,MATCH("Y",$D:$D,0),2))=0,"",SUMIFS(Dados!$G:$G,Dados!$E:$E,$B27,Dados!$C:$C,INDEX(E$3,1,1),Dados!$A:$A,INDEX($D:$E,MATCH("Y",$D:$D,0),2))/COUNTIFS(Dados!$E:$E,$B27,Dados!$C:$C,INDEX(E$3,1,1),Dados!$A:$A,INDEX($D:$E,MATCH("Y",$D:$D,0),2)))</f>
        <v/>
      </c>
      <c r="F27" s="66" t="str">
        <f>IF(COUNTIFS(Dados!$E:$E,$B27,Dados!$C:$C,INDEX(F$3,1,1),Dados!$A:$A,INDEX($D:$E,MATCH("Y",$D:$D,0),2))=0,"",SUMIFS(Dados!$G:$G,Dados!$E:$E,$B27,Dados!$C:$C,INDEX(F$3,1,1),Dados!$A:$A,INDEX($D:$E,MATCH("Y",$D:$D,0),2))/COUNTIFS(Dados!$E:$E,$B27,Dados!$C:$C,INDEX(F$3,1,1),Dados!$A:$A,INDEX($D:$E,MATCH("Y",$D:$D,0),2)))</f>
        <v/>
      </c>
      <c r="G27" s="66" t="str">
        <f>IF(COUNTIFS(Dados!$E:$E,$B27,Dados!$C:$C,INDEX(G$3,1,1),Dados!$A:$A,INDEX($D:$E,MATCH("Y",$D:$D,0),2))=0,"",SUMIFS(Dados!$G:$G,Dados!$E:$E,$B27,Dados!$C:$C,INDEX(G$3,1,1),Dados!$A:$A,INDEX($D:$E,MATCH("Y",$D:$D,0),2))/COUNTIFS(Dados!$E:$E,$B27,Dados!$C:$C,INDEX(G$3,1,1),Dados!$A:$A,INDEX($D:$E,MATCH("Y",$D:$D,0),2)))</f>
        <v/>
      </c>
      <c r="H27" s="66" t="str">
        <f>IF(COUNTIFS(Dados!$E:$E,$B27,Dados!$C:$C,INDEX(H$3,1,1),Dados!$A:$A,INDEX($D:$E,MATCH("Y",$D:$D,0),2))=0,"",SUMIFS(Dados!$G:$G,Dados!$E:$E,$B27,Dados!$C:$C,INDEX(H$3,1,1),Dados!$A:$A,INDEX($D:$E,MATCH("Y",$D:$D,0),2))/COUNTIFS(Dados!$E:$E,$B27,Dados!$C:$C,INDEX(H$3,1,1),Dados!$A:$A,INDEX($D:$E,MATCH("Y",$D:$D,0),2)))</f>
        <v/>
      </c>
      <c r="I27" s="66" t="str">
        <f>IF(COUNTIFS(Dados!$E:$E,$B27,Dados!$C:$C,INDEX(I$3,1,1),Dados!$A:$A,INDEX($D:$E,MATCH("Y",$D:$D,0),2))=0,"",SUMIFS(Dados!$G:$G,Dados!$E:$E,$B27,Dados!$C:$C,INDEX(I$3,1,1),Dados!$A:$A,INDEX($D:$E,MATCH("Y",$D:$D,0),2))/COUNTIFS(Dados!$E:$E,$B27,Dados!$C:$C,INDEX(I$3,1,1),Dados!$A:$A,INDEX($D:$E,MATCH("Y",$D:$D,0),2)))</f>
        <v/>
      </c>
      <c r="J27" s="66" t="str">
        <f>IF(COUNTIFS(Dados!$E:$E,$B27,Dados!$C:$C,INDEX(J$3,1,1),Dados!$A:$A,INDEX($D:$E,MATCH("Y",$D:$D,0),2))=0,"",SUMIFS(Dados!$G:$G,Dados!$E:$E,$B27,Dados!$C:$C,INDEX(J$3,1,1),Dados!$A:$A,INDEX($D:$E,MATCH("Y",$D:$D,0),2))/COUNTIFS(Dados!$E:$E,$B27,Dados!$C:$C,INDEX(J$3,1,1),Dados!$A:$A,INDEX($D:$E,MATCH("Y",$D:$D,0),2)))</f>
        <v/>
      </c>
      <c r="K27" s="66" t="str">
        <f>IF(COUNTIFS(Dados!$E:$E,$B27,Dados!$C:$C,INDEX(K$3,1,1),Dados!$A:$A,INDEX($D:$E,MATCH("Y",$D:$D,0),2))=0,"",SUMIFS(Dados!$G:$G,Dados!$E:$E,$B27,Dados!$C:$C,INDEX(K$3,1,1),Dados!$A:$A,INDEX($D:$E,MATCH("Y",$D:$D,0),2))/COUNTIFS(Dados!$E:$E,$B27,Dados!$C:$C,INDEX(K$3,1,1),Dados!$A:$A,INDEX($D:$E,MATCH("Y",$D:$D,0),2)))</f>
        <v/>
      </c>
      <c r="L27" s="66" t="str">
        <f>IF(COUNTIFS(Dados!$E:$E,$B27,Dados!$C:$C,INDEX(L$3,1,1),Dados!$A:$A,INDEX($D:$E,MATCH("Y",$D:$D,0),2))=0,"",SUMIFS(Dados!$G:$G,Dados!$E:$E,$B27,Dados!$C:$C,INDEX(L$3,1,1),Dados!$A:$A,INDEX($D:$E,MATCH("Y",$D:$D,0),2))/COUNTIFS(Dados!$E:$E,$B27,Dados!$C:$C,INDEX(L$3,1,1),Dados!$A:$A,INDEX($D:$E,MATCH("Y",$D:$D,0),2)))</f>
        <v/>
      </c>
      <c r="M27" s="66" t="str">
        <f>IF(COUNTIFS(Dados!$E:$E,$B27,Dados!$C:$C,INDEX(M$3,1,1),Dados!$A:$A,INDEX($D:$E,MATCH("Y",$D:$D,0),2))=0,"",SUMIFS(Dados!$G:$G,Dados!$E:$E,$B27,Dados!$C:$C,INDEX(M$3,1,1),Dados!$A:$A,INDEX($D:$E,MATCH("Y",$D:$D,0),2))/COUNTIFS(Dados!$E:$E,$B27,Dados!$C:$C,INDEX(M$3,1,1),Dados!$A:$A,INDEX($D:$E,MATCH("Y",$D:$D,0),2)))</f>
        <v/>
      </c>
      <c r="N27" s="66" t="str">
        <f>IF(COUNTIFS(Dados!$E:$E,$B27,Dados!$C:$C,INDEX(N$3,1,1),Dados!$A:$A,INDEX($D:$E,MATCH("Y",$D:$D,0),2))=0,"",SUMIFS(Dados!$G:$G,Dados!$E:$E,$B27,Dados!$C:$C,INDEX(N$3,1,1),Dados!$A:$A,INDEX($D:$E,MATCH("Y",$D:$D,0),2))/COUNTIFS(Dados!$E:$E,$B27,Dados!$C:$C,INDEX(N$3,1,1),Dados!$A:$A,INDEX($D:$E,MATCH("Y",$D:$D,0),2)))</f>
        <v/>
      </c>
      <c r="O27" s="66" t="str">
        <f>IF(COUNTIFS(Dados!$E:$E,$B27,Dados!$C:$C,INDEX(O$3,1,1),Dados!$A:$A,INDEX($D:$E,MATCH("Y",$D:$D,0),2))=0,"",SUMIFS(Dados!$G:$G,Dados!$E:$E,$B27,Dados!$C:$C,INDEX(O$3,1,1),Dados!$A:$A,INDEX($D:$E,MATCH("Y",$D:$D,0),2))/COUNTIFS(Dados!$E:$E,$B27,Dados!$C:$C,INDEX(O$3,1,1),Dados!$A:$A,INDEX($D:$E,MATCH("Y",$D:$D,0),2)))</f>
        <v/>
      </c>
      <c r="P27" s="66" t="str">
        <f>IF(COUNTIFS(Dados!$E:$E,$B27,Dados!$C:$C,INDEX(P$3,1,1),Dados!$A:$A,INDEX($D:$E,MATCH("Y",$D:$D,0),2))=0,"",SUMIFS(Dados!$G:$G,Dados!$E:$E,$B27,Dados!$C:$C,INDEX(P$3,1,1),Dados!$A:$A,INDEX($D:$E,MATCH("Y",$D:$D,0),2))/COUNTIFS(Dados!$E:$E,$B27,Dados!$C:$C,INDEX(P$3,1,1),Dados!$A:$A,INDEX($D:$E,MATCH("Y",$D:$D,0),2)))</f>
        <v/>
      </c>
      <c r="Q27" s="66" t="str">
        <f>IF(COUNTIFS(Dados!$E:$E,$B27,Dados!$C:$C,INDEX(Q$3,1,1),Dados!$A:$A,INDEX($D:$E,MATCH("Y",$D:$D,0),2))=0,"",SUMIFS(Dados!$G:$G,Dados!$E:$E,$B27,Dados!$C:$C,INDEX(Q$3,1,1),Dados!$A:$A,INDEX($D:$E,MATCH("Y",$D:$D,0),2))/COUNTIFS(Dados!$E:$E,$B27,Dados!$C:$C,INDEX(Q$3,1,1),Dados!$A:$A,INDEX($D:$E,MATCH("Y",$D:$D,0),2)))</f>
        <v/>
      </c>
      <c r="R27" s="66" t="str">
        <f>IF(COUNTIFS(Dados!$E:$E,$B27,Dados!$C:$C,INDEX(R$3,1,1),Dados!$A:$A,INDEX($D:$E,MATCH("Y",$D:$D,0),2))=0,"",SUMIFS(Dados!$G:$G,Dados!$E:$E,$B27,Dados!$C:$C,INDEX(R$3,1,1),Dados!$A:$A,INDEX($D:$E,MATCH("Y",$D:$D,0),2))/COUNTIFS(Dados!$E:$E,$B27,Dados!$C:$C,INDEX(R$3,1,1),Dados!$A:$A,INDEX($D:$E,MATCH("Y",$D:$D,0),2)))</f>
        <v/>
      </c>
      <c r="S27" s="66" t="str">
        <f>IF(COUNTIFS(Dados!$E:$E,$B27,Dados!$C:$C,INDEX(S$3,1,1),Dados!$A:$A,INDEX($D:$E,MATCH("Y",$D:$D,0),2))=0,"",SUMIFS(Dados!$G:$G,Dados!$E:$E,$B27,Dados!$C:$C,INDEX(S$3,1,1),Dados!$A:$A,INDEX($D:$E,MATCH("Y",$D:$D,0),2))/COUNTIFS(Dados!$E:$E,$B27,Dados!$C:$C,INDEX(S$3,1,1),Dados!$A:$A,INDEX($D:$E,MATCH("Y",$D:$D,0),2)))</f>
        <v/>
      </c>
      <c r="T27" s="66" t="str">
        <f>IF(COUNTIFS(Dados!$E:$E,$B27,Dados!$C:$C,INDEX(T$3,1,1),Dados!$A:$A,INDEX($D:$E,MATCH("Y",$D:$D,0),2))=0,"",SUMIFS(Dados!$G:$G,Dados!$E:$E,$B27,Dados!$C:$C,INDEX(T$3,1,1),Dados!$A:$A,INDEX($D:$E,MATCH("Y",$D:$D,0),2))/COUNTIFS(Dados!$E:$E,$B27,Dados!$C:$C,INDEX(T$3,1,1),Dados!$A:$A,INDEX($D:$E,MATCH("Y",$D:$D,0),2)))</f>
        <v/>
      </c>
      <c r="U27" s="66" t="str">
        <f>IF(COUNTIFS(Dados!$E:$E,$B27,Dados!$C:$C,INDEX(U$3,1,1),Dados!$A:$A,INDEX($D:$E,MATCH("Y",$D:$D,0),2))=0,"",SUMIFS(Dados!$G:$G,Dados!$E:$E,$B27,Dados!$C:$C,INDEX(U$3,1,1),Dados!$A:$A,INDEX($D:$E,MATCH("Y",$D:$D,0),2))/COUNTIFS(Dados!$E:$E,$B27,Dados!$C:$C,INDEX(U$3,1,1),Dados!$A:$A,INDEX($D:$E,MATCH("Y",$D:$D,0),2)))</f>
        <v/>
      </c>
      <c r="V27" s="66" t="str">
        <f>IF(COUNTIFS(Dados!$E:$E,$B27,Dados!$C:$C,INDEX(V$3,1,1),Dados!$A:$A,INDEX($D:$E,MATCH("Y",$D:$D,0),2))=0,"",SUMIFS(Dados!$G:$G,Dados!$E:$E,$B27,Dados!$C:$C,INDEX(V$3,1,1),Dados!$A:$A,INDEX($D:$E,MATCH("Y",$D:$D,0),2))/COUNTIFS(Dados!$E:$E,$B27,Dados!$C:$C,INDEX(V$3,1,1),Dados!$A:$A,INDEX($D:$E,MATCH("Y",$D:$D,0),2)))</f>
        <v/>
      </c>
    </row>
    <row r="28" spans="2:22" x14ac:dyDescent="0.25">
      <c r="B28" s="67" t="s">
        <v>1303</v>
      </c>
      <c r="C28" s="71">
        <f>VLOOKUP(B28,B4:C22,2,0)</f>
        <v>4</v>
      </c>
      <c r="D28" s="68" t="str">
        <f>IF(COUNTIFS(Dados!$E:$E,$B28,Dados!$C:$C,INDEX(D$3,1,1),Dados!$A:$A,INDEX($D:$E,MATCH("Y",$D:$D,0),2))=0,"",SUMIFS(Dados!$G:$G,Dados!$E:$E,$B28,Dados!$C:$C,INDEX(D$3,1,1),Dados!$A:$A,INDEX($D:$E,MATCH("Y",$D:$D,0),2))/COUNTIFS(Dados!$E:$E,$B28,Dados!$C:$C,INDEX(D$3,1,1),Dados!$A:$A,INDEX($D:$E,MATCH("Y",$D:$D,0),2)))</f>
        <v/>
      </c>
      <c r="E28" s="68" t="str">
        <f>IF(COUNTIFS(Dados!$E:$E,$B28,Dados!$C:$C,INDEX(E$3,1,1),Dados!$A:$A,INDEX($D:$E,MATCH("Y",$D:$D,0),2))=0,"",SUMIFS(Dados!$G:$G,Dados!$E:$E,$B28,Dados!$C:$C,INDEX(E$3,1,1),Dados!$A:$A,INDEX($D:$E,MATCH("Y",$D:$D,0),2))/COUNTIFS(Dados!$E:$E,$B28,Dados!$C:$C,INDEX(E$3,1,1),Dados!$A:$A,INDEX($D:$E,MATCH("Y",$D:$D,0),2)))</f>
        <v/>
      </c>
      <c r="F28" s="68" t="str">
        <f>IF(COUNTIFS(Dados!$E:$E,$B28,Dados!$C:$C,INDEX(F$3,1,1),Dados!$A:$A,INDEX($D:$E,MATCH("Y",$D:$D,0),2))=0,"",SUMIFS(Dados!$G:$G,Dados!$E:$E,$B28,Dados!$C:$C,INDEX(F$3,1,1),Dados!$A:$A,INDEX($D:$E,MATCH("Y",$D:$D,0),2))/COUNTIFS(Dados!$E:$E,$B28,Dados!$C:$C,INDEX(F$3,1,1),Dados!$A:$A,INDEX($D:$E,MATCH("Y",$D:$D,0),2)))</f>
        <v/>
      </c>
      <c r="G28" s="68" t="str">
        <f>IF(COUNTIFS(Dados!$E:$E,$B28,Dados!$C:$C,INDEX(G$3,1,1),Dados!$A:$A,INDEX($D:$E,MATCH("Y",$D:$D,0),2))=0,"",SUMIFS(Dados!$G:$G,Dados!$E:$E,$B28,Dados!$C:$C,INDEX(G$3,1,1),Dados!$A:$A,INDEX($D:$E,MATCH("Y",$D:$D,0),2))/COUNTIFS(Dados!$E:$E,$B28,Dados!$C:$C,INDEX(G$3,1,1),Dados!$A:$A,INDEX($D:$E,MATCH("Y",$D:$D,0),2)))</f>
        <v/>
      </c>
      <c r="H28" s="68" t="str">
        <f>IF(COUNTIFS(Dados!$E:$E,$B28,Dados!$C:$C,INDEX(H$3,1,1),Dados!$A:$A,INDEX($D:$E,MATCH("Y",$D:$D,0),2))=0,"",SUMIFS(Dados!$G:$G,Dados!$E:$E,$B28,Dados!$C:$C,INDEX(H$3,1,1),Dados!$A:$A,INDEX($D:$E,MATCH("Y",$D:$D,0),2))/COUNTIFS(Dados!$E:$E,$B28,Dados!$C:$C,INDEX(H$3,1,1),Dados!$A:$A,INDEX($D:$E,MATCH("Y",$D:$D,0),2)))</f>
        <v/>
      </c>
      <c r="I28" s="68" t="str">
        <f>IF(COUNTIFS(Dados!$E:$E,$B28,Dados!$C:$C,INDEX(I$3,1,1),Dados!$A:$A,INDEX($D:$E,MATCH("Y",$D:$D,0),2))=0,"",SUMIFS(Dados!$G:$G,Dados!$E:$E,$B28,Dados!$C:$C,INDEX(I$3,1,1),Dados!$A:$A,INDEX($D:$E,MATCH("Y",$D:$D,0),2))/COUNTIFS(Dados!$E:$E,$B28,Dados!$C:$C,INDEX(I$3,1,1),Dados!$A:$A,INDEX($D:$E,MATCH("Y",$D:$D,0),2)))</f>
        <v/>
      </c>
      <c r="J28" s="68" t="str">
        <f>IF(COUNTIFS(Dados!$E:$E,$B28,Dados!$C:$C,INDEX(J$3,1,1),Dados!$A:$A,INDEX($D:$E,MATCH("Y",$D:$D,0),2))=0,"",SUMIFS(Dados!$G:$G,Dados!$E:$E,$B28,Dados!$C:$C,INDEX(J$3,1,1),Dados!$A:$A,INDEX($D:$E,MATCH("Y",$D:$D,0),2))/COUNTIFS(Dados!$E:$E,$B28,Dados!$C:$C,INDEX(J$3,1,1),Dados!$A:$A,INDEX($D:$E,MATCH("Y",$D:$D,0),2)))</f>
        <v/>
      </c>
      <c r="K28" s="68" t="str">
        <f>IF(COUNTIFS(Dados!$E:$E,$B28,Dados!$C:$C,INDEX(K$3,1,1),Dados!$A:$A,INDEX($D:$E,MATCH("Y",$D:$D,0),2))=0,"",SUMIFS(Dados!$G:$G,Dados!$E:$E,$B28,Dados!$C:$C,INDEX(K$3,1,1),Dados!$A:$A,INDEX($D:$E,MATCH("Y",$D:$D,0),2))/COUNTIFS(Dados!$E:$E,$B28,Dados!$C:$C,INDEX(K$3,1,1),Dados!$A:$A,INDEX($D:$E,MATCH("Y",$D:$D,0),2)))</f>
        <v/>
      </c>
      <c r="L28" s="68" t="str">
        <f>IF(COUNTIFS(Dados!$E:$E,$B28,Dados!$C:$C,INDEX(L$3,1,1),Dados!$A:$A,INDEX($D:$E,MATCH("Y",$D:$D,0),2))=0,"",SUMIFS(Dados!$G:$G,Dados!$E:$E,$B28,Dados!$C:$C,INDEX(L$3,1,1),Dados!$A:$A,INDEX($D:$E,MATCH("Y",$D:$D,0),2))/COUNTIFS(Dados!$E:$E,$B28,Dados!$C:$C,INDEX(L$3,1,1),Dados!$A:$A,INDEX($D:$E,MATCH("Y",$D:$D,0),2)))</f>
        <v/>
      </c>
      <c r="M28" s="68" t="str">
        <f>IF(COUNTIFS(Dados!$E:$E,$B28,Dados!$C:$C,INDEX(M$3,1,1),Dados!$A:$A,INDEX($D:$E,MATCH("Y",$D:$D,0),2))=0,"",SUMIFS(Dados!$G:$G,Dados!$E:$E,$B28,Dados!$C:$C,INDEX(M$3,1,1),Dados!$A:$A,INDEX($D:$E,MATCH("Y",$D:$D,0),2))/COUNTIFS(Dados!$E:$E,$B28,Dados!$C:$C,INDEX(M$3,1,1),Dados!$A:$A,INDEX($D:$E,MATCH("Y",$D:$D,0),2)))</f>
        <v/>
      </c>
      <c r="N28" s="68" t="str">
        <f>IF(COUNTIFS(Dados!$E:$E,$B28,Dados!$C:$C,INDEX(N$3,1,1),Dados!$A:$A,INDEX($D:$E,MATCH("Y",$D:$D,0),2))=0,"",SUMIFS(Dados!$G:$G,Dados!$E:$E,$B28,Dados!$C:$C,INDEX(N$3,1,1),Dados!$A:$A,INDEX($D:$E,MATCH("Y",$D:$D,0),2))/COUNTIFS(Dados!$E:$E,$B28,Dados!$C:$C,INDEX(N$3,1,1),Dados!$A:$A,INDEX($D:$E,MATCH("Y",$D:$D,0),2)))</f>
        <v/>
      </c>
      <c r="O28" s="68" t="str">
        <f>IF(COUNTIFS(Dados!$E:$E,$B28,Dados!$C:$C,INDEX(O$3,1,1),Dados!$A:$A,INDEX($D:$E,MATCH("Y",$D:$D,0),2))=0,"",SUMIFS(Dados!$G:$G,Dados!$E:$E,$B28,Dados!$C:$C,INDEX(O$3,1,1),Dados!$A:$A,INDEX($D:$E,MATCH("Y",$D:$D,0),2))/COUNTIFS(Dados!$E:$E,$B28,Dados!$C:$C,INDEX(O$3,1,1),Dados!$A:$A,INDEX($D:$E,MATCH("Y",$D:$D,0),2)))</f>
        <v/>
      </c>
      <c r="P28" s="68" t="str">
        <f>IF(COUNTIFS(Dados!$E:$E,$B28,Dados!$C:$C,INDEX(P$3,1,1),Dados!$A:$A,INDEX($D:$E,MATCH("Y",$D:$D,0),2))=0,"",SUMIFS(Dados!$G:$G,Dados!$E:$E,$B28,Dados!$C:$C,INDEX(P$3,1,1),Dados!$A:$A,INDEX($D:$E,MATCH("Y",$D:$D,0),2))/COUNTIFS(Dados!$E:$E,$B28,Dados!$C:$C,INDEX(P$3,1,1),Dados!$A:$A,INDEX($D:$E,MATCH("Y",$D:$D,0),2)))</f>
        <v/>
      </c>
      <c r="Q28" s="68" t="str">
        <f>IF(COUNTIFS(Dados!$E:$E,$B28,Dados!$C:$C,INDEX(Q$3,1,1),Dados!$A:$A,INDEX($D:$E,MATCH("Y",$D:$D,0),2))=0,"",SUMIFS(Dados!$G:$G,Dados!$E:$E,$B28,Dados!$C:$C,INDEX(Q$3,1,1),Dados!$A:$A,INDEX($D:$E,MATCH("Y",$D:$D,0),2))/COUNTIFS(Dados!$E:$E,$B28,Dados!$C:$C,INDEX(Q$3,1,1),Dados!$A:$A,INDEX($D:$E,MATCH("Y",$D:$D,0),2)))</f>
        <v/>
      </c>
      <c r="R28" s="68" t="str">
        <f>IF(COUNTIFS(Dados!$E:$E,$B28,Dados!$C:$C,INDEX(R$3,1,1),Dados!$A:$A,INDEX($D:$E,MATCH("Y",$D:$D,0),2))=0,"",SUMIFS(Dados!$G:$G,Dados!$E:$E,$B28,Dados!$C:$C,INDEX(R$3,1,1),Dados!$A:$A,INDEX($D:$E,MATCH("Y",$D:$D,0),2))/COUNTIFS(Dados!$E:$E,$B28,Dados!$C:$C,INDEX(R$3,1,1),Dados!$A:$A,INDEX($D:$E,MATCH("Y",$D:$D,0),2)))</f>
        <v/>
      </c>
      <c r="S28" s="68" t="str">
        <f>IF(COUNTIFS(Dados!$E:$E,$B28,Dados!$C:$C,INDEX(S$3,1,1),Dados!$A:$A,INDEX($D:$E,MATCH("Y",$D:$D,0),2))=0,"",SUMIFS(Dados!$G:$G,Dados!$E:$E,$B28,Dados!$C:$C,INDEX(S$3,1,1),Dados!$A:$A,INDEX($D:$E,MATCH("Y",$D:$D,0),2))/COUNTIFS(Dados!$E:$E,$B28,Dados!$C:$C,INDEX(S$3,1,1),Dados!$A:$A,INDEX($D:$E,MATCH("Y",$D:$D,0),2)))</f>
        <v/>
      </c>
      <c r="T28" s="68" t="str">
        <f>IF(COUNTIFS(Dados!$E:$E,$B28,Dados!$C:$C,INDEX(T$3,1,1),Dados!$A:$A,INDEX($D:$E,MATCH("Y",$D:$D,0),2))=0,"",SUMIFS(Dados!$G:$G,Dados!$E:$E,$B28,Dados!$C:$C,INDEX(T$3,1,1),Dados!$A:$A,INDEX($D:$E,MATCH("Y",$D:$D,0),2))/COUNTIFS(Dados!$E:$E,$B28,Dados!$C:$C,INDEX(T$3,1,1),Dados!$A:$A,INDEX($D:$E,MATCH("Y",$D:$D,0),2)))</f>
        <v/>
      </c>
      <c r="U28" s="68" t="str">
        <f>IF(COUNTIFS(Dados!$E:$E,$B28,Dados!$C:$C,INDEX(U$3,1,1),Dados!$A:$A,INDEX($D:$E,MATCH("Y",$D:$D,0),2))=0,"",SUMIFS(Dados!$G:$G,Dados!$E:$E,$B28,Dados!$C:$C,INDEX(U$3,1,1),Dados!$A:$A,INDEX($D:$E,MATCH("Y",$D:$D,0),2))/COUNTIFS(Dados!$E:$E,$B28,Dados!$C:$C,INDEX(U$3,1,1),Dados!$A:$A,INDEX($D:$E,MATCH("Y",$D:$D,0),2)))</f>
        <v/>
      </c>
      <c r="V28" s="68" t="str">
        <f>IF(COUNTIFS(Dados!$E:$E,$B28,Dados!$C:$C,INDEX(V$3,1,1),Dados!$A:$A,INDEX($D:$E,MATCH("Y",$D:$D,0),2))=0,"",SUMIFS(Dados!$G:$G,Dados!$E:$E,$B28,Dados!$C:$C,INDEX(V$3,1,1),Dados!$A:$A,INDEX($D:$E,MATCH("Y",$D:$D,0),2))/COUNTIFS(Dados!$E:$E,$B28,Dados!$C:$C,INDEX(V$3,1,1),Dados!$A:$A,INDEX($D:$E,MATCH("Y",$D:$D,0),2)))</f>
        <v/>
      </c>
    </row>
    <row r="29" spans="2:22" x14ac:dyDescent="0.25">
      <c r="B29" s="65" t="s">
        <v>1304</v>
      </c>
      <c r="C29" s="72">
        <f>VLOOKUP(B29,B4:C22,2,0)</f>
        <v>5</v>
      </c>
      <c r="D29" s="66" t="str">
        <f>IF(COUNTIFS(Dados!$E:$E,$B29,Dados!$C:$C,INDEX(D$3,1,1),Dados!$A:$A,INDEX($D:$E,MATCH("Y",$D:$D,0),2))=0,"",SUMIFS(Dados!$G:$G,Dados!$E:$E,$B29,Dados!$C:$C,INDEX(D$3,1,1),Dados!$A:$A,INDEX($D:$E,MATCH("Y",$D:$D,0),2))/COUNTIFS(Dados!$E:$E,$B29,Dados!$C:$C,INDEX(D$3,1,1),Dados!$A:$A,INDEX($D:$E,MATCH("Y",$D:$D,0),2)))</f>
        <v/>
      </c>
      <c r="E29" s="66" t="str">
        <f>IF(COUNTIFS(Dados!$E:$E,$B29,Dados!$C:$C,INDEX(E$3,1,1),Dados!$A:$A,INDEX($D:$E,MATCH("Y",$D:$D,0),2))=0,"",SUMIFS(Dados!$G:$G,Dados!$E:$E,$B29,Dados!$C:$C,INDEX(E$3,1,1),Dados!$A:$A,INDEX($D:$E,MATCH("Y",$D:$D,0),2))/COUNTIFS(Dados!$E:$E,$B29,Dados!$C:$C,INDEX(E$3,1,1),Dados!$A:$A,INDEX($D:$E,MATCH("Y",$D:$D,0),2)))</f>
        <v/>
      </c>
      <c r="F29" s="66" t="str">
        <f>IF(COUNTIFS(Dados!$E:$E,$B29,Dados!$C:$C,INDEX(F$3,1,1),Dados!$A:$A,INDEX($D:$E,MATCH("Y",$D:$D,0),2))=0,"",SUMIFS(Dados!$G:$G,Dados!$E:$E,$B29,Dados!$C:$C,INDEX(F$3,1,1),Dados!$A:$A,INDEX($D:$E,MATCH("Y",$D:$D,0),2))/COUNTIFS(Dados!$E:$E,$B29,Dados!$C:$C,INDEX(F$3,1,1),Dados!$A:$A,INDEX($D:$E,MATCH("Y",$D:$D,0),2)))</f>
        <v/>
      </c>
      <c r="G29" s="66" t="str">
        <f>IF(COUNTIFS(Dados!$E:$E,$B29,Dados!$C:$C,INDEX(G$3,1,1),Dados!$A:$A,INDEX($D:$E,MATCH("Y",$D:$D,0),2))=0,"",SUMIFS(Dados!$G:$G,Dados!$E:$E,$B29,Dados!$C:$C,INDEX(G$3,1,1),Dados!$A:$A,INDEX($D:$E,MATCH("Y",$D:$D,0),2))/COUNTIFS(Dados!$E:$E,$B29,Dados!$C:$C,INDEX(G$3,1,1),Dados!$A:$A,INDEX($D:$E,MATCH("Y",$D:$D,0),2)))</f>
        <v/>
      </c>
      <c r="H29" s="66" t="str">
        <f>IF(COUNTIFS(Dados!$E:$E,$B29,Dados!$C:$C,INDEX(H$3,1,1),Dados!$A:$A,INDEX($D:$E,MATCH("Y",$D:$D,0),2))=0,"",SUMIFS(Dados!$G:$G,Dados!$E:$E,$B29,Dados!$C:$C,INDEX(H$3,1,1),Dados!$A:$A,INDEX($D:$E,MATCH("Y",$D:$D,0),2))/COUNTIFS(Dados!$E:$E,$B29,Dados!$C:$C,INDEX(H$3,1,1),Dados!$A:$A,INDEX($D:$E,MATCH("Y",$D:$D,0),2)))</f>
        <v/>
      </c>
      <c r="I29" s="66" t="str">
        <f>IF(COUNTIFS(Dados!$E:$E,$B29,Dados!$C:$C,INDEX(I$3,1,1),Dados!$A:$A,INDEX($D:$E,MATCH("Y",$D:$D,0),2))=0,"",SUMIFS(Dados!$G:$G,Dados!$E:$E,$B29,Dados!$C:$C,INDEX(I$3,1,1),Dados!$A:$A,INDEX($D:$E,MATCH("Y",$D:$D,0),2))/COUNTIFS(Dados!$E:$E,$B29,Dados!$C:$C,INDEX(I$3,1,1),Dados!$A:$A,INDEX($D:$E,MATCH("Y",$D:$D,0),2)))</f>
        <v/>
      </c>
      <c r="J29" s="66" t="str">
        <f>IF(COUNTIFS(Dados!$E:$E,$B29,Dados!$C:$C,INDEX(J$3,1,1),Dados!$A:$A,INDEX($D:$E,MATCH("Y",$D:$D,0),2))=0,"",SUMIFS(Dados!$G:$G,Dados!$E:$E,$B29,Dados!$C:$C,INDEX(J$3,1,1),Dados!$A:$A,INDEX($D:$E,MATCH("Y",$D:$D,0),2))/COUNTIFS(Dados!$E:$E,$B29,Dados!$C:$C,INDEX(J$3,1,1),Dados!$A:$A,INDEX($D:$E,MATCH("Y",$D:$D,0),2)))</f>
        <v/>
      </c>
      <c r="K29" s="66" t="str">
        <f>IF(COUNTIFS(Dados!$E:$E,$B29,Dados!$C:$C,INDEX(K$3,1,1),Dados!$A:$A,INDEX($D:$E,MATCH("Y",$D:$D,0),2))=0,"",SUMIFS(Dados!$G:$G,Dados!$E:$E,$B29,Dados!$C:$C,INDEX(K$3,1,1),Dados!$A:$A,INDEX($D:$E,MATCH("Y",$D:$D,0),2))/COUNTIFS(Dados!$E:$E,$B29,Dados!$C:$C,INDEX(K$3,1,1),Dados!$A:$A,INDEX($D:$E,MATCH("Y",$D:$D,0),2)))</f>
        <v/>
      </c>
      <c r="L29" s="66" t="str">
        <f>IF(COUNTIFS(Dados!$E:$E,$B29,Dados!$C:$C,INDEX(L$3,1,1),Dados!$A:$A,INDEX($D:$E,MATCH("Y",$D:$D,0),2))=0,"",SUMIFS(Dados!$G:$G,Dados!$E:$E,$B29,Dados!$C:$C,INDEX(L$3,1,1),Dados!$A:$A,INDEX($D:$E,MATCH("Y",$D:$D,0),2))/COUNTIFS(Dados!$E:$E,$B29,Dados!$C:$C,INDEX(L$3,1,1),Dados!$A:$A,INDEX($D:$E,MATCH("Y",$D:$D,0),2)))</f>
        <v/>
      </c>
      <c r="M29" s="66" t="str">
        <f>IF(COUNTIFS(Dados!$E:$E,$B29,Dados!$C:$C,INDEX(M$3,1,1),Dados!$A:$A,INDEX($D:$E,MATCH("Y",$D:$D,0),2))=0,"",SUMIFS(Dados!$G:$G,Dados!$E:$E,$B29,Dados!$C:$C,INDEX(M$3,1,1),Dados!$A:$A,INDEX($D:$E,MATCH("Y",$D:$D,0),2))/COUNTIFS(Dados!$E:$E,$B29,Dados!$C:$C,INDEX(M$3,1,1),Dados!$A:$A,INDEX($D:$E,MATCH("Y",$D:$D,0),2)))</f>
        <v/>
      </c>
      <c r="N29" s="66" t="str">
        <f>IF(COUNTIFS(Dados!$E:$E,$B29,Dados!$C:$C,INDEX(N$3,1,1),Dados!$A:$A,INDEX($D:$E,MATCH("Y",$D:$D,0),2))=0,"",SUMIFS(Dados!$G:$G,Dados!$E:$E,$B29,Dados!$C:$C,INDEX(N$3,1,1),Dados!$A:$A,INDEX($D:$E,MATCH("Y",$D:$D,0),2))/COUNTIFS(Dados!$E:$E,$B29,Dados!$C:$C,INDEX(N$3,1,1),Dados!$A:$A,INDEX($D:$E,MATCH("Y",$D:$D,0),2)))</f>
        <v/>
      </c>
      <c r="O29" s="66" t="str">
        <f>IF(COUNTIFS(Dados!$E:$E,$B29,Dados!$C:$C,INDEX(O$3,1,1),Dados!$A:$A,INDEX($D:$E,MATCH("Y",$D:$D,0),2))=0,"",SUMIFS(Dados!$G:$G,Dados!$E:$E,$B29,Dados!$C:$C,INDEX(O$3,1,1),Dados!$A:$A,INDEX($D:$E,MATCH("Y",$D:$D,0),2))/COUNTIFS(Dados!$E:$E,$B29,Dados!$C:$C,INDEX(O$3,1,1),Dados!$A:$A,INDEX($D:$E,MATCH("Y",$D:$D,0),2)))</f>
        <v/>
      </c>
      <c r="P29" s="66" t="str">
        <f>IF(COUNTIFS(Dados!$E:$E,$B29,Dados!$C:$C,INDEX(P$3,1,1),Dados!$A:$A,INDEX($D:$E,MATCH("Y",$D:$D,0),2))=0,"",SUMIFS(Dados!$G:$G,Dados!$E:$E,$B29,Dados!$C:$C,INDEX(P$3,1,1),Dados!$A:$A,INDEX($D:$E,MATCH("Y",$D:$D,0),2))/COUNTIFS(Dados!$E:$E,$B29,Dados!$C:$C,INDEX(P$3,1,1),Dados!$A:$A,INDEX($D:$E,MATCH("Y",$D:$D,0),2)))</f>
        <v/>
      </c>
      <c r="Q29" s="66" t="str">
        <f>IF(COUNTIFS(Dados!$E:$E,$B29,Dados!$C:$C,INDEX(Q$3,1,1),Dados!$A:$A,INDEX($D:$E,MATCH("Y",$D:$D,0),2))=0,"",SUMIFS(Dados!$G:$G,Dados!$E:$E,$B29,Dados!$C:$C,INDEX(Q$3,1,1),Dados!$A:$A,INDEX($D:$E,MATCH("Y",$D:$D,0),2))/COUNTIFS(Dados!$E:$E,$B29,Dados!$C:$C,INDEX(Q$3,1,1),Dados!$A:$A,INDEX($D:$E,MATCH("Y",$D:$D,0),2)))</f>
        <v/>
      </c>
      <c r="R29" s="66" t="str">
        <f>IF(COUNTIFS(Dados!$E:$E,$B29,Dados!$C:$C,INDEX(R$3,1,1),Dados!$A:$A,INDEX($D:$E,MATCH("Y",$D:$D,0),2))=0,"",SUMIFS(Dados!$G:$G,Dados!$E:$E,$B29,Dados!$C:$C,INDEX(R$3,1,1),Dados!$A:$A,INDEX($D:$E,MATCH("Y",$D:$D,0),2))/COUNTIFS(Dados!$E:$E,$B29,Dados!$C:$C,INDEX(R$3,1,1),Dados!$A:$A,INDEX($D:$E,MATCH("Y",$D:$D,0),2)))</f>
        <v/>
      </c>
      <c r="S29" s="66" t="str">
        <f>IF(COUNTIFS(Dados!$E:$E,$B29,Dados!$C:$C,INDEX(S$3,1,1),Dados!$A:$A,INDEX($D:$E,MATCH("Y",$D:$D,0),2))=0,"",SUMIFS(Dados!$G:$G,Dados!$E:$E,$B29,Dados!$C:$C,INDEX(S$3,1,1),Dados!$A:$A,INDEX($D:$E,MATCH("Y",$D:$D,0),2))/COUNTIFS(Dados!$E:$E,$B29,Dados!$C:$C,INDEX(S$3,1,1),Dados!$A:$A,INDEX($D:$E,MATCH("Y",$D:$D,0),2)))</f>
        <v/>
      </c>
      <c r="T29" s="66" t="str">
        <f>IF(COUNTIFS(Dados!$E:$E,$B29,Dados!$C:$C,INDEX(T$3,1,1),Dados!$A:$A,INDEX($D:$E,MATCH("Y",$D:$D,0),2))=0,"",SUMIFS(Dados!$G:$G,Dados!$E:$E,$B29,Dados!$C:$C,INDEX(T$3,1,1),Dados!$A:$A,INDEX($D:$E,MATCH("Y",$D:$D,0),2))/COUNTIFS(Dados!$E:$E,$B29,Dados!$C:$C,INDEX(T$3,1,1),Dados!$A:$A,INDEX($D:$E,MATCH("Y",$D:$D,0),2)))</f>
        <v/>
      </c>
      <c r="U29" s="66" t="str">
        <f>IF(COUNTIFS(Dados!$E:$E,$B29,Dados!$C:$C,INDEX(U$3,1,1),Dados!$A:$A,INDEX($D:$E,MATCH("Y",$D:$D,0),2))=0,"",SUMIFS(Dados!$G:$G,Dados!$E:$E,$B29,Dados!$C:$C,INDEX(U$3,1,1),Dados!$A:$A,INDEX($D:$E,MATCH("Y",$D:$D,0),2))/COUNTIFS(Dados!$E:$E,$B29,Dados!$C:$C,INDEX(U$3,1,1),Dados!$A:$A,INDEX($D:$E,MATCH("Y",$D:$D,0),2)))</f>
        <v/>
      </c>
      <c r="V29" s="66" t="str">
        <f>IF(COUNTIFS(Dados!$E:$E,$B29,Dados!$C:$C,INDEX(V$3,1,1),Dados!$A:$A,INDEX($D:$E,MATCH("Y",$D:$D,0),2))=0,"",SUMIFS(Dados!$G:$G,Dados!$E:$E,$B29,Dados!$C:$C,INDEX(V$3,1,1),Dados!$A:$A,INDEX($D:$E,MATCH("Y",$D:$D,0),2))/COUNTIFS(Dados!$E:$E,$B29,Dados!$C:$C,INDEX(V$3,1,1),Dados!$A:$A,INDEX($D:$E,MATCH("Y",$D:$D,0),2)))</f>
        <v/>
      </c>
    </row>
    <row r="30" spans="2:22" x14ac:dyDescent="0.25">
      <c r="B30" s="67" t="s">
        <v>1298</v>
      </c>
      <c r="C30" s="71">
        <f>VLOOKUP(B30,B4:C22,2,0)</f>
        <v>6</v>
      </c>
      <c r="D30" s="68" t="str">
        <f>IF(COUNTIFS(Dados!$E:$E,$B30,Dados!$C:$C,INDEX(D$3,1,1),Dados!$A:$A,INDEX($D:$E,MATCH("Y",$D:$D,0),2))=0,"",SUMIFS(Dados!$G:$G,Dados!$E:$E,$B30,Dados!$C:$C,INDEX(D$3,1,1),Dados!$A:$A,INDEX($D:$E,MATCH("Y",$D:$D,0),2))/COUNTIFS(Dados!$E:$E,$B30,Dados!$C:$C,INDEX(D$3,1,1),Dados!$A:$A,INDEX($D:$E,MATCH("Y",$D:$D,0),2)))</f>
        <v/>
      </c>
      <c r="E30" s="68" t="str">
        <f>IF(COUNTIFS(Dados!$E:$E,$B30,Dados!$C:$C,INDEX(E$3,1,1),Dados!$A:$A,INDEX($D:$E,MATCH("Y",$D:$D,0),2))=0,"",SUMIFS(Dados!$G:$G,Dados!$E:$E,$B30,Dados!$C:$C,INDEX(E$3,1,1),Dados!$A:$A,INDEX($D:$E,MATCH("Y",$D:$D,0),2))/COUNTIFS(Dados!$E:$E,$B30,Dados!$C:$C,INDEX(E$3,1,1),Dados!$A:$A,INDEX($D:$E,MATCH("Y",$D:$D,0),2)))</f>
        <v/>
      </c>
      <c r="F30" s="68" t="str">
        <f>IF(COUNTIFS(Dados!$E:$E,$B30,Dados!$C:$C,INDEX(F$3,1,1),Dados!$A:$A,INDEX($D:$E,MATCH("Y",$D:$D,0),2))=0,"",SUMIFS(Dados!$G:$G,Dados!$E:$E,$B30,Dados!$C:$C,INDEX(F$3,1,1),Dados!$A:$A,INDEX($D:$E,MATCH("Y",$D:$D,0),2))/COUNTIFS(Dados!$E:$E,$B30,Dados!$C:$C,INDEX(F$3,1,1),Dados!$A:$A,INDEX($D:$E,MATCH("Y",$D:$D,0),2)))</f>
        <v/>
      </c>
      <c r="G30" s="68" t="str">
        <f>IF(COUNTIFS(Dados!$E:$E,$B30,Dados!$C:$C,INDEX(G$3,1,1),Dados!$A:$A,INDEX($D:$E,MATCH("Y",$D:$D,0),2))=0,"",SUMIFS(Dados!$G:$G,Dados!$E:$E,$B30,Dados!$C:$C,INDEX(G$3,1,1),Dados!$A:$A,INDEX($D:$E,MATCH("Y",$D:$D,0),2))/COUNTIFS(Dados!$E:$E,$B30,Dados!$C:$C,INDEX(G$3,1,1),Dados!$A:$A,INDEX($D:$E,MATCH("Y",$D:$D,0),2)))</f>
        <v/>
      </c>
      <c r="H30" s="68" t="str">
        <f>IF(COUNTIFS(Dados!$E:$E,$B30,Dados!$C:$C,INDEX(H$3,1,1),Dados!$A:$A,INDEX($D:$E,MATCH("Y",$D:$D,0),2))=0,"",SUMIFS(Dados!$G:$G,Dados!$E:$E,$B30,Dados!$C:$C,INDEX(H$3,1,1),Dados!$A:$A,INDEX($D:$E,MATCH("Y",$D:$D,0),2))/COUNTIFS(Dados!$E:$E,$B30,Dados!$C:$C,INDEX(H$3,1,1),Dados!$A:$A,INDEX($D:$E,MATCH("Y",$D:$D,0),2)))</f>
        <v/>
      </c>
      <c r="I30" s="68" t="str">
        <f>IF(COUNTIFS(Dados!$E:$E,$B30,Dados!$C:$C,INDEX(I$3,1,1),Dados!$A:$A,INDEX($D:$E,MATCH("Y",$D:$D,0),2))=0,"",SUMIFS(Dados!$G:$G,Dados!$E:$E,$B30,Dados!$C:$C,INDEX(I$3,1,1),Dados!$A:$A,INDEX($D:$E,MATCH("Y",$D:$D,0),2))/COUNTIFS(Dados!$E:$E,$B30,Dados!$C:$C,INDEX(I$3,1,1),Dados!$A:$A,INDEX($D:$E,MATCH("Y",$D:$D,0),2)))</f>
        <v/>
      </c>
      <c r="J30" s="68" t="str">
        <f>IF(COUNTIFS(Dados!$E:$E,$B30,Dados!$C:$C,INDEX(J$3,1,1),Dados!$A:$A,INDEX($D:$E,MATCH("Y",$D:$D,0),2))=0,"",SUMIFS(Dados!$G:$G,Dados!$E:$E,$B30,Dados!$C:$C,INDEX(J$3,1,1),Dados!$A:$A,INDEX($D:$E,MATCH("Y",$D:$D,0),2))/COUNTIFS(Dados!$E:$E,$B30,Dados!$C:$C,INDEX(J$3,1,1),Dados!$A:$A,INDEX($D:$E,MATCH("Y",$D:$D,0),2)))</f>
        <v/>
      </c>
      <c r="K30" s="68" t="str">
        <f>IF(COUNTIFS(Dados!$E:$E,$B30,Dados!$C:$C,INDEX(K$3,1,1),Dados!$A:$A,INDEX($D:$E,MATCH("Y",$D:$D,0),2))=0,"",SUMIFS(Dados!$G:$G,Dados!$E:$E,$B30,Dados!$C:$C,INDEX(K$3,1,1),Dados!$A:$A,INDEX($D:$E,MATCH("Y",$D:$D,0),2))/COUNTIFS(Dados!$E:$E,$B30,Dados!$C:$C,INDEX(K$3,1,1),Dados!$A:$A,INDEX($D:$E,MATCH("Y",$D:$D,0),2)))</f>
        <v/>
      </c>
      <c r="L30" s="68" t="str">
        <f>IF(COUNTIFS(Dados!$E:$E,$B30,Dados!$C:$C,INDEX(L$3,1,1),Dados!$A:$A,INDEX($D:$E,MATCH("Y",$D:$D,0),2))=0,"",SUMIFS(Dados!$G:$G,Dados!$E:$E,$B30,Dados!$C:$C,INDEX(L$3,1,1),Dados!$A:$A,INDEX($D:$E,MATCH("Y",$D:$D,0),2))/COUNTIFS(Dados!$E:$E,$B30,Dados!$C:$C,INDEX(L$3,1,1),Dados!$A:$A,INDEX($D:$E,MATCH("Y",$D:$D,0),2)))</f>
        <v/>
      </c>
      <c r="M30" s="68" t="str">
        <f>IF(COUNTIFS(Dados!$E:$E,$B30,Dados!$C:$C,INDEX(M$3,1,1),Dados!$A:$A,INDEX($D:$E,MATCH("Y",$D:$D,0),2))=0,"",SUMIFS(Dados!$G:$G,Dados!$E:$E,$B30,Dados!$C:$C,INDEX(M$3,1,1),Dados!$A:$A,INDEX($D:$E,MATCH("Y",$D:$D,0),2))/COUNTIFS(Dados!$E:$E,$B30,Dados!$C:$C,INDEX(M$3,1,1),Dados!$A:$A,INDEX($D:$E,MATCH("Y",$D:$D,0),2)))</f>
        <v/>
      </c>
      <c r="N30" s="68" t="str">
        <f>IF(COUNTIFS(Dados!$E:$E,$B30,Dados!$C:$C,INDEX(N$3,1,1),Dados!$A:$A,INDEX($D:$E,MATCH("Y",$D:$D,0),2))=0,"",SUMIFS(Dados!$G:$G,Dados!$E:$E,$B30,Dados!$C:$C,INDEX(N$3,1,1),Dados!$A:$A,INDEX($D:$E,MATCH("Y",$D:$D,0),2))/COUNTIFS(Dados!$E:$E,$B30,Dados!$C:$C,INDEX(N$3,1,1),Dados!$A:$A,INDEX($D:$E,MATCH("Y",$D:$D,0),2)))</f>
        <v/>
      </c>
      <c r="O30" s="68" t="str">
        <f>IF(COUNTIFS(Dados!$E:$E,$B30,Dados!$C:$C,INDEX(O$3,1,1),Dados!$A:$A,INDEX($D:$E,MATCH("Y",$D:$D,0),2))=0,"",SUMIFS(Dados!$G:$G,Dados!$E:$E,$B30,Dados!$C:$C,INDEX(O$3,1,1),Dados!$A:$A,INDEX($D:$E,MATCH("Y",$D:$D,0),2))/COUNTIFS(Dados!$E:$E,$B30,Dados!$C:$C,INDEX(O$3,1,1),Dados!$A:$A,INDEX($D:$E,MATCH("Y",$D:$D,0),2)))</f>
        <v/>
      </c>
      <c r="P30" s="68" t="str">
        <f>IF(COUNTIFS(Dados!$E:$E,$B30,Dados!$C:$C,INDEX(P$3,1,1),Dados!$A:$A,INDEX($D:$E,MATCH("Y",$D:$D,0),2))=0,"",SUMIFS(Dados!$G:$G,Dados!$E:$E,$B30,Dados!$C:$C,INDEX(P$3,1,1),Dados!$A:$A,INDEX($D:$E,MATCH("Y",$D:$D,0),2))/COUNTIFS(Dados!$E:$E,$B30,Dados!$C:$C,INDEX(P$3,1,1),Dados!$A:$A,INDEX($D:$E,MATCH("Y",$D:$D,0),2)))</f>
        <v/>
      </c>
      <c r="Q30" s="68" t="str">
        <f>IF(COUNTIFS(Dados!$E:$E,$B30,Dados!$C:$C,INDEX(Q$3,1,1),Dados!$A:$A,INDEX($D:$E,MATCH("Y",$D:$D,0),2))=0,"",SUMIFS(Dados!$G:$G,Dados!$E:$E,$B30,Dados!$C:$C,INDEX(Q$3,1,1),Dados!$A:$A,INDEX($D:$E,MATCH("Y",$D:$D,0),2))/COUNTIFS(Dados!$E:$E,$B30,Dados!$C:$C,INDEX(Q$3,1,1),Dados!$A:$A,INDEX($D:$E,MATCH("Y",$D:$D,0),2)))</f>
        <v/>
      </c>
      <c r="R30" s="68" t="str">
        <f>IF(COUNTIFS(Dados!$E:$E,$B30,Dados!$C:$C,INDEX(R$3,1,1),Dados!$A:$A,INDEX($D:$E,MATCH("Y",$D:$D,0),2))=0,"",SUMIFS(Dados!$G:$G,Dados!$E:$E,$B30,Dados!$C:$C,INDEX(R$3,1,1),Dados!$A:$A,INDEX($D:$E,MATCH("Y",$D:$D,0),2))/COUNTIFS(Dados!$E:$E,$B30,Dados!$C:$C,INDEX(R$3,1,1),Dados!$A:$A,INDEX($D:$E,MATCH("Y",$D:$D,0),2)))</f>
        <v/>
      </c>
      <c r="S30" s="68" t="str">
        <f>IF(COUNTIFS(Dados!$E:$E,$B30,Dados!$C:$C,INDEX(S$3,1,1),Dados!$A:$A,INDEX($D:$E,MATCH("Y",$D:$D,0),2))=0,"",SUMIFS(Dados!$G:$G,Dados!$E:$E,$B30,Dados!$C:$C,INDEX(S$3,1,1),Dados!$A:$A,INDEX($D:$E,MATCH("Y",$D:$D,0),2))/COUNTIFS(Dados!$E:$E,$B30,Dados!$C:$C,INDEX(S$3,1,1),Dados!$A:$A,INDEX($D:$E,MATCH("Y",$D:$D,0),2)))</f>
        <v/>
      </c>
      <c r="T30" s="68" t="str">
        <f>IF(COUNTIFS(Dados!$E:$E,$B30,Dados!$C:$C,INDEX(T$3,1,1),Dados!$A:$A,INDEX($D:$E,MATCH("Y",$D:$D,0),2))=0,"",SUMIFS(Dados!$G:$G,Dados!$E:$E,$B30,Dados!$C:$C,INDEX(T$3,1,1),Dados!$A:$A,INDEX($D:$E,MATCH("Y",$D:$D,0),2))/COUNTIFS(Dados!$E:$E,$B30,Dados!$C:$C,INDEX(T$3,1,1),Dados!$A:$A,INDEX($D:$E,MATCH("Y",$D:$D,0),2)))</f>
        <v/>
      </c>
      <c r="U30" s="68" t="str">
        <f>IF(COUNTIFS(Dados!$E:$E,$B30,Dados!$C:$C,INDEX(U$3,1,1),Dados!$A:$A,INDEX($D:$E,MATCH("Y",$D:$D,0),2))=0,"",SUMIFS(Dados!$G:$G,Dados!$E:$E,$B30,Dados!$C:$C,INDEX(U$3,1,1),Dados!$A:$A,INDEX($D:$E,MATCH("Y",$D:$D,0),2))/COUNTIFS(Dados!$E:$E,$B30,Dados!$C:$C,INDEX(U$3,1,1),Dados!$A:$A,INDEX($D:$E,MATCH("Y",$D:$D,0),2)))</f>
        <v/>
      </c>
      <c r="V30" s="68" t="str">
        <f>IF(COUNTIFS(Dados!$E:$E,$B30,Dados!$C:$C,INDEX(V$3,1,1),Dados!$A:$A,INDEX($D:$E,MATCH("Y",$D:$D,0),2))=0,"",SUMIFS(Dados!$G:$G,Dados!$E:$E,$B30,Dados!$C:$C,INDEX(V$3,1,1),Dados!$A:$A,INDEX($D:$E,MATCH("Y",$D:$D,0),2))/COUNTIFS(Dados!$E:$E,$B30,Dados!$C:$C,INDEX(V$3,1,1),Dados!$A:$A,INDEX($D:$E,MATCH("Y",$D:$D,0),2)))</f>
        <v/>
      </c>
    </row>
    <row r="31" spans="2:22" x14ac:dyDescent="0.25">
      <c r="B31" s="65" t="s">
        <v>65</v>
      </c>
      <c r="C31" s="72">
        <f>VLOOKUP(B31,B4:C22,2,0)</f>
        <v>7</v>
      </c>
      <c r="D31" s="66" t="str">
        <f>IF(COUNTIFS(Dados!$E:$E,$B31,Dados!$C:$C,INDEX(D$3,1,1),Dados!$A:$A,INDEX($D:$E,MATCH("Y",$D:$D,0),2))=0,"",SUMIFS(Dados!$G:$G,Dados!$E:$E,$B31,Dados!$C:$C,INDEX(D$3,1,1),Dados!$A:$A,INDEX($D:$E,MATCH("Y",$D:$D,0),2))/COUNTIFS(Dados!$E:$E,$B31,Dados!$C:$C,INDEX(D$3,1,1),Dados!$A:$A,INDEX($D:$E,MATCH("Y",$D:$D,0),2)))</f>
        <v/>
      </c>
      <c r="E31" s="66" t="str">
        <f>IF(COUNTIFS(Dados!$E:$E,$B31,Dados!$C:$C,INDEX(E$3,1,1),Dados!$A:$A,INDEX($D:$E,MATCH("Y",$D:$D,0),2))=0,"",SUMIFS(Dados!$G:$G,Dados!$E:$E,$B31,Dados!$C:$C,INDEX(E$3,1,1),Dados!$A:$A,INDEX($D:$E,MATCH("Y",$D:$D,0),2))/COUNTIFS(Dados!$E:$E,$B31,Dados!$C:$C,INDEX(E$3,1,1),Dados!$A:$A,INDEX($D:$E,MATCH("Y",$D:$D,0),2)))</f>
        <v/>
      </c>
      <c r="F31" s="66" t="str">
        <f>IF(COUNTIFS(Dados!$E:$E,$B31,Dados!$C:$C,INDEX(F$3,1,1),Dados!$A:$A,INDEX($D:$E,MATCH("Y",$D:$D,0),2))=0,"",SUMIFS(Dados!$G:$G,Dados!$E:$E,$B31,Dados!$C:$C,INDEX(F$3,1,1),Dados!$A:$A,INDEX($D:$E,MATCH("Y",$D:$D,0),2))/COUNTIFS(Dados!$E:$E,$B31,Dados!$C:$C,INDEX(F$3,1,1),Dados!$A:$A,INDEX($D:$E,MATCH("Y",$D:$D,0),2)))</f>
        <v/>
      </c>
      <c r="G31" s="66" t="str">
        <f>IF(COUNTIFS(Dados!$E:$E,$B31,Dados!$C:$C,INDEX(G$3,1,1),Dados!$A:$A,INDEX($D:$E,MATCH("Y",$D:$D,0),2))=0,"",SUMIFS(Dados!$G:$G,Dados!$E:$E,$B31,Dados!$C:$C,INDEX(G$3,1,1),Dados!$A:$A,INDEX($D:$E,MATCH("Y",$D:$D,0),2))/COUNTIFS(Dados!$E:$E,$B31,Dados!$C:$C,INDEX(G$3,1,1),Dados!$A:$A,INDEX($D:$E,MATCH("Y",$D:$D,0),2)))</f>
        <v/>
      </c>
      <c r="H31" s="66" t="str">
        <f>IF(COUNTIFS(Dados!$E:$E,$B31,Dados!$C:$C,INDEX(H$3,1,1),Dados!$A:$A,INDEX($D:$E,MATCH("Y",$D:$D,0),2))=0,"",SUMIFS(Dados!$G:$G,Dados!$E:$E,$B31,Dados!$C:$C,INDEX(H$3,1,1),Dados!$A:$A,INDEX($D:$E,MATCH("Y",$D:$D,0),2))/COUNTIFS(Dados!$E:$E,$B31,Dados!$C:$C,INDEX(H$3,1,1),Dados!$A:$A,INDEX($D:$E,MATCH("Y",$D:$D,0),2)))</f>
        <v/>
      </c>
      <c r="I31" s="66" t="str">
        <f>IF(COUNTIFS(Dados!$E:$E,$B31,Dados!$C:$C,INDEX(I$3,1,1),Dados!$A:$A,INDEX($D:$E,MATCH("Y",$D:$D,0),2))=0,"",SUMIFS(Dados!$G:$G,Dados!$E:$E,$B31,Dados!$C:$C,INDEX(I$3,1,1),Dados!$A:$A,INDEX($D:$E,MATCH("Y",$D:$D,0),2))/COUNTIFS(Dados!$E:$E,$B31,Dados!$C:$C,INDEX(I$3,1,1),Dados!$A:$A,INDEX($D:$E,MATCH("Y",$D:$D,0),2)))</f>
        <v/>
      </c>
      <c r="J31" s="66" t="str">
        <f>IF(COUNTIFS(Dados!$E:$E,$B31,Dados!$C:$C,INDEX(J$3,1,1),Dados!$A:$A,INDEX($D:$E,MATCH("Y",$D:$D,0),2))=0,"",SUMIFS(Dados!$G:$G,Dados!$E:$E,$B31,Dados!$C:$C,INDEX(J$3,1,1),Dados!$A:$A,INDEX($D:$E,MATCH("Y",$D:$D,0),2))/COUNTIFS(Dados!$E:$E,$B31,Dados!$C:$C,INDEX(J$3,1,1),Dados!$A:$A,INDEX($D:$E,MATCH("Y",$D:$D,0),2)))</f>
        <v/>
      </c>
      <c r="K31" s="66" t="str">
        <f>IF(COUNTIFS(Dados!$E:$E,$B31,Dados!$C:$C,INDEX(K$3,1,1),Dados!$A:$A,INDEX($D:$E,MATCH("Y",$D:$D,0),2))=0,"",SUMIFS(Dados!$G:$G,Dados!$E:$E,$B31,Dados!$C:$C,INDEX(K$3,1,1),Dados!$A:$A,INDEX($D:$E,MATCH("Y",$D:$D,0),2))/COUNTIFS(Dados!$E:$E,$B31,Dados!$C:$C,INDEX(K$3,1,1),Dados!$A:$A,INDEX($D:$E,MATCH("Y",$D:$D,0),2)))</f>
        <v/>
      </c>
      <c r="L31" s="66">
        <f>IF(COUNTIFS(Dados!$E:$E,$B31,Dados!$C:$C,INDEX(L$3,1,1),Dados!$A:$A,INDEX($D:$E,MATCH("Y",$D:$D,0),2))=0,"",SUMIFS(Dados!$G:$G,Dados!$E:$E,$B31,Dados!$C:$C,INDEX(L$3,1,1),Dados!$A:$A,INDEX($D:$E,MATCH("Y",$D:$D,0),2))/COUNTIFS(Dados!$E:$E,$B31,Dados!$C:$C,INDEX(L$3,1,1),Dados!$A:$A,INDEX($D:$E,MATCH("Y",$D:$D,0),2)))</f>
        <v>0.74472878061564884</v>
      </c>
      <c r="M31" s="66" t="str">
        <f>IF(COUNTIFS(Dados!$E:$E,$B31,Dados!$C:$C,INDEX(M$3,1,1),Dados!$A:$A,INDEX($D:$E,MATCH("Y",$D:$D,0),2))=0,"",SUMIFS(Dados!$G:$G,Dados!$E:$E,$B31,Dados!$C:$C,INDEX(M$3,1,1),Dados!$A:$A,INDEX($D:$E,MATCH("Y",$D:$D,0),2))/COUNTIFS(Dados!$E:$E,$B31,Dados!$C:$C,INDEX(M$3,1,1),Dados!$A:$A,INDEX($D:$E,MATCH("Y",$D:$D,0),2)))</f>
        <v/>
      </c>
      <c r="N31" s="66" t="str">
        <f>IF(COUNTIFS(Dados!$E:$E,$B31,Dados!$C:$C,INDEX(N$3,1,1),Dados!$A:$A,INDEX($D:$E,MATCH("Y",$D:$D,0),2))=0,"",SUMIFS(Dados!$G:$G,Dados!$E:$E,$B31,Dados!$C:$C,INDEX(N$3,1,1),Dados!$A:$A,INDEX($D:$E,MATCH("Y",$D:$D,0),2))/COUNTIFS(Dados!$E:$E,$B31,Dados!$C:$C,INDEX(N$3,1,1),Dados!$A:$A,INDEX($D:$E,MATCH("Y",$D:$D,0),2)))</f>
        <v/>
      </c>
      <c r="O31" s="66" t="str">
        <f>IF(COUNTIFS(Dados!$E:$E,$B31,Dados!$C:$C,INDEX(O$3,1,1),Dados!$A:$A,INDEX($D:$E,MATCH("Y",$D:$D,0),2))=0,"",SUMIFS(Dados!$G:$G,Dados!$E:$E,$B31,Dados!$C:$C,INDEX(O$3,1,1),Dados!$A:$A,INDEX($D:$E,MATCH("Y",$D:$D,0),2))/COUNTIFS(Dados!$E:$E,$B31,Dados!$C:$C,INDEX(O$3,1,1),Dados!$A:$A,INDEX($D:$E,MATCH("Y",$D:$D,0),2)))</f>
        <v/>
      </c>
      <c r="P31" s="66" t="str">
        <f>IF(COUNTIFS(Dados!$E:$E,$B31,Dados!$C:$C,INDEX(P$3,1,1),Dados!$A:$A,INDEX($D:$E,MATCH("Y",$D:$D,0),2))=0,"",SUMIFS(Dados!$G:$G,Dados!$E:$E,$B31,Dados!$C:$C,INDEX(P$3,1,1),Dados!$A:$A,INDEX($D:$E,MATCH("Y",$D:$D,0),2))/COUNTIFS(Dados!$E:$E,$B31,Dados!$C:$C,INDEX(P$3,1,1),Dados!$A:$A,INDEX($D:$E,MATCH("Y",$D:$D,0),2)))</f>
        <v/>
      </c>
      <c r="Q31" s="66" t="str">
        <f>IF(COUNTIFS(Dados!$E:$E,$B31,Dados!$C:$C,INDEX(Q$3,1,1),Dados!$A:$A,INDEX($D:$E,MATCH("Y",$D:$D,0),2))=0,"",SUMIFS(Dados!$G:$G,Dados!$E:$E,$B31,Dados!$C:$C,INDEX(Q$3,1,1),Dados!$A:$A,INDEX($D:$E,MATCH("Y",$D:$D,0),2))/COUNTIFS(Dados!$E:$E,$B31,Dados!$C:$C,INDEX(Q$3,1,1),Dados!$A:$A,INDEX($D:$E,MATCH("Y",$D:$D,0),2)))</f>
        <v/>
      </c>
      <c r="R31" s="66" t="str">
        <f>IF(COUNTIFS(Dados!$E:$E,$B31,Dados!$C:$C,INDEX(R$3,1,1),Dados!$A:$A,INDEX($D:$E,MATCH("Y",$D:$D,0),2))=0,"",SUMIFS(Dados!$G:$G,Dados!$E:$E,$B31,Dados!$C:$C,INDEX(R$3,1,1),Dados!$A:$A,INDEX($D:$E,MATCH("Y",$D:$D,0),2))/COUNTIFS(Dados!$E:$E,$B31,Dados!$C:$C,INDEX(R$3,1,1),Dados!$A:$A,INDEX($D:$E,MATCH("Y",$D:$D,0),2)))</f>
        <v/>
      </c>
      <c r="S31" s="66" t="str">
        <f>IF(COUNTIFS(Dados!$E:$E,$B31,Dados!$C:$C,INDEX(S$3,1,1),Dados!$A:$A,INDEX($D:$E,MATCH("Y",$D:$D,0),2))=0,"",SUMIFS(Dados!$G:$G,Dados!$E:$E,$B31,Dados!$C:$C,INDEX(S$3,1,1),Dados!$A:$A,INDEX($D:$E,MATCH("Y",$D:$D,0),2))/COUNTIFS(Dados!$E:$E,$B31,Dados!$C:$C,INDEX(S$3,1,1),Dados!$A:$A,INDEX($D:$E,MATCH("Y",$D:$D,0),2)))</f>
        <v/>
      </c>
      <c r="T31" s="66" t="str">
        <f>IF(COUNTIFS(Dados!$E:$E,$B31,Dados!$C:$C,INDEX(T$3,1,1),Dados!$A:$A,INDEX($D:$E,MATCH("Y",$D:$D,0),2))=0,"",SUMIFS(Dados!$G:$G,Dados!$E:$E,$B31,Dados!$C:$C,INDEX(T$3,1,1),Dados!$A:$A,INDEX($D:$E,MATCH("Y",$D:$D,0),2))/COUNTIFS(Dados!$E:$E,$B31,Dados!$C:$C,INDEX(T$3,1,1),Dados!$A:$A,INDEX($D:$E,MATCH("Y",$D:$D,0),2)))</f>
        <v/>
      </c>
      <c r="U31" s="66" t="str">
        <f>IF(COUNTIFS(Dados!$E:$E,$B31,Dados!$C:$C,INDEX(U$3,1,1),Dados!$A:$A,INDEX($D:$E,MATCH("Y",$D:$D,0),2))=0,"",SUMIFS(Dados!$G:$G,Dados!$E:$E,$B31,Dados!$C:$C,INDEX(U$3,1,1),Dados!$A:$A,INDEX($D:$E,MATCH("Y",$D:$D,0),2))/COUNTIFS(Dados!$E:$E,$B31,Dados!$C:$C,INDEX(U$3,1,1),Dados!$A:$A,INDEX($D:$E,MATCH("Y",$D:$D,0),2)))</f>
        <v/>
      </c>
      <c r="V31" s="66" t="str">
        <f>IF(COUNTIFS(Dados!$E:$E,$B31,Dados!$C:$C,INDEX(V$3,1,1),Dados!$A:$A,INDEX($D:$E,MATCH("Y",$D:$D,0),2))=0,"",SUMIFS(Dados!$G:$G,Dados!$E:$E,$B31,Dados!$C:$C,INDEX(V$3,1,1),Dados!$A:$A,INDEX($D:$E,MATCH("Y",$D:$D,0),2))/COUNTIFS(Dados!$E:$E,$B31,Dados!$C:$C,INDEX(V$3,1,1),Dados!$A:$A,INDEX($D:$E,MATCH("Y",$D:$D,0),2)))</f>
        <v/>
      </c>
    </row>
    <row r="32" spans="2:22" x14ac:dyDescent="0.25">
      <c r="B32" s="67" t="s">
        <v>32</v>
      </c>
      <c r="C32" s="71">
        <f>VLOOKUP(B32,B4:C22,2,0)</f>
        <v>8</v>
      </c>
      <c r="D32" s="68" t="str">
        <f>IF(COUNTIFS(Dados!$E:$E,$B32,Dados!$C:$C,INDEX(D$3,1,1),Dados!$A:$A,INDEX($D:$E,MATCH("Y",$D:$D,0),2))=0,"",SUMIFS(Dados!$G:$G,Dados!$E:$E,$B32,Dados!$C:$C,INDEX(D$3,1,1),Dados!$A:$A,INDEX($D:$E,MATCH("Y",$D:$D,0),2))/COUNTIFS(Dados!$E:$E,$B32,Dados!$C:$C,INDEX(D$3,1,1),Dados!$A:$A,INDEX($D:$E,MATCH("Y",$D:$D,0),2)))</f>
        <v/>
      </c>
      <c r="E32" s="68" t="str">
        <f>IF(COUNTIFS(Dados!$E:$E,$B32,Dados!$C:$C,INDEX(E$3,1,1),Dados!$A:$A,INDEX($D:$E,MATCH("Y",$D:$D,0),2))=0,"",SUMIFS(Dados!$G:$G,Dados!$E:$E,$B32,Dados!$C:$C,INDEX(E$3,1,1),Dados!$A:$A,INDEX($D:$E,MATCH("Y",$D:$D,0),2))/COUNTIFS(Dados!$E:$E,$B32,Dados!$C:$C,INDEX(E$3,1,1),Dados!$A:$A,INDEX($D:$E,MATCH("Y",$D:$D,0),2)))</f>
        <v/>
      </c>
      <c r="F32" s="68" t="str">
        <f>IF(COUNTIFS(Dados!$E:$E,$B32,Dados!$C:$C,INDEX(F$3,1,1),Dados!$A:$A,INDEX($D:$E,MATCH("Y",$D:$D,0),2))=0,"",SUMIFS(Dados!$G:$G,Dados!$E:$E,$B32,Dados!$C:$C,INDEX(F$3,1,1),Dados!$A:$A,INDEX($D:$E,MATCH("Y",$D:$D,0),2))/COUNTIFS(Dados!$E:$E,$B32,Dados!$C:$C,INDEX(F$3,1,1),Dados!$A:$A,INDEX($D:$E,MATCH("Y",$D:$D,0),2)))</f>
        <v/>
      </c>
      <c r="G32" s="68" t="str">
        <f>IF(COUNTIFS(Dados!$E:$E,$B32,Dados!$C:$C,INDEX(G$3,1,1),Dados!$A:$A,INDEX($D:$E,MATCH("Y",$D:$D,0),2))=0,"",SUMIFS(Dados!$G:$G,Dados!$E:$E,$B32,Dados!$C:$C,INDEX(G$3,1,1),Dados!$A:$A,INDEX($D:$E,MATCH("Y",$D:$D,0),2))/COUNTIFS(Dados!$E:$E,$B32,Dados!$C:$C,INDEX(G$3,1,1),Dados!$A:$A,INDEX($D:$E,MATCH("Y",$D:$D,0),2)))</f>
        <v/>
      </c>
      <c r="H32" s="68" t="str">
        <f>IF(COUNTIFS(Dados!$E:$E,$B32,Dados!$C:$C,INDEX(H$3,1,1),Dados!$A:$A,INDEX($D:$E,MATCH("Y",$D:$D,0),2))=0,"",SUMIFS(Dados!$G:$G,Dados!$E:$E,$B32,Dados!$C:$C,INDEX(H$3,1,1),Dados!$A:$A,INDEX($D:$E,MATCH("Y",$D:$D,0),2))/COUNTIFS(Dados!$E:$E,$B32,Dados!$C:$C,INDEX(H$3,1,1),Dados!$A:$A,INDEX($D:$E,MATCH("Y",$D:$D,0),2)))</f>
        <v/>
      </c>
      <c r="I32" s="68" t="str">
        <f>IF(COUNTIFS(Dados!$E:$E,$B32,Dados!$C:$C,INDEX(I$3,1,1),Dados!$A:$A,INDEX($D:$E,MATCH("Y",$D:$D,0),2))=0,"",SUMIFS(Dados!$G:$G,Dados!$E:$E,$B32,Dados!$C:$C,INDEX(I$3,1,1),Dados!$A:$A,INDEX($D:$E,MATCH("Y",$D:$D,0),2))/COUNTIFS(Dados!$E:$E,$B32,Dados!$C:$C,INDEX(I$3,1,1),Dados!$A:$A,INDEX($D:$E,MATCH("Y",$D:$D,0),2)))</f>
        <v/>
      </c>
      <c r="J32" s="68" t="str">
        <f>IF(COUNTIFS(Dados!$E:$E,$B32,Dados!$C:$C,INDEX(J$3,1,1),Dados!$A:$A,INDEX($D:$E,MATCH("Y",$D:$D,0),2))=0,"",SUMIFS(Dados!$G:$G,Dados!$E:$E,$B32,Dados!$C:$C,INDEX(J$3,1,1),Dados!$A:$A,INDEX($D:$E,MATCH("Y",$D:$D,0),2))/COUNTIFS(Dados!$E:$E,$B32,Dados!$C:$C,INDEX(J$3,1,1),Dados!$A:$A,INDEX($D:$E,MATCH("Y",$D:$D,0),2)))</f>
        <v/>
      </c>
      <c r="K32" s="68" t="str">
        <f>IF(COUNTIFS(Dados!$E:$E,$B32,Dados!$C:$C,INDEX(K$3,1,1),Dados!$A:$A,INDEX($D:$E,MATCH("Y",$D:$D,0),2))=0,"",SUMIFS(Dados!$G:$G,Dados!$E:$E,$B32,Dados!$C:$C,INDEX(K$3,1,1),Dados!$A:$A,INDEX($D:$E,MATCH("Y",$D:$D,0),2))/COUNTIFS(Dados!$E:$E,$B32,Dados!$C:$C,INDEX(K$3,1,1),Dados!$A:$A,INDEX($D:$E,MATCH("Y",$D:$D,0),2)))</f>
        <v/>
      </c>
      <c r="L32" s="68" t="str">
        <f>IF(COUNTIFS(Dados!$E:$E,$B32,Dados!$C:$C,INDEX(L$3,1,1),Dados!$A:$A,INDEX($D:$E,MATCH("Y",$D:$D,0),2))=0,"",SUMIFS(Dados!$G:$G,Dados!$E:$E,$B32,Dados!$C:$C,INDEX(L$3,1,1),Dados!$A:$A,INDEX($D:$E,MATCH("Y",$D:$D,0),2))/COUNTIFS(Dados!$E:$E,$B32,Dados!$C:$C,INDEX(L$3,1,1),Dados!$A:$A,INDEX($D:$E,MATCH("Y",$D:$D,0),2)))</f>
        <v/>
      </c>
      <c r="M32" s="68" t="str">
        <f>IF(COUNTIFS(Dados!$E:$E,$B32,Dados!$C:$C,INDEX(M$3,1,1),Dados!$A:$A,INDEX($D:$E,MATCH("Y",$D:$D,0),2))=0,"",SUMIFS(Dados!$G:$G,Dados!$E:$E,$B32,Dados!$C:$C,INDEX(M$3,1,1),Dados!$A:$A,INDEX($D:$E,MATCH("Y",$D:$D,0),2))/COUNTIFS(Dados!$E:$E,$B32,Dados!$C:$C,INDEX(M$3,1,1),Dados!$A:$A,INDEX($D:$E,MATCH("Y",$D:$D,0),2)))</f>
        <v/>
      </c>
      <c r="N32" s="68" t="str">
        <f>IF(COUNTIFS(Dados!$E:$E,$B32,Dados!$C:$C,INDEX(N$3,1,1),Dados!$A:$A,INDEX($D:$E,MATCH("Y",$D:$D,0),2))=0,"",SUMIFS(Dados!$G:$G,Dados!$E:$E,$B32,Dados!$C:$C,INDEX(N$3,1,1),Dados!$A:$A,INDEX($D:$E,MATCH("Y",$D:$D,0),2))/COUNTIFS(Dados!$E:$E,$B32,Dados!$C:$C,INDEX(N$3,1,1),Dados!$A:$A,INDEX($D:$E,MATCH("Y",$D:$D,0),2)))</f>
        <v/>
      </c>
      <c r="O32" s="68" t="str">
        <f>IF(COUNTIFS(Dados!$E:$E,$B32,Dados!$C:$C,INDEX(O$3,1,1),Dados!$A:$A,INDEX($D:$E,MATCH("Y",$D:$D,0),2))=0,"",SUMIFS(Dados!$G:$G,Dados!$E:$E,$B32,Dados!$C:$C,INDEX(O$3,1,1),Dados!$A:$A,INDEX($D:$E,MATCH("Y",$D:$D,0),2))/COUNTIFS(Dados!$E:$E,$B32,Dados!$C:$C,INDEX(O$3,1,1),Dados!$A:$A,INDEX($D:$E,MATCH("Y",$D:$D,0),2)))</f>
        <v/>
      </c>
      <c r="P32" s="68" t="str">
        <f>IF(COUNTIFS(Dados!$E:$E,$B32,Dados!$C:$C,INDEX(P$3,1,1),Dados!$A:$A,INDEX($D:$E,MATCH("Y",$D:$D,0),2))=0,"",SUMIFS(Dados!$G:$G,Dados!$E:$E,$B32,Dados!$C:$C,INDEX(P$3,1,1),Dados!$A:$A,INDEX($D:$E,MATCH("Y",$D:$D,0),2))/COUNTIFS(Dados!$E:$E,$B32,Dados!$C:$C,INDEX(P$3,1,1),Dados!$A:$A,INDEX($D:$E,MATCH("Y",$D:$D,0),2)))</f>
        <v/>
      </c>
      <c r="Q32" s="68" t="str">
        <f>IF(COUNTIFS(Dados!$E:$E,$B32,Dados!$C:$C,INDEX(Q$3,1,1),Dados!$A:$A,INDEX($D:$E,MATCH("Y",$D:$D,0),2))=0,"",SUMIFS(Dados!$G:$G,Dados!$E:$E,$B32,Dados!$C:$C,INDEX(Q$3,1,1),Dados!$A:$A,INDEX($D:$E,MATCH("Y",$D:$D,0),2))/COUNTIFS(Dados!$E:$E,$B32,Dados!$C:$C,INDEX(Q$3,1,1),Dados!$A:$A,INDEX($D:$E,MATCH("Y",$D:$D,0),2)))</f>
        <v/>
      </c>
      <c r="R32" s="68" t="str">
        <f>IF(COUNTIFS(Dados!$E:$E,$B32,Dados!$C:$C,INDEX(R$3,1,1),Dados!$A:$A,INDEX($D:$E,MATCH("Y",$D:$D,0),2))=0,"",SUMIFS(Dados!$G:$G,Dados!$E:$E,$B32,Dados!$C:$C,INDEX(R$3,1,1),Dados!$A:$A,INDEX($D:$E,MATCH("Y",$D:$D,0),2))/COUNTIFS(Dados!$E:$E,$B32,Dados!$C:$C,INDEX(R$3,1,1),Dados!$A:$A,INDEX($D:$E,MATCH("Y",$D:$D,0),2)))</f>
        <v/>
      </c>
      <c r="S32" s="68" t="str">
        <f>IF(COUNTIFS(Dados!$E:$E,$B32,Dados!$C:$C,INDEX(S$3,1,1),Dados!$A:$A,INDEX($D:$E,MATCH("Y",$D:$D,0),2))=0,"",SUMIFS(Dados!$G:$G,Dados!$E:$E,$B32,Dados!$C:$C,INDEX(S$3,1,1),Dados!$A:$A,INDEX($D:$E,MATCH("Y",$D:$D,0),2))/COUNTIFS(Dados!$E:$E,$B32,Dados!$C:$C,INDEX(S$3,1,1),Dados!$A:$A,INDEX($D:$E,MATCH("Y",$D:$D,0),2)))</f>
        <v/>
      </c>
      <c r="T32" s="68" t="str">
        <f>IF(COUNTIFS(Dados!$E:$E,$B32,Dados!$C:$C,INDEX(T$3,1,1),Dados!$A:$A,INDEX($D:$E,MATCH("Y",$D:$D,0),2))=0,"",SUMIFS(Dados!$G:$G,Dados!$E:$E,$B32,Dados!$C:$C,INDEX(T$3,1,1),Dados!$A:$A,INDEX($D:$E,MATCH("Y",$D:$D,0),2))/COUNTIFS(Dados!$E:$E,$B32,Dados!$C:$C,INDEX(T$3,1,1),Dados!$A:$A,INDEX($D:$E,MATCH("Y",$D:$D,0),2)))</f>
        <v/>
      </c>
      <c r="U32" s="68" t="str">
        <f>IF(COUNTIFS(Dados!$E:$E,$B32,Dados!$C:$C,INDEX(U$3,1,1),Dados!$A:$A,INDEX($D:$E,MATCH("Y",$D:$D,0),2))=0,"",SUMIFS(Dados!$G:$G,Dados!$E:$E,$B32,Dados!$C:$C,INDEX(U$3,1,1),Dados!$A:$A,INDEX($D:$E,MATCH("Y",$D:$D,0),2))/COUNTIFS(Dados!$E:$E,$B32,Dados!$C:$C,INDEX(U$3,1,1),Dados!$A:$A,INDEX($D:$E,MATCH("Y",$D:$D,0),2)))</f>
        <v/>
      </c>
      <c r="V32" s="68" t="str">
        <f>IF(COUNTIFS(Dados!$E:$E,$B32,Dados!$C:$C,INDEX(V$3,1,1),Dados!$A:$A,INDEX($D:$E,MATCH("Y",$D:$D,0),2))=0,"",SUMIFS(Dados!$G:$G,Dados!$E:$E,$B32,Dados!$C:$C,INDEX(V$3,1,1),Dados!$A:$A,INDEX($D:$E,MATCH("Y",$D:$D,0),2))/COUNTIFS(Dados!$E:$E,$B32,Dados!$C:$C,INDEX(V$3,1,1),Dados!$A:$A,INDEX($D:$E,MATCH("Y",$D:$D,0),2)))</f>
        <v/>
      </c>
    </row>
    <row r="33" spans="2:22" x14ac:dyDescent="0.25">
      <c r="B33" s="65" t="s">
        <v>44</v>
      </c>
      <c r="C33" s="72">
        <f>VLOOKUP(B33,B4:C22,2,0)</f>
        <v>9</v>
      </c>
      <c r="D33" s="66" t="str">
        <f>IF(COUNTIFS(Dados!$E:$E,$B33,Dados!$C:$C,INDEX(D$3,1,1),Dados!$A:$A,INDEX($D:$E,MATCH("Y",$D:$D,0),2))=0,"",SUMIFS(Dados!$G:$G,Dados!$E:$E,$B33,Dados!$C:$C,INDEX(D$3,1,1),Dados!$A:$A,INDEX($D:$E,MATCH("Y",$D:$D,0),2))/COUNTIFS(Dados!$E:$E,$B33,Dados!$C:$C,INDEX(D$3,1,1),Dados!$A:$A,INDEX($D:$E,MATCH("Y",$D:$D,0),2)))</f>
        <v/>
      </c>
      <c r="E33" s="66" t="str">
        <f>IF(COUNTIFS(Dados!$E:$E,$B33,Dados!$C:$C,INDEX(E$3,1,1),Dados!$A:$A,INDEX($D:$E,MATCH("Y",$D:$D,0),2))=0,"",SUMIFS(Dados!$G:$G,Dados!$E:$E,$B33,Dados!$C:$C,INDEX(E$3,1,1),Dados!$A:$A,INDEX($D:$E,MATCH("Y",$D:$D,0),2))/COUNTIFS(Dados!$E:$E,$B33,Dados!$C:$C,INDEX(E$3,1,1),Dados!$A:$A,INDEX($D:$E,MATCH("Y",$D:$D,0),2)))</f>
        <v/>
      </c>
      <c r="F33" s="66" t="str">
        <f>IF(COUNTIFS(Dados!$E:$E,$B33,Dados!$C:$C,INDEX(F$3,1,1),Dados!$A:$A,INDEX($D:$E,MATCH("Y",$D:$D,0),2))=0,"",SUMIFS(Dados!$G:$G,Dados!$E:$E,$B33,Dados!$C:$C,INDEX(F$3,1,1),Dados!$A:$A,INDEX($D:$E,MATCH("Y",$D:$D,0),2))/COUNTIFS(Dados!$E:$E,$B33,Dados!$C:$C,INDEX(F$3,1,1),Dados!$A:$A,INDEX($D:$E,MATCH("Y",$D:$D,0),2)))</f>
        <v/>
      </c>
      <c r="G33" s="66" t="str">
        <f>IF(COUNTIFS(Dados!$E:$E,$B33,Dados!$C:$C,INDEX(G$3,1,1),Dados!$A:$A,INDEX($D:$E,MATCH("Y",$D:$D,0),2))=0,"",SUMIFS(Dados!$G:$G,Dados!$E:$E,$B33,Dados!$C:$C,INDEX(G$3,1,1),Dados!$A:$A,INDEX($D:$E,MATCH("Y",$D:$D,0),2))/COUNTIFS(Dados!$E:$E,$B33,Dados!$C:$C,INDEX(G$3,1,1),Dados!$A:$A,INDEX($D:$E,MATCH("Y",$D:$D,0),2)))</f>
        <v/>
      </c>
      <c r="H33" s="66" t="str">
        <f>IF(COUNTIFS(Dados!$E:$E,$B33,Dados!$C:$C,INDEX(H$3,1,1),Dados!$A:$A,INDEX($D:$E,MATCH("Y",$D:$D,0),2))=0,"",SUMIFS(Dados!$G:$G,Dados!$E:$E,$B33,Dados!$C:$C,INDEX(H$3,1,1),Dados!$A:$A,INDEX($D:$E,MATCH("Y",$D:$D,0),2))/COUNTIFS(Dados!$E:$E,$B33,Dados!$C:$C,INDEX(H$3,1,1),Dados!$A:$A,INDEX($D:$E,MATCH("Y",$D:$D,0),2)))</f>
        <v/>
      </c>
      <c r="I33" s="66" t="str">
        <f>IF(COUNTIFS(Dados!$E:$E,$B33,Dados!$C:$C,INDEX(I$3,1,1),Dados!$A:$A,INDEX($D:$E,MATCH("Y",$D:$D,0),2))=0,"",SUMIFS(Dados!$G:$G,Dados!$E:$E,$B33,Dados!$C:$C,INDEX(I$3,1,1),Dados!$A:$A,INDEX($D:$E,MATCH("Y",$D:$D,0),2))/COUNTIFS(Dados!$E:$E,$B33,Dados!$C:$C,INDEX(I$3,1,1),Dados!$A:$A,INDEX($D:$E,MATCH("Y",$D:$D,0),2)))</f>
        <v/>
      </c>
      <c r="J33" s="66" t="str">
        <f>IF(COUNTIFS(Dados!$E:$E,$B33,Dados!$C:$C,INDEX(J$3,1,1),Dados!$A:$A,INDEX($D:$E,MATCH("Y",$D:$D,0),2))=0,"",SUMIFS(Dados!$G:$G,Dados!$E:$E,$B33,Dados!$C:$C,INDEX(J$3,1,1),Dados!$A:$A,INDEX($D:$E,MATCH("Y",$D:$D,0),2))/COUNTIFS(Dados!$E:$E,$B33,Dados!$C:$C,INDEX(J$3,1,1),Dados!$A:$A,INDEX($D:$E,MATCH("Y",$D:$D,0),2)))</f>
        <v/>
      </c>
      <c r="K33" s="66" t="str">
        <f>IF(COUNTIFS(Dados!$E:$E,$B33,Dados!$C:$C,INDEX(K$3,1,1),Dados!$A:$A,INDEX($D:$E,MATCH("Y",$D:$D,0),2))=0,"",SUMIFS(Dados!$G:$G,Dados!$E:$E,$B33,Dados!$C:$C,INDEX(K$3,1,1),Dados!$A:$A,INDEX($D:$E,MATCH("Y",$D:$D,0),2))/COUNTIFS(Dados!$E:$E,$B33,Dados!$C:$C,INDEX(K$3,1,1),Dados!$A:$A,INDEX($D:$E,MATCH("Y",$D:$D,0),2)))</f>
        <v/>
      </c>
      <c r="L33" s="66" t="str">
        <f>IF(COUNTIFS(Dados!$E:$E,$B33,Dados!$C:$C,INDEX(L$3,1,1),Dados!$A:$A,INDEX($D:$E,MATCH("Y",$D:$D,0),2))=0,"",SUMIFS(Dados!$G:$G,Dados!$E:$E,$B33,Dados!$C:$C,INDEX(L$3,1,1),Dados!$A:$A,INDEX($D:$E,MATCH("Y",$D:$D,0),2))/COUNTIFS(Dados!$E:$E,$B33,Dados!$C:$C,INDEX(L$3,1,1),Dados!$A:$A,INDEX($D:$E,MATCH("Y",$D:$D,0),2)))</f>
        <v/>
      </c>
      <c r="M33" s="66" t="str">
        <f>IF(COUNTIFS(Dados!$E:$E,$B33,Dados!$C:$C,INDEX(M$3,1,1),Dados!$A:$A,INDEX($D:$E,MATCH("Y",$D:$D,0),2))=0,"",SUMIFS(Dados!$G:$G,Dados!$E:$E,$B33,Dados!$C:$C,INDEX(M$3,1,1),Dados!$A:$A,INDEX($D:$E,MATCH("Y",$D:$D,0),2))/COUNTIFS(Dados!$E:$E,$B33,Dados!$C:$C,INDEX(M$3,1,1),Dados!$A:$A,INDEX($D:$E,MATCH("Y",$D:$D,0),2)))</f>
        <v/>
      </c>
      <c r="N33" s="66" t="str">
        <f>IF(COUNTIFS(Dados!$E:$E,$B33,Dados!$C:$C,INDEX(N$3,1,1),Dados!$A:$A,INDEX($D:$E,MATCH("Y",$D:$D,0),2))=0,"",SUMIFS(Dados!$G:$G,Dados!$E:$E,$B33,Dados!$C:$C,INDEX(N$3,1,1),Dados!$A:$A,INDEX($D:$E,MATCH("Y",$D:$D,0),2))/COUNTIFS(Dados!$E:$E,$B33,Dados!$C:$C,INDEX(N$3,1,1),Dados!$A:$A,INDEX($D:$E,MATCH("Y",$D:$D,0),2)))</f>
        <v/>
      </c>
      <c r="O33" s="66" t="str">
        <f>IF(COUNTIFS(Dados!$E:$E,$B33,Dados!$C:$C,INDEX(O$3,1,1),Dados!$A:$A,INDEX($D:$E,MATCH("Y",$D:$D,0),2))=0,"",SUMIFS(Dados!$G:$G,Dados!$E:$E,$B33,Dados!$C:$C,INDEX(O$3,1,1),Dados!$A:$A,INDEX($D:$E,MATCH("Y",$D:$D,0),2))/COUNTIFS(Dados!$E:$E,$B33,Dados!$C:$C,INDEX(O$3,1,1),Dados!$A:$A,INDEX($D:$E,MATCH("Y",$D:$D,0),2)))</f>
        <v/>
      </c>
      <c r="P33" s="66" t="str">
        <f>IF(COUNTIFS(Dados!$E:$E,$B33,Dados!$C:$C,INDEX(P$3,1,1),Dados!$A:$A,INDEX($D:$E,MATCH("Y",$D:$D,0),2))=0,"",SUMIFS(Dados!$G:$G,Dados!$E:$E,$B33,Dados!$C:$C,INDEX(P$3,1,1),Dados!$A:$A,INDEX($D:$E,MATCH("Y",$D:$D,0),2))/COUNTIFS(Dados!$E:$E,$B33,Dados!$C:$C,INDEX(P$3,1,1),Dados!$A:$A,INDEX($D:$E,MATCH("Y",$D:$D,0),2)))</f>
        <v/>
      </c>
      <c r="Q33" s="66" t="str">
        <f>IF(COUNTIFS(Dados!$E:$E,$B33,Dados!$C:$C,INDEX(Q$3,1,1),Dados!$A:$A,INDEX($D:$E,MATCH("Y",$D:$D,0),2))=0,"",SUMIFS(Dados!$G:$G,Dados!$E:$E,$B33,Dados!$C:$C,INDEX(Q$3,1,1),Dados!$A:$A,INDEX($D:$E,MATCH("Y",$D:$D,0),2))/COUNTIFS(Dados!$E:$E,$B33,Dados!$C:$C,INDEX(Q$3,1,1),Dados!$A:$A,INDEX($D:$E,MATCH("Y",$D:$D,0),2)))</f>
        <v/>
      </c>
      <c r="R33" s="66" t="str">
        <f>IF(COUNTIFS(Dados!$E:$E,$B33,Dados!$C:$C,INDEX(R$3,1,1),Dados!$A:$A,INDEX($D:$E,MATCH("Y",$D:$D,0),2))=0,"",SUMIFS(Dados!$G:$G,Dados!$E:$E,$B33,Dados!$C:$C,INDEX(R$3,1,1),Dados!$A:$A,INDEX($D:$E,MATCH("Y",$D:$D,0),2))/COUNTIFS(Dados!$E:$E,$B33,Dados!$C:$C,INDEX(R$3,1,1),Dados!$A:$A,INDEX($D:$E,MATCH("Y",$D:$D,0),2)))</f>
        <v/>
      </c>
      <c r="S33" s="66" t="str">
        <f>IF(COUNTIFS(Dados!$E:$E,$B33,Dados!$C:$C,INDEX(S$3,1,1),Dados!$A:$A,INDEX($D:$E,MATCH("Y",$D:$D,0),2))=0,"",SUMIFS(Dados!$G:$G,Dados!$E:$E,$B33,Dados!$C:$C,INDEX(S$3,1,1),Dados!$A:$A,INDEX($D:$E,MATCH("Y",$D:$D,0),2))/COUNTIFS(Dados!$E:$E,$B33,Dados!$C:$C,INDEX(S$3,1,1),Dados!$A:$A,INDEX($D:$E,MATCH("Y",$D:$D,0),2)))</f>
        <v/>
      </c>
      <c r="T33" s="66" t="str">
        <f>IF(COUNTIFS(Dados!$E:$E,$B33,Dados!$C:$C,INDEX(T$3,1,1),Dados!$A:$A,INDEX($D:$E,MATCH("Y",$D:$D,0),2))=0,"",SUMIFS(Dados!$G:$G,Dados!$E:$E,$B33,Dados!$C:$C,INDEX(T$3,1,1),Dados!$A:$A,INDEX($D:$E,MATCH("Y",$D:$D,0),2))/COUNTIFS(Dados!$E:$E,$B33,Dados!$C:$C,INDEX(T$3,1,1),Dados!$A:$A,INDEX($D:$E,MATCH("Y",$D:$D,0),2)))</f>
        <v/>
      </c>
      <c r="U33" s="66" t="str">
        <f>IF(COUNTIFS(Dados!$E:$E,$B33,Dados!$C:$C,INDEX(U$3,1,1),Dados!$A:$A,INDEX($D:$E,MATCH("Y",$D:$D,0),2))=0,"",SUMIFS(Dados!$G:$G,Dados!$E:$E,$B33,Dados!$C:$C,INDEX(U$3,1,1),Dados!$A:$A,INDEX($D:$E,MATCH("Y",$D:$D,0),2))/COUNTIFS(Dados!$E:$E,$B33,Dados!$C:$C,INDEX(U$3,1,1),Dados!$A:$A,INDEX($D:$E,MATCH("Y",$D:$D,0),2)))</f>
        <v/>
      </c>
      <c r="V33" s="66" t="str">
        <f>IF(COUNTIFS(Dados!$E:$E,$B33,Dados!$C:$C,INDEX(V$3,1,1),Dados!$A:$A,INDEX($D:$E,MATCH("Y",$D:$D,0),2))=0,"",SUMIFS(Dados!$G:$G,Dados!$E:$E,$B33,Dados!$C:$C,INDEX(V$3,1,1),Dados!$A:$A,INDEX($D:$E,MATCH("Y",$D:$D,0),2))/COUNTIFS(Dados!$E:$E,$B33,Dados!$C:$C,INDEX(V$3,1,1),Dados!$A:$A,INDEX($D:$E,MATCH("Y",$D:$D,0),2)))</f>
        <v/>
      </c>
    </row>
    <row r="34" spans="2:22" x14ac:dyDescent="0.25">
      <c r="B34" s="67" t="s">
        <v>147</v>
      </c>
      <c r="C34" s="71">
        <f>VLOOKUP(B34,B4:C22,2,0)</f>
        <v>10</v>
      </c>
      <c r="D34" s="68" t="str">
        <f>IF(COUNTIFS(Dados!$E:$E,$B34,Dados!$C:$C,INDEX(D$3,1,1),Dados!$A:$A,INDEX($D:$E,MATCH("Y",$D:$D,0),2))=0,"",SUMIFS(Dados!$G:$G,Dados!$E:$E,$B34,Dados!$C:$C,INDEX(D$3,1,1),Dados!$A:$A,INDEX($D:$E,MATCH("Y",$D:$D,0),2))/COUNTIFS(Dados!$E:$E,$B34,Dados!$C:$C,INDEX(D$3,1,1),Dados!$A:$A,INDEX($D:$E,MATCH("Y",$D:$D,0),2)))</f>
        <v/>
      </c>
      <c r="E34" s="68" t="str">
        <f>IF(COUNTIFS(Dados!$E:$E,$B34,Dados!$C:$C,INDEX(E$3,1,1),Dados!$A:$A,INDEX($D:$E,MATCH("Y",$D:$D,0),2))=0,"",SUMIFS(Dados!$G:$G,Dados!$E:$E,$B34,Dados!$C:$C,INDEX(E$3,1,1),Dados!$A:$A,INDEX($D:$E,MATCH("Y",$D:$D,0),2))/COUNTIFS(Dados!$E:$E,$B34,Dados!$C:$C,INDEX(E$3,1,1),Dados!$A:$A,INDEX($D:$E,MATCH("Y",$D:$D,0),2)))</f>
        <v/>
      </c>
      <c r="F34" s="68" t="str">
        <f>IF(COUNTIFS(Dados!$E:$E,$B34,Dados!$C:$C,INDEX(F$3,1,1),Dados!$A:$A,INDEX($D:$E,MATCH("Y",$D:$D,0),2))=0,"",SUMIFS(Dados!$G:$G,Dados!$E:$E,$B34,Dados!$C:$C,INDEX(F$3,1,1),Dados!$A:$A,INDEX($D:$E,MATCH("Y",$D:$D,0),2))/COUNTIFS(Dados!$E:$E,$B34,Dados!$C:$C,INDEX(F$3,1,1),Dados!$A:$A,INDEX($D:$E,MATCH("Y",$D:$D,0),2)))</f>
        <v/>
      </c>
      <c r="G34" s="68" t="str">
        <f>IF(COUNTIFS(Dados!$E:$E,$B34,Dados!$C:$C,INDEX(G$3,1,1),Dados!$A:$A,INDEX($D:$E,MATCH("Y",$D:$D,0),2))=0,"",SUMIFS(Dados!$G:$G,Dados!$E:$E,$B34,Dados!$C:$C,INDEX(G$3,1,1),Dados!$A:$A,INDEX($D:$E,MATCH("Y",$D:$D,0),2))/COUNTIFS(Dados!$E:$E,$B34,Dados!$C:$C,INDEX(G$3,1,1),Dados!$A:$A,INDEX($D:$E,MATCH("Y",$D:$D,0),2)))</f>
        <v/>
      </c>
      <c r="H34" s="68" t="str">
        <f>IF(COUNTIFS(Dados!$E:$E,$B34,Dados!$C:$C,INDEX(H$3,1,1),Dados!$A:$A,INDEX($D:$E,MATCH("Y",$D:$D,0),2))=0,"",SUMIFS(Dados!$G:$G,Dados!$E:$E,$B34,Dados!$C:$C,INDEX(H$3,1,1),Dados!$A:$A,INDEX($D:$E,MATCH("Y",$D:$D,0),2))/COUNTIFS(Dados!$E:$E,$B34,Dados!$C:$C,INDEX(H$3,1,1),Dados!$A:$A,INDEX($D:$E,MATCH("Y",$D:$D,0),2)))</f>
        <v/>
      </c>
      <c r="I34" s="68" t="str">
        <f>IF(COUNTIFS(Dados!$E:$E,$B34,Dados!$C:$C,INDEX(I$3,1,1),Dados!$A:$A,INDEX($D:$E,MATCH("Y",$D:$D,0),2))=0,"",SUMIFS(Dados!$G:$G,Dados!$E:$E,$B34,Dados!$C:$C,INDEX(I$3,1,1),Dados!$A:$A,INDEX($D:$E,MATCH("Y",$D:$D,0),2))/COUNTIFS(Dados!$E:$E,$B34,Dados!$C:$C,INDEX(I$3,1,1),Dados!$A:$A,INDEX($D:$E,MATCH("Y",$D:$D,0),2)))</f>
        <v/>
      </c>
      <c r="J34" s="68" t="str">
        <f>IF(COUNTIFS(Dados!$E:$E,$B34,Dados!$C:$C,INDEX(J$3,1,1),Dados!$A:$A,INDEX($D:$E,MATCH("Y",$D:$D,0),2))=0,"",SUMIFS(Dados!$G:$G,Dados!$E:$E,$B34,Dados!$C:$C,INDEX(J$3,1,1),Dados!$A:$A,INDEX($D:$E,MATCH("Y",$D:$D,0),2))/COUNTIFS(Dados!$E:$E,$B34,Dados!$C:$C,INDEX(J$3,1,1),Dados!$A:$A,INDEX($D:$E,MATCH("Y",$D:$D,0),2)))</f>
        <v/>
      </c>
      <c r="K34" s="68">
        <f>IF(COUNTIFS(Dados!$E:$E,$B34,Dados!$C:$C,INDEX(K$3,1,1),Dados!$A:$A,INDEX($D:$E,MATCH("Y",$D:$D,0),2))=0,"",SUMIFS(Dados!$G:$G,Dados!$E:$E,$B34,Dados!$C:$C,INDEX(K$3,1,1),Dados!$A:$A,INDEX($D:$E,MATCH("Y",$D:$D,0),2))/COUNTIFS(Dados!$E:$E,$B34,Dados!$C:$C,INDEX(K$3,1,1),Dados!$A:$A,INDEX($D:$E,MATCH("Y",$D:$D,0),2)))</f>
        <v>0.53415777921096519</v>
      </c>
      <c r="L34" s="68" t="str">
        <f>IF(COUNTIFS(Dados!$E:$E,$B34,Dados!$C:$C,INDEX(L$3,1,1),Dados!$A:$A,INDEX($D:$E,MATCH("Y",$D:$D,0),2))=0,"",SUMIFS(Dados!$G:$G,Dados!$E:$E,$B34,Dados!$C:$C,INDEX(L$3,1,1),Dados!$A:$A,INDEX($D:$E,MATCH("Y",$D:$D,0),2))/COUNTIFS(Dados!$E:$E,$B34,Dados!$C:$C,INDEX(L$3,1,1),Dados!$A:$A,INDEX($D:$E,MATCH("Y",$D:$D,0),2)))</f>
        <v/>
      </c>
      <c r="M34" s="68" t="str">
        <f>IF(COUNTIFS(Dados!$E:$E,$B34,Dados!$C:$C,INDEX(M$3,1,1),Dados!$A:$A,INDEX($D:$E,MATCH("Y",$D:$D,0),2))=0,"",SUMIFS(Dados!$G:$G,Dados!$E:$E,$B34,Dados!$C:$C,INDEX(M$3,1,1),Dados!$A:$A,INDEX($D:$E,MATCH("Y",$D:$D,0),2))/COUNTIFS(Dados!$E:$E,$B34,Dados!$C:$C,INDEX(M$3,1,1),Dados!$A:$A,INDEX($D:$E,MATCH("Y",$D:$D,0),2)))</f>
        <v/>
      </c>
      <c r="N34" s="68" t="str">
        <f>IF(COUNTIFS(Dados!$E:$E,$B34,Dados!$C:$C,INDEX(N$3,1,1),Dados!$A:$A,INDEX($D:$E,MATCH("Y",$D:$D,0),2))=0,"",SUMIFS(Dados!$G:$G,Dados!$E:$E,$B34,Dados!$C:$C,INDEX(N$3,1,1),Dados!$A:$A,INDEX($D:$E,MATCH("Y",$D:$D,0),2))/COUNTIFS(Dados!$E:$E,$B34,Dados!$C:$C,INDEX(N$3,1,1),Dados!$A:$A,INDEX($D:$E,MATCH("Y",$D:$D,0),2)))</f>
        <v/>
      </c>
      <c r="O34" s="68" t="str">
        <f>IF(COUNTIFS(Dados!$E:$E,$B34,Dados!$C:$C,INDEX(O$3,1,1),Dados!$A:$A,INDEX($D:$E,MATCH("Y",$D:$D,0),2))=0,"",SUMIFS(Dados!$G:$G,Dados!$E:$E,$B34,Dados!$C:$C,INDEX(O$3,1,1),Dados!$A:$A,INDEX($D:$E,MATCH("Y",$D:$D,0),2))/COUNTIFS(Dados!$E:$E,$B34,Dados!$C:$C,INDEX(O$3,1,1),Dados!$A:$A,INDEX($D:$E,MATCH("Y",$D:$D,0),2)))</f>
        <v/>
      </c>
      <c r="P34" s="68" t="str">
        <f>IF(COUNTIFS(Dados!$E:$E,$B34,Dados!$C:$C,INDEX(P$3,1,1),Dados!$A:$A,INDEX($D:$E,MATCH("Y",$D:$D,0),2))=0,"",SUMIFS(Dados!$G:$G,Dados!$E:$E,$B34,Dados!$C:$C,INDEX(P$3,1,1),Dados!$A:$A,INDEX($D:$E,MATCH("Y",$D:$D,0),2))/COUNTIFS(Dados!$E:$E,$B34,Dados!$C:$C,INDEX(P$3,1,1),Dados!$A:$A,INDEX($D:$E,MATCH("Y",$D:$D,0),2)))</f>
        <v/>
      </c>
      <c r="Q34" s="68" t="str">
        <f>IF(COUNTIFS(Dados!$E:$E,$B34,Dados!$C:$C,INDEX(Q$3,1,1),Dados!$A:$A,INDEX($D:$E,MATCH("Y",$D:$D,0),2))=0,"",SUMIFS(Dados!$G:$G,Dados!$E:$E,$B34,Dados!$C:$C,INDEX(Q$3,1,1),Dados!$A:$A,INDEX($D:$E,MATCH("Y",$D:$D,0),2))/COUNTIFS(Dados!$E:$E,$B34,Dados!$C:$C,INDEX(Q$3,1,1),Dados!$A:$A,INDEX($D:$E,MATCH("Y",$D:$D,0),2)))</f>
        <v/>
      </c>
      <c r="R34" s="68" t="str">
        <f>IF(COUNTIFS(Dados!$E:$E,$B34,Dados!$C:$C,INDEX(R$3,1,1),Dados!$A:$A,INDEX($D:$E,MATCH("Y",$D:$D,0),2))=0,"",SUMIFS(Dados!$G:$G,Dados!$E:$E,$B34,Dados!$C:$C,INDEX(R$3,1,1),Dados!$A:$A,INDEX($D:$E,MATCH("Y",$D:$D,0),2))/COUNTIFS(Dados!$E:$E,$B34,Dados!$C:$C,INDEX(R$3,1,1),Dados!$A:$A,INDEX($D:$E,MATCH("Y",$D:$D,0),2)))</f>
        <v/>
      </c>
      <c r="S34" s="68" t="str">
        <f>IF(COUNTIFS(Dados!$E:$E,$B34,Dados!$C:$C,INDEX(S$3,1,1),Dados!$A:$A,INDEX($D:$E,MATCH("Y",$D:$D,0),2))=0,"",SUMIFS(Dados!$G:$G,Dados!$E:$E,$B34,Dados!$C:$C,INDEX(S$3,1,1),Dados!$A:$A,INDEX($D:$E,MATCH("Y",$D:$D,0),2))/COUNTIFS(Dados!$E:$E,$B34,Dados!$C:$C,INDEX(S$3,1,1),Dados!$A:$A,INDEX($D:$E,MATCH("Y",$D:$D,0),2)))</f>
        <v/>
      </c>
      <c r="T34" s="68" t="str">
        <f>IF(COUNTIFS(Dados!$E:$E,$B34,Dados!$C:$C,INDEX(T$3,1,1),Dados!$A:$A,INDEX($D:$E,MATCH("Y",$D:$D,0),2))=0,"",SUMIFS(Dados!$G:$G,Dados!$E:$E,$B34,Dados!$C:$C,INDEX(T$3,1,1),Dados!$A:$A,INDEX($D:$E,MATCH("Y",$D:$D,0),2))/COUNTIFS(Dados!$E:$E,$B34,Dados!$C:$C,INDEX(T$3,1,1),Dados!$A:$A,INDEX($D:$E,MATCH("Y",$D:$D,0),2)))</f>
        <v/>
      </c>
      <c r="U34" s="68" t="str">
        <f>IF(COUNTIFS(Dados!$E:$E,$B34,Dados!$C:$C,INDEX(U$3,1,1),Dados!$A:$A,INDEX($D:$E,MATCH("Y",$D:$D,0),2))=0,"",SUMIFS(Dados!$G:$G,Dados!$E:$E,$B34,Dados!$C:$C,INDEX(U$3,1,1),Dados!$A:$A,INDEX($D:$E,MATCH("Y",$D:$D,0),2))/COUNTIFS(Dados!$E:$E,$B34,Dados!$C:$C,INDEX(U$3,1,1),Dados!$A:$A,INDEX($D:$E,MATCH("Y",$D:$D,0),2)))</f>
        <v/>
      </c>
      <c r="V34" s="68" t="str">
        <f>IF(COUNTIFS(Dados!$E:$E,$B34,Dados!$C:$C,INDEX(V$3,1,1),Dados!$A:$A,INDEX($D:$E,MATCH("Y",$D:$D,0),2))=0,"",SUMIFS(Dados!$G:$G,Dados!$E:$E,$B34,Dados!$C:$C,INDEX(V$3,1,1),Dados!$A:$A,INDEX($D:$E,MATCH("Y",$D:$D,0),2))/COUNTIFS(Dados!$E:$E,$B34,Dados!$C:$C,INDEX(V$3,1,1),Dados!$A:$A,INDEX($D:$E,MATCH("Y",$D:$D,0),2)))</f>
        <v/>
      </c>
    </row>
    <row r="35" spans="2:22" x14ac:dyDescent="0.25">
      <c r="B35" s="65" t="s">
        <v>898</v>
      </c>
      <c r="C35" s="72">
        <f>VLOOKUP(B35,B4:C22,2,0)</f>
        <v>11</v>
      </c>
      <c r="D35" s="66" t="str">
        <f>IF(COUNTIFS(Dados!$E:$E,$B35,Dados!$C:$C,INDEX(D$3,1,1),Dados!$A:$A,INDEX($D:$E,MATCH("Y",$D:$D,0),2))=0,"",SUMIFS(Dados!$G:$G,Dados!$E:$E,$B35,Dados!$C:$C,INDEX(D$3,1,1),Dados!$A:$A,INDEX($D:$E,MATCH("Y",$D:$D,0),2))/COUNTIFS(Dados!$E:$E,$B35,Dados!$C:$C,INDEX(D$3,1,1),Dados!$A:$A,INDEX($D:$E,MATCH("Y",$D:$D,0),2)))</f>
        <v/>
      </c>
      <c r="E35" s="66" t="str">
        <f>IF(COUNTIFS(Dados!$E:$E,$B35,Dados!$C:$C,INDEX(E$3,1,1),Dados!$A:$A,INDEX($D:$E,MATCH("Y",$D:$D,0),2))=0,"",SUMIFS(Dados!$G:$G,Dados!$E:$E,$B35,Dados!$C:$C,INDEX(E$3,1,1),Dados!$A:$A,INDEX($D:$E,MATCH("Y",$D:$D,0),2))/COUNTIFS(Dados!$E:$E,$B35,Dados!$C:$C,INDEX(E$3,1,1),Dados!$A:$A,INDEX($D:$E,MATCH("Y",$D:$D,0),2)))</f>
        <v/>
      </c>
      <c r="F35" s="66" t="str">
        <f>IF(COUNTIFS(Dados!$E:$E,$B35,Dados!$C:$C,INDEX(F$3,1,1),Dados!$A:$A,INDEX($D:$E,MATCH("Y",$D:$D,0),2))=0,"",SUMIFS(Dados!$G:$G,Dados!$E:$E,$B35,Dados!$C:$C,INDEX(F$3,1,1),Dados!$A:$A,INDEX($D:$E,MATCH("Y",$D:$D,0),2))/COUNTIFS(Dados!$E:$E,$B35,Dados!$C:$C,INDEX(F$3,1,1),Dados!$A:$A,INDEX($D:$E,MATCH("Y",$D:$D,0),2)))</f>
        <v/>
      </c>
      <c r="G35" s="66" t="str">
        <f>IF(COUNTIFS(Dados!$E:$E,$B35,Dados!$C:$C,INDEX(G$3,1,1),Dados!$A:$A,INDEX($D:$E,MATCH("Y",$D:$D,0),2))=0,"",SUMIFS(Dados!$G:$G,Dados!$E:$E,$B35,Dados!$C:$C,INDEX(G$3,1,1),Dados!$A:$A,INDEX($D:$E,MATCH("Y",$D:$D,0),2))/COUNTIFS(Dados!$E:$E,$B35,Dados!$C:$C,INDEX(G$3,1,1),Dados!$A:$A,INDEX($D:$E,MATCH("Y",$D:$D,0),2)))</f>
        <v/>
      </c>
      <c r="H35" s="66" t="str">
        <f>IF(COUNTIFS(Dados!$E:$E,$B35,Dados!$C:$C,INDEX(H$3,1,1),Dados!$A:$A,INDEX($D:$E,MATCH("Y",$D:$D,0),2))=0,"",SUMIFS(Dados!$G:$G,Dados!$E:$E,$B35,Dados!$C:$C,INDEX(H$3,1,1),Dados!$A:$A,INDEX($D:$E,MATCH("Y",$D:$D,0),2))/COUNTIFS(Dados!$E:$E,$B35,Dados!$C:$C,INDEX(H$3,1,1),Dados!$A:$A,INDEX($D:$E,MATCH("Y",$D:$D,0),2)))</f>
        <v/>
      </c>
      <c r="I35" s="66" t="str">
        <f>IF(COUNTIFS(Dados!$E:$E,$B35,Dados!$C:$C,INDEX(I$3,1,1),Dados!$A:$A,INDEX($D:$E,MATCH("Y",$D:$D,0),2))=0,"",SUMIFS(Dados!$G:$G,Dados!$E:$E,$B35,Dados!$C:$C,INDEX(I$3,1,1),Dados!$A:$A,INDEX($D:$E,MATCH("Y",$D:$D,0),2))/COUNTIFS(Dados!$E:$E,$B35,Dados!$C:$C,INDEX(I$3,1,1),Dados!$A:$A,INDEX($D:$E,MATCH("Y",$D:$D,0),2)))</f>
        <v/>
      </c>
      <c r="J35" s="66" t="str">
        <f>IF(COUNTIFS(Dados!$E:$E,$B35,Dados!$C:$C,INDEX(J$3,1,1),Dados!$A:$A,INDEX($D:$E,MATCH("Y",$D:$D,0),2))=0,"",SUMIFS(Dados!$G:$G,Dados!$E:$E,$B35,Dados!$C:$C,INDEX(J$3,1,1),Dados!$A:$A,INDEX($D:$E,MATCH("Y",$D:$D,0),2))/COUNTIFS(Dados!$E:$E,$B35,Dados!$C:$C,INDEX(J$3,1,1),Dados!$A:$A,INDEX($D:$E,MATCH("Y",$D:$D,0),2)))</f>
        <v/>
      </c>
      <c r="K35" s="66" t="str">
        <f>IF(COUNTIFS(Dados!$E:$E,$B35,Dados!$C:$C,INDEX(K$3,1,1),Dados!$A:$A,INDEX($D:$E,MATCH("Y",$D:$D,0),2))=0,"",SUMIFS(Dados!$G:$G,Dados!$E:$E,$B35,Dados!$C:$C,INDEX(K$3,1,1),Dados!$A:$A,INDEX($D:$E,MATCH("Y",$D:$D,0),2))/COUNTIFS(Dados!$E:$E,$B35,Dados!$C:$C,INDEX(K$3,1,1),Dados!$A:$A,INDEX($D:$E,MATCH("Y",$D:$D,0),2)))</f>
        <v/>
      </c>
      <c r="L35" s="66" t="str">
        <f>IF(COUNTIFS(Dados!$E:$E,$B35,Dados!$C:$C,INDEX(L$3,1,1),Dados!$A:$A,INDEX($D:$E,MATCH("Y",$D:$D,0),2))=0,"",SUMIFS(Dados!$G:$G,Dados!$E:$E,$B35,Dados!$C:$C,INDEX(L$3,1,1),Dados!$A:$A,INDEX($D:$E,MATCH("Y",$D:$D,0),2))/COUNTIFS(Dados!$E:$E,$B35,Dados!$C:$C,INDEX(L$3,1,1),Dados!$A:$A,INDEX($D:$E,MATCH("Y",$D:$D,0),2)))</f>
        <v/>
      </c>
      <c r="M35" s="66" t="str">
        <f>IF(COUNTIFS(Dados!$E:$E,$B35,Dados!$C:$C,INDEX(M$3,1,1),Dados!$A:$A,INDEX($D:$E,MATCH("Y",$D:$D,0),2))=0,"",SUMIFS(Dados!$G:$G,Dados!$E:$E,$B35,Dados!$C:$C,INDEX(M$3,1,1),Dados!$A:$A,INDEX($D:$E,MATCH("Y",$D:$D,0),2))/COUNTIFS(Dados!$E:$E,$B35,Dados!$C:$C,INDEX(M$3,1,1),Dados!$A:$A,INDEX($D:$E,MATCH("Y",$D:$D,0),2)))</f>
        <v/>
      </c>
      <c r="N35" s="66" t="str">
        <f>IF(COUNTIFS(Dados!$E:$E,$B35,Dados!$C:$C,INDEX(N$3,1,1),Dados!$A:$A,INDEX($D:$E,MATCH("Y",$D:$D,0),2))=0,"",SUMIFS(Dados!$G:$G,Dados!$E:$E,$B35,Dados!$C:$C,INDEX(N$3,1,1),Dados!$A:$A,INDEX($D:$E,MATCH("Y",$D:$D,0),2))/COUNTIFS(Dados!$E:$E,$B35,Dados!$C:$C,INDEX(N$3,1,1),Dados!$A:$A,INDEX($D:$E,MATCH("Y",$D:$D,0),2)))</f>
        <v/>
      </c>
      <c r="O35" s="66" t="str">
        <f>IF(COUNTIFS(Dados!$E:$E,$B35,Dados!$C:$C,INDEX(O$3,1,1),Dados!$A:$A,INDEX($D:$E,MATCH("Y",$D:$D,0),2))=0,"",SUMIFS(Dados!$G:$G,Dados!$E:$E,$B35,Dados!$C:$C,INDEX(O$3,1,1),Dados!$A:$A,INDEX($D:$E,MATCH("Y",$D:$D,0),2))/COUNTIFS(Dados!$E:$E,$B35,Dados!$C:$C,INDEX(O$3,1,1),Dados!$A:$A,INDEX($D:$E,MATCH("Y",$D:$D,0),2)))</f>
        <v/>
      </c>
      <c r="P35" s="66" t="str">
        <f>IF(COUNTIFS(Dados!$E:$E,$B35,Dados!$C:$C,INDEX(P$3,1,1),Dados!$A:$A,INDEX($D:$E,MATCH("Y",$D:$D,0),2))=0,"",SUMIFS(Dados!$G:$G,Dados!$E:$E,$B35,Dados!$C:$C,INDEX(P$3,1,1),Dados!$A:$A,INDEX($D:$E,MATCH("Y",$D:$D,0),2))/COUNTIFS(Dados!$E:$E,$B35,Dados!$C:$C,INDEX(P$3,1,1),Dados!$A:$A,INDEX($D:$E,MATCH("Y",$D:$D,0),2)))</f>
        <v/>
      </c>
      <c r="Q35" s="66" t="str">
        <f>IF(COUNTIFS(Dados!$E:$E,$B35,Dados!$C:$C,INDEX(Q$3,1,1),Dados!$A:$A,INDEX($D:$E,MATCH("Y",$D:$D,0),2))=0,"",SUMIFS(Dados!$G:$G,Dados!$E:$E,$B35,Dados!$C:$C,INDEX(Q$3,1,1),Dados!$A:$A,INDEX($D:$E,MATCH("Y",$D:$D,0),2))/COUNTIFS(Dados!$E:$E,$B35,Dados!$C:$C,INDEX(Q$3,1,1),Dados!$A:$A,INDEX($D:$E,MATCH("Y",$D:$D,0),2)))</f>
        <v/>
      </c>
      <c r="R35" s="66" t="str">
        <f>IF(COUNTIFS(Dados!$E:$E,$B35,Dados!$C:$C,INDEX(R$3,1,1),Dados!$A:$A,INDEX($D:$E,MATCH("Y",$D:$D,0),2))=0,"",SUMIFS(Dados!$G:$G,Dados!$E:$E,$B35,Dados!$C:$C,INDEX(R$3,1,1),Dados!$A:$A,INDEX($D:$E,MATCH("Y",$D:$D,0),2))/COUNTIFS(Dados!$E:$E,$B35,Dados!$C:$C,INDEX(R$3,1,1),Dados!$A:$A,INDEX($D:$E,MATCH("Y",$D:$D,0),2)))</f>
        <v/>
      </c>
      <c r="S35" s="66" t="str">
        <f>IF(COUNTIFS(Dados!$E:$E,$B35,Dados!$C:$C,INDEX(S$3,1,1),Dados!$A:$A,INDEX($D:$E,MATCH("Y",$D:$D,0),2))=0,"",SUMIFS(Dados!$G:$G,Dados!$E:$E,$B35,Dados!$C:$C,INDEX(S$3,1,1),Dados!$A:$A,INDEX($D:$E,MATCH("Y",$D:$D,0),2))/COUNTIFS(Dados!$E:$E,$B35,Dados!$C:$C,INDEX(S$3,1,1),Dados!$A:$A,INDEX($D:$E,MATCH("Y",$D:$D,0),2)))</f>
        <v/>
      </c>
      <c r="T35" s="66" t="str">
        <f>IF(COUNTIFS(Dados!$E:$E,$B35,Dados!$C:$C,INDEX(T$3,1,1),Dados!$A:$A,INDEX($D:$E,MATCH("Y",$D:$D,0),2))=0,"",SUMIFS(Dados!$G:$G,Dados!$E:$E,$B35,Dados!$C:$C,INDEX(T$3,1,1),Dados!$A:$A,INDEX($D:$E,MATCH("Y",$D:$D,0),2))/COUNTIFS(Dados!$E:$E,$B35,Dados!$C:$C,INDEX(T$3,1,1),Dados!$A:$A,INDEX($D:$E,MATCH("Y",$D:$D,0),2)))</f>
        <v/>
      </c>
      <c r="U35" s="66" t="str">
        <f>IF(COUNTIFS(Dados!$E:$E,$B35,Dados!$C:$C,INDEX(U$3,1,1),Dados!$A:$A,INDEX($D:$E,MATCH("Y",$D:$D,0),2))=0,"",SUMIFS(Dados!$G:$G,Dados!$E:$E,$B35,Dados!$C:$C,INDEX(U$3,1,1),Dados!$A:$A,INDEX($D:$E,MATCH("Y",$D:$D,0),2))/COUNTIFS(Dados!$E:$E,$B35,Dados!$C:$C,INDEX(U$3,1,1),Dados!$A:$A,INDEX($D:$E,MATCH("Y",$D:$D,0),2)))</f>
        <v/>
      </c>
      <c r="V35" s="66" t="str">
        <f>IF(COUNTIFS(Dados!$E:$E,$B35,Dados!$C:$C,INDEX(V$3,1,1),Dados!$A:$A,INDEX($D:$E,MATCH("Y",$D:$D,0),2))=0,"",SUMIFS(Dados!$G:$G,Dados!$E:$E,$B35,Dados!$C:$C,INDEX(V$3,1,1),Dados!$A:$A,INDEX($D:$E,MATCH("Y",$D:$D,0),2))/COUNTIFS(Dados!$E:$E,$B35,Dados!$C:$C,INDEX(V$3,1,1),Dados!$A:$A,INDEX($D:$E,MATCH("Y",$D:$D,0),2)))</f>
        <v/>
      </c>
    </row>
    <row r="36" spans="2:22" x14ac:dyDescent="0.25">
      <c r="B36" s="67" t="s">
        <v>1301</v>
      </c>
      <c r="C36" s="71">
        <f>VLOOKUP(B36,B4:C22,2,0)</f>
        <v>12</v>
      </c>
      <c r="D36" s="68" t="str">
        <f>IF(COUNTIFS(Dados!$E:$E,$B36,Dados!$C:$C,INDEX(D$3,1,1),Dados!$A:$A,INDEX($D:$E,MATCH("Y",$D:$D,0),2))=0,"",SUMIFS(Dados!$G:$G,Dados!$E:$E,$B36,Dados!$C:$C,INDEX(D$3,1,1),Dados!$A:$A,INDEX($D:$E,MATCH("Y",$D:$D,0),2))/COUNTIFS(Dados!$E:$E,$B36,Dados!$C:$C,INDEX(D$3,1,1),Dados!$A:$A,INDEX($D:$E,MATCH("Y",$D:$D,0),2)))</f>
        <v/>
      </c>
      <c r="E36" s="68" t="str">
        <f>IF(COUNTIFS(Dados!$E:$E,$B36,Dados!$C:$C,INDEX(E$3,1,1),Dados!$A:$A,INDEX($D:$E,MATCH("Y",$D:$D,0),2))=0,"",SUMIFS(Dados!$G:$G,Dados!$E:$E,$B36,Dados!$C:$C,INDEX(E$3,1,1),Dados!$A:$A,INDEX($D:$E,MATCH("Y",$D:$D,0),2))/COUNTIFS(Dados!$E:$E,$B36,Dados!$C:$C,INDEX(E$3,1,1),Dados!$A:$A,INDEX($D:$E,MATCH("Y",$D:$D,0),2)))</f>
        <v/>
      </c>
      <c r="F36" s="68" t="str">
        <f>IF(COUNTIFS(Dados!$E:$E,$B36,Dados!$C:$C,INDEX(F$3,1,1),Dados!$A:$A,INDEX($D:$E,MATCH("Y",$D:$D,0),2))=0,"",SUMIFS(Dados!$G:$G,Dados!$E:$E,$B36,Dados!$C:$C,INDEX(F$3,1,1),Dados!$A:$A,INDEX($D:$E,MATCH("Y",$D:$D,0),2))/COUNTIFS(Dados!$E:$E,$B36,Dados!$C:$C,INDEX(F$3,1,1),Dados!$A:$A,INDEX($D:$E,MATCH("Y",$D:$D,0),2)))</f>
        <v/>
      </c>
      <c r="G36" s="68" t="str">
        <f>IF(COUNTIFS(Dados!$E:$E,$B36,Dados!$C:$C,INDEX(G$3,1,1),Dados!$A:$A,INDEX($D:$E,MATCH("Y",$D:$D,0),2))=0,"",SUMIFS(Dados!$G:$G,Dados!$E:$E,$B36,Dados!$C:$C,INDEX(G$3,1,1),Dados!$A:$A,INDEX($D:$E,MATCH("Y",$D:$D,0),2))/COUNTIFS(Dados!$E:$E,$B36,Dados!$C:$C,INDEX(G$3,1,1),Dados!$A:$A,INDEX($D:$E,MATCH("Y",$D:$D,0),2)))</f>
        <v/>
      </c>
      <c r="H36" s="68" t="str">
        <f>IF(COUNTIFS(Dados!$E:$E,$B36,Dados!$C:$C,INDEX(H$3,1,1),Dados!$A:$A,INDEX($D:$E,MATCH("Y",$D:$D,0),2))=0,"",SUMIFS(Dados!$G:$G,Dados!$E:$E,$B36,Dados!$C:$C,INDEX(H$3,1,1),Dados!$A:$A,INDEX($D:$E,MATCH("Y",$D:$D,0),2))/COUNTIFS(Dados!$E:$E,$B36,Dados!$C:$C,INDEX(H$3,1,1),Dados!$A:$A,INDEX($D:$E,MATCH("Y",$D:$D,0),2)))</f>
        <v/>
      </c>
      <c r="I36" s="68" t="str">
        <f>IF(COUNTIFS(Dados!$E:$E,$B36,Dados!$C:$C,INDEX(I$3,1,1),Dados!$A:$A,INDEX($D:$E,MATCH("Y",$D:$D,0),2))=0,"",SUMIFS(Dados!$G:$G,Dados!$E:$E,$B36,Dados!$C:$C,INDEX(I$3,1,1),Dados!$A:$A,INDEX($D:$E,MATCH("Y",$D:$D,0),2))/COUNTIFS(Dados!$E:$E,$B36,Dados!$C:$C,INDEX(I$3,1,1),Dados!$A:$A,INDEX($D:$E,MATCH("Y",$D:$D,0),2)))</f>
        <v/>
      </c>
      <c r="J36" s="68" t="str">
        <f>IF(COUNTIFS(Dados!$E:$E,$B36,Dados!$C:$C,INDEX(J$3,1,1),Dados!$A:$A,INDEX($D:$E,MATCH("Y",$D:$D,0),2))=0,"",SUMIFS(Dados!$G:$G,Dados!$E:$E,$B36,Dados!$C:$C,INDEX(J$3,1,1),Dados!$A:$A,INDEX($D:$E,MATCH("Y",$D:$D,0),2))/COUNTIFS(Dados!$E:$E,$B36,Dados!$C:$C,INDEX(J$3,1,1),Dados!$A:$A,INDEX($D:$E,MATCH("Y",$D:$D,0),2)))</f>
        <v/>
      </c>
      <c r="K36" s="68" t="str">
        <f>IF(COUNTIFS(Dados!$E:$E,$B36,Dados!$C:$C,INDEX(K$3,1,1),Dados!$A:$A,INDEX($D:$E,MATCH("Y",$D:$D,0),2))=0,"",SUMIFS(Dados!$G:$G,Dados!$E:$E,$B36,Dados!$C:$C,INDEX(K$3,1,1),Dados!$A:$A,INDEX($D:$E,MATCH("Y",$D:$D,0),2))/COUNTIFS(Dados!$E:$E,$B36,Dados!$C:$C,INDEX(K$3,1,1),Dados!$A:$A,INDEX($D:$E,MATCH("Y",$D:$D,0),2)))</f>
        <v/>
      </c>
      <c r="L36" s="68" t="str">
        <f>IF(COUNTIFS(Dados!$E:$E,$B36,Dados!$C:$C,INDEX(L$3,1,1),Dados!$A:$A,INDEX($D:$E,MATCH("Y",$D:$D,0),2))=0,"",SUMIFS(Dados!$G:$G,Dados!$E:$E,$B36,Dados!$C:$C,INDEX(L$3,1,1),Dados!$A:$A,INDEX($D:$E,MATCH("Y",$D:$D,0),2))/COUNTIFS(Dados!$E:$E,$B36,Dados!$C:$C,INDEX(L$3,1,1),Dados!$A:$A,INDEX($D:$E,MATCH("Y",$D:$D,0),2)))</f>
        <v/>
      </c>
      <c r="M36" s="68" t="str">
        <f>IF(COUNTIFS(Dados!$E:$E,$B36,Dados!$C:$C,INDEX(M$3,1,1),Dados!$A:$A,INDEX($D:$E,MATCH("Y",$D:$D,0),2))=0,"",SUMIFS(Dados!$G:$G,Dados!$E:$E,$B36,Dados!$C:$C,INDEX(M$3,1,1),Dados!$A:$A,INDEX($D:$E,MATCH("Y",$D:$D,0),2))/COUNTIFS(Dados!$E:$E,$B36,Dados!$C:$C,INDEX(M$3,1,1),Dados!$A:$A,INDEX($D:$E,MATCH("Y",$D:$D,0),2)))</f>
        <v/>
      </c>
      <c r="N36" s="68" t="str">
        <f>IF(COUNTIFS(Dados!$E:$E,$B36,Dados!$C:$C,INDEX(N$3,1,1),Dados!$A:$A,INDEX($D:$E,MATCH("Y",$D:$D,0),2))=0,"",SUMIFS(Dados!$G:$G,Dados!$E:$E,$B36,Dados!$C:$C,INDEX(N$3,1,1),Dados!$A:$A,INDEX($D:$E,MATCH("Y",$D:$D,0),2))/COUNTIFS(Dados!$E:$E,$B36,Dados!$C:$C,INDEX(N$3,1,1),Dados!$A:$A,INDEX($D:$E,MATCH("Y",$D:$D,0),2)))</f>
        <v/>
      </c>
      <c r="O36" s="68" t="str">
        <f>IF(COUNTIFS(Dados!$E:$E,$B36,Dados!$C:$C,INDEX(O$3,1,1),Dados!$A:$A,INDEX($D:$E,MATCH("Y",$D:$D,0),2))=0,"",SUMIFS(Dados!$G:$G,Dados!$E:$E,$B36,Dados!$C:$C,INDEX(O$3,1,1),Dados!$A:$A,INDEX($D:$E,MATCH("Y",$D:$D,0),2))/COUNTIFS(Dados!$E:$E,$B36,Dados!$C:$C,INDEX(O$3,1,1),Dados!$A:$A,INDEX($D:$E,MATCH("Y",$D:$D,0),2)))</f>
        <v/>
      </c>
      <c r="P36" s="68" t="str">
        <f>IF(COUNTIFS(Dados!$E:$E,$B36,Dados!$C:$C,INDEX(P$3,1,1),Dados!$A:$A,INDEX($D:$E,MATCH("Y",$D:$D,0),2))=0,"",SUMIFS(Dados!$G:$G,Dados!$E:$E,$B36,Dados!$C:$C,INDEX(P$3,1,1),Dados!$A:$A,INDEX($D:$E,MATCH("Y",$D:$D,0),2))/COUNTIFS(Dados!$E:$E,$B36,Dados!$C:$C,INDEX(P$3,1,1),Dados!$A:$A,INDEX($D:$E,MATCH("Y",$D:$D,0),2)))</f>
        <v/>
      </c>
      <c r="Q36" s="68" t="str">
        <f>IF(COUNTIFS(Dados!$E:$E,$B36,Dados!$C:$C,INDEX(Q$3,1,1),Dados!$A:$A,INDEX($D:$E,MATCH("Y",$D:$D,0),2))=0,"",SUMIFS(Dados!$G:$G,Dados!$E:$E,$B36,Dados!$C:$C,INDEX(Q$3,1,1),Dados!$A:$A,INDEX($D:$E,MATCH("Y",$D:$D,0),2))/COUNTIFS(Dados!$E:$E,$B36,Dados!$C:$C,INDEX(Q$3,1,1),Dados!$A:$A,INDEX($D:$E,MATCH("Y",$D:$D,0),2)))</f>
        <v/>
      </c>
      <c r="R36" s="68" t="str">
        <f>IF(COUNTIFS(Dados!$E:$E,$B36,Dados!$C:$C,INDEX(R$3,1,1),Dados!$A:$A,INDEX($D:$E,MATCH("Y",$D:$D,0),2))=0,"",SUMIFS(Dados!$G:$G,Dados!$E:$E,$B36,Dados!$C:$C,INDEX(R$3,1,1),Dados!$A:$A,INDEX($D:$E,MATCH("Y",$D:$D,0),2))/COUNTIFS(Dados!$E:$E,$B36,Dados!$C:$C,INDEX(R$3,1,1),Dados!$A:$A,INDEX($D:$E,MATCH("Y",$D:$D,0),2)))</f>
        <v/>
      </c>
      <c r="S36" s="68" t="str">
        <f>IF(COUNTIFS(Dados!$E:$E,$B36,Dados!$C:$C,INDEX(S$3,1,1),Dados!$A:$A,INDEX($D:$E,MATCH("Y",$D:$D,0),2))=0,"",SUMIFS(Dados!$G:$G,Dados!$E:$E,$B36,Dados!$C:$C,INDEX(S$3,1,1),Dados!$A:$A,INDEX($D:$E,MATCH("Y",$D:$D,0),2))/COUNTIFS(Dados!$E:$E,$B36,Dados!$C:$C,INDEX(S$3,1,1),Dados!$A:$A,INDEX($D:$E,MATCH("Y",$D:$D,0),2)))</f>
        <v/>
      </c>
      <c r="T36" s="68" t="str">
        <f>IF(COUNTIFS(Dados!$E:$E,$B36,Dados!$C:$C,INDEX(T$3,1,1),Dados!$A:$A,INDEX($D:$E,MATCH("Y",$D:$D,0),2))=0,"",SUMIFS(Dados!$G:$G,Dados!$E:$E,$B36,Dados!$C:$C,INDEX(T$3,1,1),Dados!$A:$A,INDEX($D:$E,MATCH("Y",$D:$D,0),2))/COUNTIFS(Dados!$E:$E,$B36,Dados!$C:$C,INDEX(T$3,1,1),Dados!$A:$A,INDEX($D:$E,MATCH("Y",$D:$D,0),2)))</f>
        <v/>
      </c>
      <c r="U36" s="68" t="str">
        <f>IF(COUNTIFS(Dados!$E:$E,$B36,Dados!$C:$C,INDEX(U$3,1,1),Dados!$A:$A,INDEX($D:$E,MATCH("Y",$D:$D,0),2))=0,"",SUMIFS(Dados!$G:$G,Dados!$E:$E,$B36,Dados!$C:$C,INDEX(U$3,1,1),Dados!$A:$A,INDEX($D:$E,MATCH("Y",$D:$D,0),2))/COUNTIFS(Dados!$E:$E,$B36,Dados!$C:$C,INDEX(U$3,1,1),Dados!$A:$A,INDEX($D:$E,MATCH("Y",$D:$D,0),2)))</f>
        <v/>
      </c>
      <c r="V36" s="68" t="str">
        <f>IF(COUNTIFS(Dados!$E:$E,$B36,Dados!$C:$C,INDEX(V$3,1,1),Dados!$A:$A,INDEX($D:$E,MATCH("Y",$D:$D,0),2))=0,"",SUMIFS(Dados!$G:$G,Dados!$E:$E,$B36,Dados!$C:$C,INDEX(V$3,1,1),Dados!$A:$A,INDEX($D:$E,MATCH("Y",$D:$D,0),2))/COUNTIFS(Dados!$E:$E,$B36,Dados!$C:$C,INDEX(V$3,1,1),Dados!$A:$A,INDEX($D:$E,MATCH("Y",$D:$D,0),2)))</f>
        <v/>
      </c>
    </row>
    <row r="37" spans="2:22" x14ac:dyDescent="0.25">
      <c r="B37" s="65" t="s">
        <v>1302</v>
      </c>
      <c r="C37" s="72">
        <f>VLOOKUP(B37,B4:C22,2,0)</f>
        <v>13</v>
      </c>
      <c r="D37" s="66" t="str">
        <f>IF(COUNTIFS(Dados!$E:$E,$B37,Dados!$C:$C,INDEX(D$3,1,1),Dados!$A:$A,INDEX($D:$E,MATCH("Y",$D:$D,0),2))=0,"",SUMIFS(Dados!$G:$G,Dados!$E:$E,$B37,Dados!$C:$C,INDEX(D$3,1,1),Dados!$A:$A,INDEX($D:$E,MATCH("Y",$D:$D,0),2))/COUNTIFS(Dados!$E:$E,$B37,Dados!$C:$C,INDEX(D$3,1,1),Dados!$A:$A,INDEX($D:$E,MATCH("Y",$D:$D,0),2)))</f>
        <v/>
      </c>
      <c r="E37" s="66" t="str">
        <f>IF(COUNTIFS(Dados!$E:$E,$B37,Dados!$C:$C,INDEX(E$3,1,1),Dados!$A:$A,INDEX($D:$E,MATCH("Y",$D:$D,0),2))=0,"",SUMIFS(Dados!$G:$G,Dados!$E:$E,$B37,Dados!$C:$C,INDEX(E$3,1,1),Dados!$A:$A,INDEX($D:$E,MATCH("Y",$D:$D,0),2))/COUNTIFS(Dados!$E:$E,$B37,Dados!$C:$C,INDEX(E$3,1,1),Dados!$A:$A,INDEX($D:$E,MATCH("Y",$D:$D,0),2)))</f>
        <v/>
      </c>
      <c r="F37" s="66" t="str">
        <f>IF(COUNTIFS(Dados!$E:$E,$B37,Dados!$C:$C,INDEX(F$3,1,1),Dados!$A:$A,INDEX($D:$E,MATCH("Y",$D:$D,0),2))=0,"",SUMIFS(Dados!$G:$G,Dados!$E:$E,$B37,Dados!$C:$C,INDEX(F$3,1,1),Dados!$A:$A,INDEX($D:$E,MATCH("Y",$D:$D,0),2))/COUNTIFS(Dados!$E:$E,$B37,Dados!$C:$C,INDEX(F$3,1,1),Dados!$A:$A,INDEX($D:$E,MATCH("Y",$D:$D,0),2)))</f>
        <v/>
      </c>
      <c r="G37" s="66" t="str">
        <f>IF(COUNTIFS(Dados!$E:$E,$B37,Dados!$C:$C,INDEX(G$3,1,1),Dados!$A:$A,INDEX($D:$E,MATCH("Y",$D:$D,0),2))=0,"",SUMIFS(Dados!$G:$G,Dados!$E:$E,$B37,Dados!$C:$C,INDEX(G$3,1,1),Dados!$A:$A,INDEX($D:$E,MATCH("Y",$D:$D,0),2))/COUNTIFS(Dados!$E:$E,$B37,Dados!$C:$C,INDEX(G$3,1,1),Dados!$A:$A,INDEX($D:$E,MATCH("Y",$D:$D,0),2)))</f>
        <v/>
      </c>
      <c r="H37" s="66" t="str">
        <f>IF(COUNTIFS(Dados!$E:$E,$B37,Dados!$C:$C,INDEX(H$3,1,1),Dados!$A:$A,INDEX($D:$E,MATCH("Y",$D:$D,0),2))=0,"",SUMIFS(Dados!$G:$G,Dados!$E:$E,$B37,Dados!$C:$C,INDEX(H$3,1,1),Dados!$A:$A,INDEX($D:$E,MATCH("Y",$D:$D,0),2))/COUNTIFS(Dados!$E:$E,$B37,Dados!$C:$C,INDEX(H$3,1,1),Dados!$A:$A,INDEX($D:$E,MATCH("Y",$D:$D,0),2)))</f>
        <v/>
      </c>
      <c r="I37" s="66" t="str">
        <f>IF(COUNTIFS(Dados!$E:$E,$B37,Dados!$C:$C,INDEX(I$3,1,1),Dados!$A:$A,INDEX($D:$E,MATCH("Y",$D:$D,0),2))=0,"",SUMIFS(Dados!$G:$G,Dados!$E:$E,$B37,Dados!$C:$C,INDEX(I$3,1,1),Dados!$A:$A,INDEX($D:$E,MATCH("Y",$D:$D,0),2))/COUNTIFS(Dados!$E:$E,$B37,Dados!$C:$C,INDEX(I$3,1,1),Dados!$A:$A,INDEX($D:$E,MATCH("Y",$D:$D,0),2)))</f>
        <v/>
      </c>
      <c r="J37" s="66" t="str">
        <f>IF(COUNTIFS(Dados!$E:$E,$B37,Dados!$C:$C,INDEX(J$3,1,1),Dados!$A:$A,INDEX($D:$E,MATCH("Y",$D:$D,0),2))=0,"",SUMIFS(Dados!$G:$G,Dados!$E:$E,$B37,Dados!$C:$C,INDEX(J$3,1,1),Dados!$A:$A,INDEX($D:$E,MATCH("Y",$D:$D,0),2))/COUNTIFS(Dados!$E:$E,$B37,Dados!$C:$C,INDEX(J$3,1,1),Dados!$A:$A,INDEX($D:$E,MATCH("Y",$D:$D,0),2)))</f>
        <v/>
      </c>
      <c r="K37" s="66" t="str">
        <f>IF(COUNTIFS(Dados!$E:$E,$B37,Dados!$C:$C,INDEX(K$3,1,1),Dados!$A:$A,INDEX($D:$E,MATCH("Y",$D:$D,0),2))=0,"",SUMIFS(Dados!$G:$G,Dados!$E:$E,$B37,Dados!$C:$C,INDEX(K$3,1,1),Dados!$A:$A,INDEX($D:$E,MATCH("Y",$D:$D,0),2))/COUNTIFS(Dados!$E:$E,$B37,Dados!$C:$C,INDEX(K$3,1,1),Dados!$A:$A,INDEX($D:$E,MATCH("Y",$D:$D,0),2)))</f>
        <v/>
      </c>
      <c r="L37" s="66" t="str">
        <f>IF(COUNTIFS(Dados!$E:$E,$B37,Dados!$C:$C,INDEX(L$3,1,1),Dados!$A:$A,INDEX($D:$E,MATCH("Y",$D:$D,0),2))=0,"",SUMIFS(Dados!$G:$G,Dados!$E:$E,$B37,Dados!$C:$C,INDEX(L$3,1,1),Dados!$A:$A,INDEX($D:$E,MATCH("Y",$D:$D,0),2))/COUNTIFS(Dados!$E:$E,$B37,Dados!$C:$C,INDEX(L$3,1,1),Dados!$A:$A,INDEX($D:$E,MATCH("Y",$D:$D,0),2)))</f>
        <v/>
      </c>
      <c r="M37" s="66" t="str">
        <f>IF(COUNTIFS(Dados!$E:$E,$B37,Dados!$C:$C,INDEX(M$3,1,1),Dados!$A:$A,INDEX($D:$E,MATCH("Y",$D:$D,0),2))=0,"",SUMIFS(Dados!$G:$G,Dados!$E:$E,$B37,Dados!$C:$C,INDEX(M$3,1,1),Dados!$A:$A,INDEX($D:$E,MATCH("Y",$D:$D,0),2))/COUNTIFS(Dados!$E:$E,$B37,Dados!$C:$C,INDEX(M$3,1,1),Dados!$A:$A,INDEX($D:$E,MATCH("Y",$D:$D,0),2)))</f>
        <v/>
      </c>
      <c r="N37" s="66" t="str">
        <f>IF(COUNTIFS(Dados!$E:$E,$B37,Dados!$C:$C,INDEX(N$3,1,1),Dados!$A:$A,INDEX($D:$E,MATCH("Y",$D:$D,0),2))=0,"",SUMIFS(Dados!$G:$G,Dados!$E:$E,$B37,Dados!$C:$C,INDEX(N$3,1,1),Dados!$A:$A,INDEX($D:$E,MATCH("Y",$D:$D,0),2))/COUNTIFS(Dados!$E:$E,$B37,Dados!$C:$C,INDEX(N$3,1,1),Dados!$A:$A,INDEX($D:$E,MATCH("Y",$D:$D,0),2)))</f>
        <v/>
      </c>
      <c r="O37" s="66" t="str">
        <f>IF(COUNTIFS(Dados!$E:$E,$B37,Dados!$C:$C,INDEX(O$3,1,1),Dados!$A:$A,INDEX($D:$E,MATCH("Y",$D:$D,0),2))=0,"",SUMIFS(Dados!$G:$G,Dados!$E:$E,$B37,Dados!$C:$C,INDEX(O$3,1,1),Dados!$A:$A,INDEX($D:$E,MATCH("Y",$D:$D,0),2))/COUNTIFS(Dados!$E:$E,$B37,Dados!$C:$C,INDEX(O$3,1,1),Dados!$A:$A,INDEX($D:$E,MATCH("Y",$D:$D,0),2)))</f>
        <v/>
      </c>
      <c r="P37" s="66" t="str">
        <f>IF(COUNTIFS(Dados!$E:$E,$B37,Dados!$C:$C,INDEX(P$3,1,1),Dados!$A:$A,INDEX($D:$E,MATCH("Y",$D:$D,0),2))=0,"",SUMIFS(Dados!$G:$G,Dados!$E:$E,$B37,Dados!$C:$C,INDEX(P$3,1,1),Dados!$A:$A,INDEX($D:$E,MATCH("Y",$D:$D,0),2))/COUNTIFS(Dados!$E:$E,$B37,Dados!$C:$C,INDEX(P$3,1,1),Dados!$A:$A,INDEX($D:$E,MATCH("Y",$D:$D,0),2)))</f>
        <v/>
      </c>
      <c r="Q37" s="66" t="str">
        <f>IF(COUNTIFS(Dados!$E:$E,$B37,Dados!$C:$C,INDEX(Q$3,1,1),Dados!$A:$A,INDEX($D:$E,MATCH("Y",$D:$D,0),2))=0,"",SUMIFS(Dados!$G:$G,Dados!$E:$E,$B37,Dados!$C:$C,INDEX(Q$3,1,1),Dados!$A:$A,INDEX($D:$E,MATCH("Y",$D:$D,0),2))/COUNTIFS(Dados!$E:$E,$B37,Dados!$C:$C,INDEX(Q$3,1,1),Dados!$A:$A,INDEX($D:$E,MATCH("Y",$D:$D,0),2)))</f>
        <v/>
      </c>
      <c r="R37" s="66" t="str">
        <f>IF(COUNTIFS(Dados!$E:$E,$B37,Dados!$C:$C,INDEX(R$3,1,1),Dados!$A:$A,INDEX($D:$E,MATCH("Y",$D:$D,0),2))=0,"",SUMIFS(Dados!$G:$G,Dados!$E:$E,$B37,Dados!$C:$C,INDEX(R$3,1,1),Dados!$A:$A,INDEX($D:$E,MATCH("Y",$D:$D,0),2))/COUNTIFS(Dados!$E:$E,$B37,Dados!$C:$C,INDEX(R$3,1,1),Dados!$A:$A,INDEX($D:$E,MATCH("Y",$D:$D,0),2)))</f>
        <v/>
      </c>
      <c r="S37" s="66" t="str">
        <f>IF(COUNTIFS(Dados!$E:$E,$B37,Dados!$C:$C,INDEX(S$3,1,1),Dados!$A:$A,INDEX($D:$E,MATCH("Y",$D:$D,0),2))=0,"",SUMIFS(Dados!$G:$G,Dados!$E:$E,$B37,Dados!$C:$C,INDEX(S$3,1,1),Dados!$A:$A,INDEX($D:$E,MATCH("Y",$D:$D,0),2))/COUNTIFS(Dados!$E:$E,$B37,Dados!$C:$C,INDEX(S$3,1,1),Dados!$A:$A,INDEX($D:$E,MATCH("Y",$D:$D,0),2)))</f>
        <v/>
      </c>
      <c r="T37" s="66" t="str">
        <f>IF(COUNTIFS(Dados!$E:$E,$B37,Dados!$C:$C,INDEX(T$3,1,1),Dados!$A:$A,INDEX($D:$E,MATCH("Y",$D:$D,0),2))=0,"",SUMIFS(Dados!$G:$G,Dados!$E:$E,$B37,Dados!$C:$C,INDEX(T$3,1,1),Dados!$A:$A,INDEX($D:$E,MATCH("Y",$D:$D,0),2))/COUNTIFS(Dados!$E:$E,$B37,Dados!$C:$C,INDEX(T$3,1,1),Dados!$A:$A,INDEX($D:$E,MATCH("Y",$D:$D,0),2)))</f>
        <v/>
      </c>
      <c r="U37" s="66" t="str">
        <f>IF(COUNTIFS(Dados!$E:$E,$B37,Dados!$C:$C,INDEX(U$3,1,1),Dados!$A:$A,INDEX($D:$E,MATCH("Y",$D:$D,0),2))=0,"",SUMIFS(Dados!$G:$G,Dados!$E:$E,$B37,Dados!$C:$C,INDEX(U$3,1,1),Dados!$A:$A,INDEX($D:$E,MATCH("Y",$D:$D,0),2))/COUNTIFS(Dados!$E:$E,$B37,Dados!$C:$C,INDEX(U$3,1,1),Dados!$A:$A,INDEX($D:$E,MATCH("Y",$D:$D,0),2)))</f>
        <v/>
      </c>
      <c r="V37" s="66" t="str">
        <f>IF(COUNTIFS(Dados!$E:$E,$B37,Dados!$C:$C,INDEX(V$3,1,1),Dados!$A:$A,INDEX($D:$E,MATCH("Y",$D:$D,0),2))=0,"",SUMIFS(Dados!$G:$G,Dados!$E:$E,$B37,Dados!$C:$C,INDEX(V$3,1,1),Dados!$A:$A,INDEX($D:$E,MATCH("Y",$D:$D,0),2))/COUNTIFS(Dados!$E:$E,$B37,Dados!$C:$C,INDEX(V$3,1,1),Dados!$A:$A,INDEX($D:$E,MATCH("Y",$D:$D,0),2)))</f>
        <v/>
      </c>
    </row>
    <row r="38" spans="2:22" x14ac:dyDescent="0.25">
      <c r="B38" s="67" t="s">
        <v>1296</v>
      </c>
      <c r="C38" s="71">
        <f>VLOOKUP(B38,B4:C22,2,0)</f>
        <v>14</v>
      </c>
      <c r="D38" s="68" t="str">
        <f>IF(COUNTIFS(Dados!$E:$E,$B38,Dados!$C:$C,INDEX(D$3,1,1),Dados!$A:$A,INDEX($D:$E,MATCH("Y",$D:$D,0),2))=0,"",SUMIFS(Dados!$G:$G,Dados!$E:$E,$B38,Dados!$C:$C,INDEX(D$3,1,1),Dados!$A:$A,INDEX($D:$E,MATCH("Y",$D:$D,0),2))/COUNTIFS(Dados!$E:$E,$B38,Dados!$C:$C,INDEX(D$3,1,1),Dados!$A:$A,INDEX($D:$E,MATCH("Y",$D:$D,0),2)))</f>
        <v/>
      </c>
      <c r="E38" s="68" t="str">
        <f>IF(COUNTIFS(Dados!$E:$E,$B38,Dados!$C:$C,INDEX(E$3,1,1),Dados!$A:$A,INDEX($D:$E,MATCH("Y",$D:$D,0),2))=0,"",SUMIFS(Dados!$G:$G,Dados!$E:$E,$B38,Dados!$C:$C,INDEX(E$3,1,1),Dados!$A:$A,INDEX($D:$E,MATCH("Y",$D:$D,0),2))/COUNTIFS(Dados!$E:$E,$B38,Dados!$C:$C,INDEX(E$3,1,1),Dados!$A:$A,INDEX($D:$E,MATCH("Y",$D:$D,0),2)))</f>
        <v/>
      </c>
      <c r="F38" s="68" t="str">
        <f>IF(COUNTIFS(Dados!$E:$E,$B38,Dados!$C:$C,INDEX(F$3,1,1),Dados!$A:$A,INDEX($D:$E,MATCH("Y",$D:$D,0),2))=0,"",SUMIFS(Dados!$G:$G,Dados!$E:$E,$B38,Dados!$C:$C,INDEX(F$3,1,1),Dados!$A:$A,INDEX($D:$E,MATCH("Y",$D:$D,0),2))/COUNTIFS(Dados!$E:$E,$B38,Dados!$C:$C,INDEX(F$3,1,1),Dados!$A:$A,INDEX($D:$E,MATCH("Y",$D:$D,0),2)))</f>
        <v/>
      </c>
      <c r="G38" s="68" t="str">
        <f>IF(COUNTIFS(Dados!$E:$E,$B38,Dados!$C:$C,INDEX(G$3,1,1),Dados!$A:$A,INDEX($D:$E,MATCH("Y",$D:$D,0),2))=0,"",SUMIFS(Dados!$G:$G,Dados!$E:$E,$B38,Dados!$C:$C,INDEX(G$3,1,1),Dados!$A:$A,INDEX($D:$E,MATCH("Y",$D:$D,0),2))/COUNTIFS(Dados!$E:$E,$B38,Dados!$C:$C,INDEX(G$3,1,1),Dados!$A:$A,INDEX($D:$E,MATCH("Y",$D:$D,0),2)))</f>
        <v/>
      </c>
      <c r="H38" s="68">
        <f>IF(COUNTIFS(Dados!$E:$E,$B38,Dados!$C:$C,INDEX(H$3,1,1),Dados!$A:$A,INDEX($D:$E,MATCH("Y",$D:$D,0),2))=0,"",SUMIFS(Dados!$G:$G,Dados!$E:$E,$B38,Dados!$C:$C,INDEX(H$3,1,1),Dados!$A:$A,INDEX($D:$E,MATCH("Y",$D:$D,0),2))/COUNTIFS(Dados!$E:$E,$B38,Dados!$C:$C,INDEX(H$3,1,1),Dados!$A:$A,INDEX($D:$E,MATCH("Y",$D:$D,0),2)))</f>
        <v>0.74224648967881124</v>
      </c>
      <c r="I38" s="68">
        <f>IF(COUNTIFS(Dados!$E:$E,$B38,Dados!$C:$C,INDEX(I$3,1,1),Dados!$A:$A,INDEX($D:$E,MATCH("Y",$D:$D,0),2))=0,"",SUMIFS(Dados!$G:$G,Dados!$E:$E,$B38,Dados!$C:$C,INDEX(I$3,1,1),Dados!$A:$A,INDEX($D:$E,MATCH("Y",$D:$D,0),2))/COUNTIFS(Dados!$E:$E,$B38,Dados!$C:$C,INDEX(I$3,1,1),Dados!$A:$A,INDEX($D:$E,MATCH("Y",$D:$D,0),2)))</f>
        <v>0.49172433366666662</v>
      </c>
      <c r="J38" s="68" t="str">
        <f>IF(COUNTIFS(Dados!$E:$E,$B38,Dados!$C:$C,INDEX(J$3,1,1),Dados!$A:$A,INDEX($D:$E,MATCH("Y",$D:$D,0),2))=0,"",SUMIFS(Dados!$G:$G,Dados!$E:$E,$B38,Dados!$C:$C,INDEX(J$3,1,1),Dados!$A:$A,INDEX($D:$E,MATCH("Y",$D:$D,0),2))/COUNTIFS(Dados!$E:$E,$B38,Dados!$C:$C,INDEX(J$3,1,1),Dados!$A:$A,INDEX($D:$E,MATCH("Y",$D:$D,0),2)))</f>
        <v/>
      </c>
      <c r="K38" s="68" t="str">
        <f>IF(COUNTIFS(Dados!$E:$E,$B38,Dados!$C:$C,INDEX(K$3,1,1),Dados!$A:$A,INDEX($D:$E,MATCH("Y",$D:$D,0),2))=0,"",SUMIFS(Dados!$G:$G,Dados!$E:$E,$B38,Dados!$C:$C,INDEX(K$3,1,1),Dados!$A:$A,INDEX($D:$E,MATCH("Y",$D:$D,0),2))/COUNTIFS(Dados!$E:$E,$B38,Dados!$C:$C,INDEX(K$3,1,1),Dados!$A:$A,INDEX($D:$E,MATCH("Y",$D:$D,0),2)))</f>
        <v/>
      </c>
      <c r="L38" s="68" t="str">
        <f>IF(COUNTIFS(Dados!$E:$E,$B38,Dados!$C:$C,INDEX(L$3,1,1),Dados!$A:$A,INDEX($D:$E,MATCH("Y",$D:$D,0),2))=0,"",SUMIFS(Dados!$G:$G,Dados!$E:$E,$B38,Dados!$C:$C,INDEX(L$3,1,1),Dados!$A:$A,INDEX($D:$E,MATCH("Y",$D:$D,0),2))/COUNTIFS(Dados!$E:$E,$B38,Dados!$C:$C,INDEX(L$3,1,1),Dados!$A:$A,INDEX($D:$E,MATCH("Y",$D:$D,0),2)))</f>
        <v/>
      </c>
      <c r="M38" s="68" t="str">
        <f>IF(COUNTIFS(Dados!$E:$E,$B38,Dados!$C:$C,INDEX(M$3,1,1),Dados!$A:$A,INDEX($D:$E,MATCH("Y",$D:$D,0),2))=0,"",SUMIFS(Dados!$G:$G,Dados!$E:$E,$B38,Dados!$C:$C,INDEX(M$3,1,1),Dados!$A:$A,INDEX($D:$E,MATCH("Y",$D:$D,0),2))/COUNTIFS(Dados!$E:$E,$B38,Dados!$C:$C,INDEX(M$3,1,1),Dados!$A:$A,INDEX($D:$E,MATCH("Y",$D:$D,0),2)))</f>
        <v/>
      </c>
      <c r="N38" s="68" t="str">
        <f>IF(COUNTIFS(Dados!$E:$E,$B38,Dados!$C:$C,INDEX(N$3,1,1),Dados!$A:$A,INDEX($D:$E,MATCH("Y",$D:$D,0),2))=0,"",SUMIFS(Dados!$G:$G,Dados!$E:$E,$B38,Dados!$C:$C,INDEX(N$3,1,1),Dados!$A:$A,INDEX($D:$E,MATCH("Y",$D:$D,0),2))/COUNTIFS(Dados!$E:$E,$B38,Dados!$C:$C,INDEX(N$3,1,1),Dados!$A:$A,INDEX($D:$E,MATCH("Y",$D:$D,0),2)))</f>
        <v/>
      </c>
      <c r="O38" s="68" t="str">
        <f>IF(COUNTIFS(Dados!$E:$E,$B38,Dados!$C:$C,INDEX(O$3,1,1),Dados!$A:$A,INDEX($D:$E,MATCH("Y",$D:$D,0),2))=0,"",SUMIFS(Dados!$G:$G,Dados!$E:$E,$B38,Dados!$C:$C,INDEX(O$3,1,1),Dados!$A:$A,INDEX($D:$E,MATCH("Y",$D:$D,0),2))/COUNTIFS(Dados!$E:$E,$B38,Dados!$C:$C,INDEX(O$3,1,1),Dados!$A:$A,INDEX($D:$E,MATCH("Y",$D:$D,0),2)))</f>
        <v/>
      </c>
      <c r="P38" s="68" t="str">
        <f>IF(COUNTIFS(Dados!$E:$E,$B38,Dados!$C:$C,INDEX(P$3,1,1),Dados!$A:$A,INDEX($D:$E,MATCH("Y",$D:$D,0),2))=0,"",SUMIFS(Dados!$G:$G,Dados!$E:$E,$B38,Dados!$C:$C,INDEX(P$3,1,1),Dados!$A:$A,INDEX($D:$E,MATCH("Y",$D:$D,0),2))/COUNTIFS(Dados!$E:$E,$B38,Dados!$C:$C,INDEX(P$3,1,1),Dados!$A:$A,INDEX($D:$E,MATCH("Y",$D:$D,0),2)))</f>
        <v/>
      </c>
      <c r="Q38" s="68" t="str">
        <f>IF(COUNTIFS(Dados!$E:$E,$B38,Dados!$C:$C,INDEX(Q$3,1,1),Dados!$A:$A,INDEX($D:$E,MATCH("Y",$D:$D,0),2))=0,"",SUMIFS(Dados!$G:$G,Dados!$E:$E,$B38,Dados!$C:$C,INDEX(Q$3,1,1),Dados!$A:$A,INDEX($D:$E,MATCH("Y",$D:$D,0),2))/COUNTIFS(Dados!$E:$E,$B38,Dados!$C:$C,INDEX(Q$3,1,1),Dados!$A:$A,INDEX($D:$E,MATCH("Y",$D:$D,0),2)))</f>
        <v/>
      </c>
      <c r="R38" s="68" t="str">
        <f>IF(COUNTIFS(Dados!$E:$E,$B38,Dados!$C:$C,INDEX(R$3,1,1),Dados!$A:$A,INDEX($D:$E,MATCH("Y",$D:$D,0),2))=0,"",SUMIFS(Dados!$G:$G,Dados!$E:$E,$B38,Dados!$C:$C,INDEX(R$3,1,1),Dados!$A:$A,INDEX($D:$E,MATCH("Y",$D:$D,0),2))/COUNTIFS(Dados!$E:$E,$B38,Dados!$C:$C,INDEX(R$3,1,1),Dados!$A:$A,INDEX($D:$E,MATCH("Y",$D:$D,0),2)))</f>
        <v/>
      </c>
      <c r="S38" s="68" t="str">
        <f>IF(COUNTIFS(Dados!$E:$E,$B38,Dados!$C:$C,INDEX(S$3,1,1),Dados!$A:$A,INDEX($D:$E,MATCH("Y",$D:$D,0),2))=0,"",SUMIFS(Dados!$G:$G,Dados!$E:$E,$B38,Dados!$C:$C,INDEX(S$3,1,1),Dados!$A:$A,INDEX($D:$E,MATCH("Y",$D:$D,0),2))/COUNTIFS(Dados!$E:$E,$B38,Dados!$C:$C,INDEX(S$3,1,1),Dados!$A:$A,INDEX($D:$E,MATCH("Y",$D:$D,0),2)))</f>
        <v/>
      </c>
      <c r="T38" s="68" t="str">
        <f>IF(COUNTIFS(Dados!$E:$E,$B38,Dados!$C:$C,INDEX(T$3,1,1),Dados!$A:$A,INDEX($D:$E,MATCH("Y",$D:$D,0),2))=0,"",SUMIFS(Dados!$G:$G,Dados!$E:$E,$B38,Dados!$C:$C,INDEX(T$3,1,1),Dados!$A:$A,INDEX($D:$E,MATCH("Y",$D:$D,0),2))/COUNTIFS(Dados!$E:$E,$B38,Dados!$C:$C,INDEX(T$3,1,1),Dados!$A:$A,INDEX($D:$E,MATCH("Y",$D:$D,0),2)))</f>
        <v/>
      </c>
      <c r="U38" s="68" t="str">
        <f>IF(COUNTIFS(Dados!$E:$E,$B38,Dados!$C:$C,INDEX(U$3,1,1),Dados!$A:$A,INDEX($D:$E,MATCH("Y",$D:$D,0),2))=0,"",SUMIFS(Dados!$G:$G,Dados!$E:$E,$B38,Dados!$C:$C,INDEX(U$3,1,1),Dados!$A:$A,INDEX($D:$E,MATCH("Y",$D:$D,0),2))/COUNTIFS(Dados!$E:$E,$B38,Dados!$C:$C,INDEX(U$3,1,1),Dados!$A:$A,INDEX($D:$E,MATCH("Y",$D:$D,0),2)))</f>
        <v/>
      </c>
      <c r="V38" s="68" t="str">
        <f>IF(COUNTIFS(Dados!$E:$E,$B38,Dados!$C:$C,INDEX(V$3,1,1),Dados!$A:$A,INDEX($D:$E,MATCH("Y",$D:$D,0),2))=0,"",SUMIFS(Dados!$G:$G,Dados!$E:$E,$B38,Dados!$C:$C,INDEX(V$3,1,1),Dados!$A:$A,INDEX($D:$E,MATCH("Y",$D:$D,0),2))/COUNTIFS(Dados!$E:$E,$B38,Dados!$C:$C,INDEX(V$3,1,1),Dados!$A:$A,INDEX($D:$E,MATCH("Y",$D:$D,0),2)))</f>
        <v/>
      </c>
    </row>
    <row r="39" spans="2:22" x14ac:dyDescent="0.25">
      <c r="B39" s="65" t="s">
        <v>33</v>
      </c>
      <c r="C39" s="72">
        <f>VLOOKUP(B39,B4:C22,2,0)</f>
        <v>15</v>
      </c>
      <c r="D39" s="66" t="str">
        <f>IF(COUNTIFS(Dados!$E:$E,$B39,Dados!$C:$C,INDEX(D$3,1,1),Dados!$A:$A,INDEX($D:$E,MATCH("Y",$D:$D,0),2))=0,"",SUMIFS(Dados!$G:$G,Dados!$E:$E,$B39,Dados!$C:$C,INDEX(D$3,1,1),Dados!$A:$A,INDEX($D:$E,MATCH("Y",$D:$D,0),2))/COUNTIFS(Dados!$E:$E,$B39,Dados!$C:$C,INDEX(D$3,1,1),Dados!$A:$A,INDEX($D:$E,MATCH("Y",$D:$D,0),2)))</f>
        <v/>
      </c>
      <c r="E39" s="66" t="str">
        <f>IF(COUNTIFS(Dados!$E:$E,$B39,Dados!$C:$C,INDEX(E$3,1,1),Dados!$A:$A,INDEX($D:$E,MATCH("Y",$D:$D,0),2))=0,"",SUMIFS(Dados!$G:$G,Dados!$E:$E,$B39,Dados!$C:$C,INDEX(E$3,1,1),Dados!$A:$A,INDEX($D:$E,MATCH("Y",$D:$D,0),2))/COUNTIFS(Dados!$E:$E,$B39,Dados!$C:$C,INDEX(E$3,1,1),Dados!$A:$A,INDEX($D:$E,MATCH("Y",$D:$D,0),2)))</f>
        <v/>
      </c>
      <c r="F39" s="66" t="str">
        <f>IF(COUNTIFS(Dados!$E:$E,$B39,Dados!$C:$C,INDEX(F$3,1,1),Dados!$A:$A,INDEX($D:$E,MATCH("Y",$D:$D,0),2))=0,"",SUMIFS(Dados!$G:$G,Dados!$E:$E,$B39,Dados!$C:$C,INDEX(F$3,1,1),Dados!$A:$A,INDEX($D:$E,MATCH("Y",$D:$D,0),2))/COUNTIFS(Dados!$E:$E,$B39,Dados!$C:$C,INDEX(F$3,1,1),Dados!$A:$A,INDEX($D:$E,MATCH("Y",$D:$D,0),2)))</f>
        <v/>
      </c>
      <c r="G39" s="66" t="str">
        <f>IF(COUNTIFS(Dados!$E:$E,$B39,Dados!$C:$C,INDEX(G$3,1,1),Dados!$A:$A,INDEX($D:$E,MATCH("Y",$D:$D,0),2))=0,"",SUMIFS(Dados!$G:$G,Dados!$E:$E,$B39,Dados!$C:$C,INDEX(G$3,1,1),Dados!$A:$A,INDEX($D:$E,MATCH("Y",$D:$D,0),2))/COUNTIFS(Dados!$E:$E,$B39,Dados!$C:$C,INDEX(G$3,1,1),Dados!$A:$A,INDEX($D:$E,MATCH("Y",$D:$D,0),2)))</f>
        <v/>
      </c>
      <c r="H39" s="66" t="str">
        <f>IF(COUNTIFS(Dados!$E:$E,$B39,Dados!$C:$C,INDEX(H$3,1,1),Dados!$A:$A,INDEX($D:$E,MATCH("Y",$D:$D,0),2))=0,"",SUMIFS(Dados!$G:$G,Dados!$E:$E,$B39,Dados!$C:$C,INDEX(H$3,1,1),Dados!$A:$A,INDEX($D:$E,MATCH("Y",$D:$D,0),2))/COUNTIFS(Dados!$E:$E,$B39,Dados!$C:$C,INDEX(H$3,1,1),Dados!$A:$A,INDEX($D:$E,MATCH("Y",$D:$D,0),2)))</f>
        <v/>
      </c>
      <c r="I39" s="66">
        <f>IF(COUNTIFS(Dados!$E:$E,$B39,Dados!$C:$C,INDEX(I$3,1,1),Dados!$A:$A,INDEX($D:$E,MATCH("Y",$D:$D,0),2))=0,"",SUMIFS(Dados!$G:$G,Dados!$E:$E,$B39,Dados!$C:$C,INDEX(I$3,1,1),Dados!$A:$A,INDEX($D:$E,MATCH("Y",$D:$D,0),2))/COUNTIFS(Dados!$E:$E,$B39,Dados!$C:$C,INDEX(I$3,1,1),Dados!$A:$A,INDEX($D:$E,MATCH("Y",$D:$D,0),2)))</f>
        <v>0.49003954200000016</v>
      </c>
      <c r="J39" s="66" t="str">
        <f>IF(COUNTIFS(Dados!$E:$E,$B39,Dados!$C:$C,INDEX(J$3,1,1),Dados!$A:$A,INDEX($D:$E,MATCH("Y",$D:$D,0),2))=0,"",SUMIFS(Dados!$G:$G,Dados!$E:$E,$B39,Dados!$C:$C,INDEX(J$3,1,1),Dados!$A:$A,INDEX($D:$E,MATCH("Y",$D:$D,0),2))/COUNTIFS(Dados!$E:$E,$B39,Dados!$C:$C,INDEX(J$3,1,1),Dados!$A:$A,INDEX($D:$E,MATCH("Y",$D:$D,0),2)))</f>
        <v/>
      </c>
      <c r="K39" s="66" t="str">
        <f>IF(COUNTIFS(Dados!$E:$E,$B39,Dados!$C:$C,INDEX(K$3,1,1),Dados!$A:$A,INDEX($D:$E,MATCH("Y",$D:$D,0),2))=0,"",SUMIFS(Dados!$G:$G,Dados!$E:$E,$B39,Dados!$C:$C,INDEX(K$3,1,1),Dados!$A:$A,INDEX($D:$E,MATCH("Y",$D:$D,0),2))/COUNTIFS(Dados!$E:$E,$B39,Dados!$C:$C,INDEX(K$3,1,1),Dados!$A:$A,INDEX($D:$E,MATCH("Y",$D:$D,0),2)))</f>
        <v/>
      </c>
      <c r="L39" s="66" t="str">
        <f>IF(COUNTIFS(Dados!$E:$E,$B39,Dados!$C:$C,INDEX(L$3,1,1),Dados!$A:$A,INDEX($D:$E,MATCH("Y",$D:$D,0),2))=0,"",SUMIFS(Dados!$G:$G,Dados!$E:$E,$B39,Dados!$C:$C,INDEX(L$3,1,1),Dados!$A:$A,INDEX($D:$E,MATCH("Y",$D:$D,0),2))/COUNTIFS(Dados!$E:$E,$B39,Dados!$C:$C,INDEX(L$3,1,1),Dados!$A:$A,INDEX($D:$E,MATCH("Y",$D:$D,0),2)))</f>
        <v/>
      </c>
      <c r="M39" s="66" t="str">
        <f>IF(COUNTIFS(Dados!$E:$E,$B39,Dados!$C:$C,INDEX(M$3,1,1),Dados!$A:$A,INDEX($D:$E,MATCH("Y",$D:$D,0),2))=0,"",SUMIFS(Dados!$G:$G,Dados!$E:$E,$B39,Dados!$C:$C,INDEX(M$3,1,1),Dados!$A:$A,INDEX($D:$E,MATCH("Y",$D:$D,0),2))/COUNTIFS(Dados!$E:$E,$B39,Dados!$C:$C,INDEX(M$3,1,1),Dados!$A:$A,INDEX($D:$E,MATCH("Y",$D:$D,0),2)))</f>
        <v/>
      </c>
      <c r="N39" s="66" t="str">
        <f>IF(COUNTIFS(Dados!$E:$E,$B39,Dados!$C:$C,INDEX(N$3,1,1),Dados!$A:$A,INDEX($D:$E,MATCH("Y",$D:$D,0),2))=0,"",SUMIFS(Dados!$G:$G,Dados!$E:$E,$B39,Dados!$C:$C,INDEX(N$3,1,1),Dados!$A:$A,INDEX($D:$E,MATCH("Y",$D:$D,0),2))/COUNTIFS(Dados!$E:$E,$B39,Dados!$C:$C,INDEX(N$3,1,1),Dados!$A:$A,INDEX($D:$E,MATCH("Y",$D:$D,0),2)))</f>
        <v/>
      </c>
      <c r="O39" s="66" t="str">
        <f>IF(COUNTIFS(Dados!$E:$E,$B39,Dados!$C:$C,INDEX(O$3,1,1),Dados!$A:$A,INDEX($D:$E,MATCH("Y",$D:$D,0),2))=0,"",SUMIFS(Dados!$G:$G,Dados!$E:$E,$B39,Dados!$C:$C,INDEX(O$3,1,1),Dados!$A:$A,INDEX($D:$E,MATCH("Y",$D:$D,0),2))/COUNTIFS(Dados!$E:$E,$B39,Dados!$C:$C,INDEX(O$3,1,1),Dados!$A:$A,INDEX($D:$E,MATCH("Y",$D:$D,0),2)))</f>
        <v/>
      </c>
      <c r="P39" s="66" t="str">
        <f>IF(COUNTIFS(Dados!$E:$E,$B39,Dados!$C:$C,INDEX(P$3,1,1),Dados!$A:$A,INDEX($D:$E,MATCH("Y",$D:$D,0),2))=0,"",SUMIFS(Dados!$G:$G,Dados!$E:$E,$B39,Dados!$C:$C,INDEX(P$3,1,1),Dados!$A:$A,INDEX($D:$E,MATCH("Y",$D:$D,0),2))/COUNTIFS(Dados!$E:$E,$B39,Dados!$C:$C,INDEX(P$3,1,1),Dados!$A:$A,INDEX($D:$E,MATCH("Y",$D:$D,0),2)))</f>
        <v/>
      </c>
      <c r="Q39" s="66" t="str">
        <f>IF(COUNTIFS(Dados!$E:$E,$B39,Dados!$C:$C,INDEX(Q$3,1,1),Dados!$A:$A,INDEX($D:$E,MATCH("Y",$D:$D,0),2))=0,"",SUMIFS(Dados!$G:$G,Dados!$E:$E,$B39,Dados!$C:$C,INDEX(Q$3,1,1),Dados!$A:$A,INDEX($D:$E,MATCH("Y",$D:$D,0),2))/COUNTIFS(Dados!$E:$E,$B39,Dados!$C:$C,INDEX(Q$3,1,1),Dados!$A:$A,INDEX($D:$E,MATCH("Y",$D:$D,0),2)))</f>
        <v/>
      </c>
      <c r="R39" s="66" t="str">
        <f>IF(COUNTIFS(Dados!$E:$E,$B39,Dados!$C:$C,INDEX(R$3,1,1),Dados!$A:$A,INDEX($D:$E,MATCH("Y",$D:$D,0),2))=0,"",SUMIFS(Dados!$G:$G,Dados!$E:$E,$B39,Dados!$C:$C,INDEX(R$3,1,1),Dados!$A:$A,INDEX($D:$E,MATCH("Y",$D:$D,0),2))/COUNTIFS(Dados!$E:$E,$B39,Dados!$C:$C,INDEX(R$3,1,1),Dados!$A:$A,INDEX($D:$E,MATCH("Y",$D:$D,0),2)))</f>
        <v/>
      </c>
      <c r="S39" s="66" t="str">
        <f>IF(COUNTIFS(Dados!$E:$E,$B39,Dados!$C:$C,INDEX(S$3,1,1),Dados!$A:$A,INDEX($D:$E,MATCH("Y",$D:$D,0),2))=0,"",SUMIFS(Dados!$G:$G,Dados!$E:$E,$B39,Dados!$C:$C,INDEX(S$3,1,1),Dados!$A:$A,INDEX($D:$E,MATCH("Y",$D:$D,0),2))/COUNTIFS(Dados!$E:$E,$B39,Dados!$C:$C,INDEX(S$3,1,1),Dados!$A:$A,INDEX($D:$E,MATCH("Y",$D:$D,0),2)))</f>
        <v/>
      </c>
      <c r="T39" s="66">
        <f>IF(COUNTIFS(Dados!$E:$E,$B39,Dados!$C:$C,INDEX(T$3,1,1),Dados!$A:$A,INDEX($D:$E,MATCH("Y",$D:$D,0),2))=0,"",SUMIFS(Dados!$G:$G,Dados!$E:$E,$B39,Dados!$C:$C,INDEX(T$3,1,1),Dados!$A:$A,INDEX($D:$E,MATCH("Y",$D:$D,0),2))/COUNTIFS(Dados!$E:$E,$B39,Dados!$C:$C,INDEX(T$3,1,1),Dados!$A:$A,INDEX($D:$E,MATCH("Y",$D:$D,0),2)))</f>
        <v>0.64546846346490538</v>
      </c>
      <c r="U39" s="66">
        <f>IF(COUNTIFS(Dados!$E:$E,$B39,Dados!$C:$C,INDEX(U$3,1,1),Dados!$A:$A,INDEX($D:$E,MATCH("Y",$D:$D,0),2))=0,"",SUMIFS(Dados!$G:$G,Dados!$E:$E,$B39,Dados!$C:$C,INDEX(U$3,1,1),Dados!$A:$A,INDEX($D:$E,MATCH("Y",$D:$D,0),2))/COUNTIFS(Dados!$E:$E,$B39,Dados!$C:$C,INDEX(U$3,1,1),Dados!$A:$A,INDEX($D:$E,MATCH("Y",$D:$D,0),2)))</f>
        <v>0.64991183730228375</v>
      </c>
      <c r="V39" s="66" t="str">
        <f>IF(COUNTIFS(Dados!$E:$E,$B39,Dados!$C:$C,INDEX(V$3,1,1),Dados!$A:$A,INDEX($D:$E,MATCH("Y",$D:$D,0),2))=0,"",SUMIFS(Dados!$G:$G,Dados!$E:$E,$B39,Dados!$C:$C,INDEX(V$3,1,1),Dados!$A:$A,INDEX($D:$E,MATCH("Y",$D:$D,0),2))/COUNTIFS(Dados!$E:$E,$B39,Dados!$C:$C,INDEX(V$3,1,1),Dados!$A:$A,INDEX($D:$E,MATCH("Y",$D:$D,0),2)))</f>
        <v/>
      </c>
    </row>
    <row r="40" spans="2:22" x14ac:dyDescent="0.25">
      <c r="B40" s="67" t="s">
        <v>1299</v>
      </c>
      <c r="C40" s="71">
        <f>VLOOKUP(B40,B4:C22,2,0)</f>
        <v>16</v>
      </c>
      <c r="D40" s="68" t="str">
        <f>IF(COUNTIFS(Dados!$E:$E,$B40,Dados!$C:$C,INDEX(D$3,1,1),Dados!$A:$A,INDEX($D:$E,MATCH("Y",$D:$D,0),2))=0,"",SUMIFS(Dados!$G:$G,Dados!$E:$E,$B40,Dados!$C:$C,INDEX(D$3,1,1),Dados!$A:$A,INDEX($D:$E,MATCH("Y",$D:$D,0),2))/COUNTIFS(Dados!$E:$E,$B40,Dados!$C:$C,INDEX(D$3,1,1),Dados!$A:$A,INDEX($D:$E,MATCH("Y",$D:$D,0),2)))</f>
        <v/>
      </c>
      <c r="E40" s="68" t="str">
        <f>IF(COUNTIFS(Dados!$E:$E,$B40,Dados!$C:$C,INDEX(E$3,1,1),Dados!$A:$A,INDEX($D:$E,MATCH("Y",$D:$D,0),2))=0,"",SUMIFS(Dados!$G:$G,Dados!$E:$E,$B40,Dados!$C:$C,INDEX(E$3,1,1),Dados!$A:$A,INDEX($D:$E,MATCH("Y",$D:$D,0),2))/COUNTIFS(Dados!$E:$E,$B40,Dados!$C:$C,INDEX(E$3,1,1),Dados!$A:$A,INDEX($D:$E,MATCH("Y",$D:$D,0),2)))</f>
        <v/>
      </c>
      <c r="F40" s="68" t="str">
        <f>IF(COUNTIFS(Dados!$E:$E,$B40,Dados!$C:$C,INDEX(F$3,1,1),Dados!$A:$A,INDEX($D:$E,MATCH("Y",$D:$D,0),2))=0,"",SUMIFS(Dados!$G:$G,Dados!$E:$E,$B40,Dados!$C:$C,INDEX(F$3,1,1),Dados!$A:$A,INDEX($D:$E,MATCH("Y",$D:$D,0),2))/COUNTIFS(Dados!$E:$E,$B40,Dados!$C:$C,INDEX(F$3,1,1),Dados!$A:$A,INDEX($D:$E,MATCH("Y",$D:$D,0),2)))</f>
        <v/>
      </c>
      <c r="G40" s="68" t="str">
        <f>IF(COUNTIFS(Dados!$E:$E,$B40,Dados!$C:$C,INDEX(G$3,1,1),Dados!$A:$A,INDEX($D:$E,MATCH("Y",$D:$D,0),2))=0,"",SUMIFS(Dados!$G:$G,Dados!$E:$E,$B40,Dados!$C:$C,INDEX(G$3,1,1),Dados!$A:$A,INDEX($D:$E,MATCH("Y",$D:$D,0),2))/COUNTIFS(Dados!$E:$E,$B40,Dados!$C:$C,INDEX(G$3,1,1),Dados!$A:$A,INDEX($D:$E,MATCH("Y",$D:$D,0),2)))</f>
        <v/>
      </c>
      <c r="H40" s="68" t="str">
        <f>IF(COUNTIFS(Dados!$E:$E,$B40,Dados!$C:$C,INDEX(H$3,1,1),Dados!$A:$A,INDEX($D:$E,MATCH("Y",$D:$D,0),2))=0,"",SUMIFS(Dados!$G:$G,Dados!$E:$E,$B40,Dados!$C:$C,INDEX(H$3,1,1),Dados!$A:$A,INDEX($D:$E,MATCH("Y",$D:$D,0),2))/COUNTIFS(Dados!$E:$E,$B40,Dados!$C:$C,INDEX(H$3,1,1),Dados!$A:$A,INDEX($D:$E,MATCH("Y",$D:$D,0),2)))</f>
        <v/>
      </c>
      <c r="I40" s="68" t="str">
        <f>IF(COUNTIFS(Dados!$E:$E,$B40,Dados!$C:$C,INDEX(I$3,1,1),Dados!$A:$A,INDEX($D:$E,MATCH("Y",$D:$D,0),2))=0,"",SUMIFS(Dados!$G:$G,Dados!$E:$E,$B40,Dados!$C:$C,INDEX(I$3,1,1),Dados!$A:$A,INDEX($D:$E,MATCH("Y",$D:$D,0),2))/COUNTIFS(Dados!$E:$E,$B40,Dados!$C:$C,INDEX(I$3,1,1),Dados!$A:$A,INDEX($D:$E,MATCH("Y",$D:$D,0),2)))</f>
        <v/>
      </c>
      <c r="J40" s="68" t="str">
        <f>IF(COUNTIFS(Dados!$E:$E,$B40,Dados!$C:$C,INDEX(J$3,1,1),Dados!$A:$A,INDEX($D:$E,MATCH("Y",$D:$D,0),2))=0,"",SUMIFS(Dados!$G:$G,Dados!$E:$E,$B40,Dados!$C:$C,INDEX(J$3,1,1),Dados!$A:$A,INDEX($D:$E,MATCH("Y",$D:$D,0),2))/COUNTIFS(Dados!$E:$E,$B40,Dados!$C:$C,INDEX(J$3,1,1),Dados!$A:$A,INDEX($D:$E,MATCH("Y",$D:$D,0),2)))</f>
        <v/>
      </c>
      <c r="K40" s="68" t="str">
        <f>IF(COUNTIFS(Dados!$E:$E,$B40,Dados!$C:$C,INDEX(K$3,1,1),Dados!$A:$A,INDEX($D:$E,MATCH("Y",$D:$D,0),2))=0,"",SUMIFS(Dados!$G:$G,Dados!$E:$E,$B40,Dados!$C:$C,INDEX(K$3,1,1),Dados!$A:$A,INDEX($D:$E,MATCH("Y",$D:$D,0),2))/COUNTIFS(Dados!$E:$E,$B40,Dados!$C:$C,INDEX(K$3,1,1),Dados!$A:$A,INDEX($D:$E,MATCH("Y",$D:$D,0),2)))</f>
        <v/>
      </c>
      <c r="L40" s="68" t="str">
        <f>IF(COUNTIFS(Dados!$E:$E,$B40,Dados!$C:$C,INDEX(L$3,1,1),Dados!$A:$A,INDEX($D:$E,MATCH("Y",$D:$D,0),2))=0,"",SUMIFS(Dados!$G:$G,Dados!$E:$E,$B40,Dados!$C:$C,INDEX(L$3,1,1),Dados!$A:$A,INDEX($D:$E,MATCH("Y",$D:$D,0),2))/COUNTIFS(Dados!$E:$E,$B40,Dados!$C:$C,INDEX(L$3,1,1),Dados!$A:$A,INDEX($D:$E,MATCH("Y",$D:$D,0),2)))</f>
        <v/>
      </c>
      <c r="M40" s="68" t="str">
        <f>IF(COUNTIFS(Dados!$E:$E,$B40,Dados!$C:$C,INDEX(M$3,1,1),Dados!$A:$A,INDEX($D:$E,MATCH("Y",$D:$D,0),2))=0,"",SUMIFS(Dados!$G:$G,Dados!$E:$E,$B40,Dados!$C:$C,INDEX(M$3,1,1),Dados!$A:$A,INDEX($D:$E,MATCH("Y",$D:$D,0),2))/COUNTIFS(Dados!$E:$E,$B40,Dados!$C:$C,INDEX(M$3,1,1),Dados!$A:$A,INDEX($D:$E,MATCH("Y",$D:$D,0),2)))</f>
        <v/>
      </c>
      <c r="N40" s="68" t="str">
        <f>IF(COUNTIFS(Dados!$E:$E,$B40,Dados!$C:$C,INDEX(N$3,1,1),Dados!$A:$A,INDEX($D:$E,MATCH("Y",$D:$D,0),2))=0,"",SUMIFS(Dados!$G:$G,Dados!$E:$E,$B40,Dados!$C:$C,INDEX(N$3,1,1),Dados!$A:$A,INDEX($D:$E,MATCH("Y",$D:$D,0),2))/COUNTIFS(Dados!$E:$E,$B40,Dados!$C:$C,INDEX(N$3,1,1),Dados!$A:$A,INDEX($D:$E,MATCH("Y",$D:$D,0),2)))</f>
        <v/>
      </c>
      <c r="O40" s="68" t="str">
        <f>IF(COUNTIFS(Dados!$E:$E,$B40,Dados!$C:$C,INDEX(O$3,1,1),Dados!$A:$A,INDEX($D:$E,MATCH("Y",$D:$D,0),2))=0,"",SUMIFS(Dados!$G:$G,Dados!$E:$E,$B40,Dados!$C:$C,INDEX(O$3,1,1),Dados!$A:$A,INDEX($D:$E,MATCH("Y",$D:$D,0),2))/COUNTIFS(Dados!$E:$E,$B40,Dados!$C:$C,INDEX(O$3,1,1),Dados!$A:$A,INDEX($D:$E,MATCH("Y",$D:$D,0),2)))</f>
        <v/>
      </c>
      <c r="P40" s="68" t="str">
        <f>IF(COUNTIFS(Dados!$E:$E,$B40,Dados!$C:$C,INDEX(P$3,1,1),Dados!$A:$A,INDEX($D:$E,MATCH("Y",$D:$D,0),2))=0,"",SUMIFS(Dados!$G:$G,Dados!$E:$E,$B40,Dados!$C:$C,INDEX(P$3,1,1),Dados!$A:$A,INDEX($D:$E,MATCH("Y",$D:$D,0),2))/COUNTIFS(Dados!$E:$E,$B40,Dados!$C:$C,INDEX(P$3,1,1),Dados!$A:$A,INDEX($D:$E,MATCH("Y",$D:$D,0),2)))</f>
        <v/>
      </c>
      <c r="Q40" s="68" t="str">
        <f>IF(COUNTIFS(Dados!$E:$E,$B40,Dados!$C:$C,INDEX(Q$3,1,1),Dados!$A:$A,INDEX($D:$E,MATCH("Y",$D:$D,0),2))=0,"",SUMIFS(Dados!$G:$G,Dados!$E:$E,$B40,Dados!$C:$C,INDEX(Q$3,1,1),Dados!$A:$A,INDEX($D:$E,MATCH("Y",$D:$D,0),2))/COUNTIFS(Dados!$E:$E,$B40,Dados!$C:$C,INDEX(Q$3,1,1),Dados!$A:$A,INDEX($D:$E,MATCH("Y",$D:$D,0),2)))</f>
        <v/>
      </c>
      <c r="R40" s="68" t="str">
        <f>IF(COUNTIFS(Dados!$E:$E,$B40,Dados!$C:$C,INDEX(R$3,1,1),Dados!$A:$A,INDEX($D:$E,MATCH("Y",$D:$D,0),2))=0,"",SUMIFS(Dados!$G:$G,Dados!$E:$E,$B40,Dados!$C:$C,INDEX(R$3,1,1),Dados!$A:$A,INDEX($D:$E,MATCH("Y",$D:$D,0),2))/COUNTIFS(Dados!$E:$E,$B40,Dados!$C:$C,INDEX(R$3,1,1),Dados!$A:$A,INDEX($D:$E,MATCH("Y",$D:$D,0),2)))</f>
        <v/>
      </c>
      <c r="S40" s="68" t="str">
        <f>IF(COUNTIFS(Dados!$E:$E,$B40,Dados!$C:$C,INDEX(S$3,1,1),Dados!$A:$A,INDEX($D:$E,MATCH("Y",$D:$D,0),2))=0,"",SUMIFS(Dados!$G:$G,Dados!$E:$E,$B40,Dados!$C:$C,INDEX(S$3,1,1),Dados!$A:$A,INDEX($D:$E,MATCH("Y",$D:$D,0),2))/COUNTIFS(Dados!$E:$E,$B40,Dados!$C:$C,INDEX(S$3,1,1),Dados!$A:$A,INDEX($D:$E,MATCH("Y",$D:$D,0),2)))</f>
        <v/>
      </c>
      <c r="T40" s="68" t="str">
        <f>IF(COUNTIFS(Dados!$E:$E,$B40,Dados!$C:$C,INDEX(T$3,1,1),Dados!$A:$A,INDEX($D:$E,MATCH("Y",$D:$D,0),2))=0,"",SUMIFS(Dados!$G:$G,Dados!$E:$E,$B40,Dados!$C:$C,INDEX(T$3,1,1),Dados!$A:$A,INDEX($D:$E,MATCH("Y",$D:$D,0),2))/COUNTIFS(Dados!$E:$E,$B40,Dados!$C:$C,INDEX(T$3,1,1),Dados!$A:$A,INDEX($D:$E,MATCH("Y",$D:$D,0),2)))</f>
        <v/>
      </c>
      <c r="U40" s="68" t="str">
        <f>IF(COUNTIFS(Dados!$E:$E,$B40,Dados!$C:$C,INDEX(U$3,1,1),Dados!$A:$A,INDEX($D:$E,MATCH("Y",$D:$D,0),2))=0,"",SUMIFS(Dados!$G:$G,Dados!$E:$E,$B40,Dados!$C:$C,INDEX(U$3,1,1),Dados!$A:$A,INDEX($D:$E,MATCH("Y",$D:$D,0),2))/COUNTIFS(Dados!$E:$E,$B40,Dados!$C:$C,INDEX(U$3,1,1),Dados!$A:$A,INDEX($D:$E,MATCH("Y",$D:$D,0),2)))</f>
        <v/>
      </c>
      <c r="V40" s="68" t="str">
        <f>IF(COUNTIFS(Dados!$E:$E,$B40,Dados!$C:$C,INDEX(V$3,1,1),Dados!$A:$A,INDEX($D:$E,MATCH("Y",$D:$D,0),2))=0,"",SUMIFS(Dados!$G:$G,Dados!$E:$E,$B40,Dados!$C:$C,INDEX(V$3,1,1),Dados!$A:$A,INDEX($D:$E,MATCH("Y",$D:$D,0),2))/COUNTIFS(Dados!$E:$E,$B40,Dados!$C:$C,INDEX(V$3,1,1),Dados!$A:$A,INDEX($D:$E,MATCH("Y",$D:$D,0),2)))</f>
        <v/>
      </c>
    </row>
    <row r="41" spans="2:22" x14ac:dyDescent="0.25">
      <c r="B41" s="65" t="s">
        <v>374</v>
      </c>
      <c r="C41" s="72">
        <f>VLOOKUP(B41,B4:C22,2,0)</f>
        <v>17</v>
      </c>
      <c r="D41" s="66" t="str">
        <f>IF(COUNTIFS(Dados!$E:$E,$B41,Dados!$C:$C,INDEX(D$3,1,1),Dados!$A:$A,INDEX($D:$E,MATCH("Y",$D:$D,0),2))=0,"",SUMIFS(Dados!$G:$G,Dados!$E:$E,$B41,Dados!$C:$C,INDEX(D$3,1,1),Dados!$A:$A,INDEX($D:$E,MATCH("Y",$D:$D,0),2))/COUNTIFS(Dados!$E:$E,$B41,Dados!$C:$C,INDEX(D$3,1,1),Dados!$A:$A,INDEX($D:$E,MATCH("Y",$D:$D,0),2)))</f>
        <v/>
      </c>
      <c r="E41" s="66" t="str">
        <f>IF(COUNTIFS(Dados!$E:$E,$B41,Dados!$C:$C,INDEX(E$3,1,1),Dados!$A:$A,INDEX($D:$E,MATCH("Y",$D:$D,0),2))=0,"",SUMIFS(Dados!$G:$G,Dados!$E:$E,$B41,Dados!$C:$C,INDEX(E$3,1,1),Dados!$A:$A,INDEX($D:$E,MATCH("Y",$D:$D,0),2))/COUNTIFS(Dados!$E:$E,$B41,Dados!$C:$C,INDEX(E$3,1,1),Dados!$A:$A,INDEX($D:$E,MATCH("Y",$D:$D,0),2)))</f>
        <v/>
      </c>
      <c r="F41" s="66" t="str">
        <f>IF(COUNTIFS(Dados!$E:$E,$B41,Dados!$C:$C,INDEX(F$3,1,1),Dados!$A:$A,INDEX($D:$E,MATCH("Y",$D:$D,0),2))=0,"",SUMIFS(Dados!$G:$G,Dados!$E:$E,$B41,Dados!$C:$C,INDEX(F$3,1,1),Dados!$A:$A,INDEX($D:$E,MATCH("Y",$D:$D,0),2))/COUNTIFS(Dados!$E:$E,$B41,Dados!$C:$C,INDEX(F$3,1,1),Dados!$A:$A,INDEX($D:$E,MATCH("Y",$D:$D,0),2)))</f>
        <v/>
      </c>
      <c r="G41" s="66" t="str">
        <f>IF(COUNTIFS(Dados!$E:$E,$B41,Dados!$C:$C,INDEX(G$3,1,1),Dados!$A:$A,INDEX($D:$E,MATCH("Y",$D:$D,0),2))=0,"",SUMIFS(Dados!$G:$G,Dados!$E:$E,$B41,Dados!$C:$C,INDEX(G$3,1,1),Dados!$A:$A,INDEX($D:$E,MATCH("Y",$D:$D,0),2))/COUNTIFS(Dados!$E:$E,$B41,Dados!$C:$C,INDEX(G$3,1,1),Dados!$A:$A,INDEX($D:$E,MATCH("Y",$D:$D,0),2)))</f>
        <v/>
      </c>
      <c r="H41" s="66" t="str">
        <f>IF(COUNTIFS(Dados!$E:$E,$B41,Dados!$C:$C,INDEX(H$3,1,1),Dados!$A:$A,INDEX($D:$E,MATCH("Y",$D:$D,0),2))=0,"",SUMIFS(Dados!$G:$G,Dados!$E:$E,$B41,Dados!$C:$C,INDEX(H$3,1,1),Dados!$A:$A,INDEX($D:$E,MATCH("Y",$D:$D,0),2))/COUNTIFS(Dados!$E:$E,$B41,Dados!$C:$C,INDEX(H$3,1,1),Dados!$A:$A,INDEX($D:$E,MATCH("Y",$D:$D,0),2)))</f>
        <v/>
      </c>
      <c r="I41" s="66" t="str">
        <f>IF(COUNTIFS(Dados!$E:$E,$B41,Dados!$C:$C,INDEX(I$3,1,1),Dados!$A:$A,INDEX($D:$E,MATCH("Y",$D:$D,0),2))=0,"",SUMIFS(Dados!$G:$G,Dados!$E:$E,$B41,Dados!$C:$C,INDEX(I$3,1,1),Dados!$A:$A,INDEX($D:$E,MATCH("Y",$D:$D,0),2))/COUNTIFS(Dados!$E:$E,$B41,Dados!$C:$C,INDEX(I$3,1,1),Dados!$A:$A,INDEX($D:$E,MATCH("Y",$D:$D,0),2)))</f>
        <v/>
      </c>
      <c r="J41" s="66" t="str">
        <f>IF(COUNTIFS(Dados!$E:$E,$B41,Dados!$C:$C,INDEX(J$3,1,1),Dados!$A:$A,INDEX($D:$E,MATCH("Y",$D:$D,0),2))=0,"",SUMIFS(Dados!$G:$G,Dados!$E:$E,$B41,Dados!$C:$C,INDEX(J$3,1,1),Dados!$A:$A,INDEX($D:$E,MATCH("Y",$D:$D,0),2))/COUNTIFS(Dados!$E:$E,$B41,Dados!$C:$C,INDEX(J$3,1,1),Dados!$A:$A,INDEX($D:$E,MATCH("Y",$D:$D,0),2)))</f>
        <v/>
      </c>
      <c r="K41" s="66" t="str">
        <f>IF(COUNTIFS(Dados!$E:$E,$B41,Dados!$C:$C,INDEX(K$3,1,1),Dados!$A:$A,INDEX($D:$E,MATCH("Y",$D:$D,0),2))=0,"",SUMIFS(Dados!$G:$G,Dados!$E:$E,$B41,Dados!$C:$C,INDEX(K$3,1,1),Dados!$A:$A,INDEX($D:$E,MATCH("Y",$D:$D,0),2))/COUNTIFS(Dados!$E:$E,$B41,Dados!$C:$C,INDEX(K$3,1,1),Dados!$A:$A,INDEX($D:$E,MATCH("Y",$D:$D,0),2)))</f>
        <v/>
      </c>
      <c r="L41" s="66" t="str">
        <f>IF(COUNTIFS(Dados!$E:$E,$B41,Dados!$C:$C,INDEX(L$3,1,1),Dados!$A:$A,INDEX($D:$E,MATCH("Y",$D:$D,0),2))=0,"",SUMIFS(Dados!$G:$G,Dados!$E:$E,$B41,Dados!$C:$C,INDEX(L$3,1,1),Dados!$A:$A,INDEX($D:$E,MATCH("Y",$D:$D,0),2))/COUNTIFS(Dados!$E:$E,$B41,Dados!$C:$C,INDEX(L$3,1,1),Dados!$A:$A,INDEX($D:$E,MATCH("Y",$D:$D,0),2)))</f>
        <v/>
      </c>
      <c r="M41" s="66" t="str">
        <f>IF(COUNTIFS(Dados!$E:$E,$B41,Dados!$C:$C,INDEX(M$3,1,1),Dados!$A:$A,INDEX($D:$E,MATCH("Y",$D:$D,0),2))=0,"",SUMIFS(Dados!$G:$G,Dados!$E:$E,$B41,Dados!$C:$C,INDEX(M$3,1,1),Dados!$A:$A,INDEX($D:$E,MATCH("Y",$D:$D,0),2))/COUNTIFS(Dados!$E:$E,$B41,Dados!$C:$C,INDEX(M$3,1,1),Dados!$A:$A,INDEX($D:$E,MATCH("Y",$D:$D,0),2)))</f>
        <v/>
      </c>
      <c r="N41" s="66" t="str">
        <f>IF(COUNTIFS(Dados!$E:$E,$B41,Dados!$C:$C,INDEX(N$3,1,1),Dados!$A:$A,INDEX($D:$E,MATCH("Y",$D:$D,0),2))=0,"",SUMIFS(Dados!$G:$G,Dados!$E:$E,$B41,Dados!$C:$C,INDEX(N$3,1,1),Dados!$A:$A,INDEX($D:$E,MATCH("Y",$D:$D,0),2))/COUNTIFS(Dados!$E:$E,$B41,Dados!$C:$C,INDEX(N$3,1,1),Dados!$A:$A,INDEX($D:$E,MATCH("Y",$D:$D,0),2)))</f>
        <v/>
      </c>
      <c r="O41" s="66" t="str">
        <f>IF(COUNTIFS(Dados!$E:$E,$B41,Dados!$C:$C,INDEX(O$3,1,1),Dados!$A:$A,INDEX($D:$E,MATCH("Y",$D:$D,0),2))=0,"",SUMIFS(Dados!$G:$G,Dados!$E:$E,$B41,Dados!$C:$C,INDEX(O$3,1,1),Dados!$A:$A,INDEX($D:$E,MATCH("Y",$D:$D,0),2))/COUNTIFS(Dados!$E:$E,$B41,Dados!$C:$C,INDEX(O$3,1,1),Dados!$A:$A,INDEX($D:$E,MATCH("Y",$D:$D,0),2)))</f>
        <v/>
      </c>
      <c r="P41" s="66" t="str">
        <f>IF(COUNTIFS(Dados!$E:$E,$B41,Dados!$C:$C,INDEX(P$3,1,1),Dados!$A:$A,INDEX($D:$E,MATCH("Y",$D:$D,0),2))=0,"",SUMIFS(Dados!$G:$G,Dados!$E:$E,$B41,Dados!$C:$C,INDEX(P$3,1,1),Dados!$A:$A,INDEX($D:$E,MATCH("Y",$D:$D,0),2))/COUNTIFS(Dados!$E:$E,$B41,Dados!$C:$C,INDEX(P$3,1,1),Dados!$A:$A,INDEX($D:$E,MATCH("Y",$D:$D,0),2)))</f>
        <v/>
      </c>
      <c r="Q41" s="66" t="str">
        <f>IF(COUNTIFS(Dados!$E:$E,$B41,Dados!$C:$C,INDEX(Q$3,1,1),Dados!$A:$A,INDEX($D:$E,MATCH("Y",$D:$D,0),2))=0,"",SUMIFS(Dados!$G:$G,Dados!$E:$E,$B41,Dados!$C:$C,INDEX(Q$3,1,1),Dados!$A:$A,INDEX($D:$E,MATCH("Y",$D:$D,0),2))/COUNTIFS(Dados!$E:$E,$B41,Dados!$C:$C,INDEX(Q$3,1,1),Dados!$A:$A,INDEX($D:$E,MATCH("Y",$D:$D,0),2)))</f>
        <v/>
      </c>
      <c r="R41" s="66" t="str">
        <f>IF(COUNTIFS(Dados!$E:$E,$B41,Dados!$C:$C,INDEX(R$3,1,1),Dados!$A:$A,INDEX($D:$E,MATCH("Y",$D:$D,0),2))=0,"",SUMIFS(Dados!$G:$G,Dados!$E:$E,$B41,Dados!$C:$C,INDEX(R$3,1,1),Dados!$A:$A,INDEX($D:$E,MATCH("Y",$D:$D,0),2))/COUNTIFS(Dados!$E:$E,$B41,Dados!$C:$C,INDEX(R$3,1,1),Dados!$A:$A,INDEX($D:$E,MATCH("Y",$D:$D,0),2)))</f>
        <v/>
      </c>
      <c r="S41" s="66" t="str">
        <f>IF(COUNTIFS(Dados!$E:$E,$B41,Dados!$C:$C,INDEX(S$3,1,1),Dados!$A:$A,INDEX($D:$E,MATCH("Y",$D:$D,0),2))=0,"",SUMIFS(Dados!$G:$G,Dados!$E:$E,$B41,Dados!$C:$C,INDEX(S$3,1,1),Dados!$A:$A,INDEX($D:$E,MATCH("Y",$D:$D,0),2))/COUNTIFS(Dados!$E:$E,$B41,Dados!$C:$C,INDEX(S$3,1,1),Dados!$A:$A,INDEX($D:$E,MATCH("Y",$D:$D,0),2)))</f>
        <v/>
      </c>
      <c r="T41" s="66" t="str">
        <f>IF(COUNTIFS(Dados!$E:$E,$B41,Dados!$C:$C,INDEX(T$3,1,1),Dados!$A:$A,INDEX($D:$E,MATCH("Y",$D:$D,0),2))=0,"",SUMIFS(Dados!$G:$G,Dados!$E:$E,$B41,Dados!$C:$C,INDEX(T$3,1,1),Dados!$A:$A,INDEX($D:$E,MATCH("Y",$D:$D,0),2))/COUNTIFS(Dados!$E:$E,$B41,Dados!$C:$C,INDEX(T$3,1,1),Dados!$A:$A,INDEX($D:$E,MATCH("Y",$D:$D,0),2)))</f>
        <v/>
      </c>
      <c r="U41" s="66" t="str">
        <f>IF(COUNTIFS(Dados!$E:$E,$B41,Dados!$C:$C,INDEX(U$3,1,1),Dados!$A:$A,INDEX($D:$E,MATCH("Y",$D:$D,0),2))=0,"",SUMIFS(Dados!$G:$G,Dados!$E:$E,$B41,Dados!$C:$C,INDEX(U$3,1,1),Dados!$A:$A,INDEX($D:$E,MATCH("Y",$D:$D,0),2))/COUNTIFS(Dados!$E:$E,$B41,Dados!$C:$C,INDEX(U$3,1,1),Dados!$A:$A,INDEX($D:$E,MATCH("Y",$D:$D,0),2)))</f>
        <v/>
      </c>
      <c r="V41" s="66" t="str">
        <f>IF(COUNTIFS(Dados!$E:$E,$B41,Dados!$C:$C,INDEX(V$3,1,1),Dados!$A:$A,INDEX($D:$E,MATCH("Y",$D:$D,0),2))=0,"",SUMIFS(Dados!$G:$G,Dados!$E:$E,$B41,Dados!$C:$C,INDEX(V$3,1,1),Dados!$A:$A,INDEX($D:$E,MATCH("Y",$D:$D,0),2))/COUNTIFS(Dados!$E:$E,$B41,Dados!$C:$C,INDEX(V$3,1,1),Dados!$A:$A,INDEX($D:$E,MATCH("Y",$D:$D,0),2)))</f>
        <v/>
      </c>
    </row>
    <row r="42" spans="2:22" x14ac:dyDescent="0.25">
      <c r="B42" s="67" t="s">
        <v>375</v>
      </c>
      <c r="C42" s="71">
        <f>VLOOKUP(B42,B4:C22,2,0)</f>
        <v>18</v>
      </c>
      <c r="D42" s="68" t="str">
        <f>IF(COUNTIFS(Dados!$E:$E,$B42,Dados!$C:$C,INDEX(D$3,1,1),Dados!$A:$A,INDEX($D:$E,MATCH("Y",$D:$D,0),2))=0,"",SUMIFS(Dados!$G:$G,Dados!$E:$E,$B42,Dados!$C:$C,INDEX(D$3,1,1),Dados!$A:$A,INDEX($D:$E,MATCH("Y",$D:$D,0),2))/COUNTIFS(Dados!$E:$E,$B42,Dados!$C:$C,INDEX(D$3,1,1),Dados!$A:$A,INDEX($D:$E,MATCH("Y",$D:$D,0),2)))</f>
        <v/>
      </c>
      <c r="E42" s="68" t="str">
        <f>IF(COUNTIFS(Dados!$E:$E,$B42,Dados!$C:$C,INDEX(E$3,1,1),Dados!$A:$A,INDEX($D:$E,MATCH("Y",$D:$D,0),2))=0,"",SUMIFS(Dados!$G:$G,Dados!$E:$E,$B42,Dados!$C:$C,INDEX(E$3,1,1),Dados!$A:$A,INDEX($D:$E,MATCH("Y",$D:$D,0),2))/COUNTIFS(Dados!$E:$E,$B42,Dados!$C:$C,INDEX(E$3,1,1),Dados!$A:$A,INDEX($D:$E,MATCH("Y",$D:$D,0),2)))</f>
        <v/>
      </c>
      <c r="F42" s="68" t="str">
        <f>IF(COUNTIFS(Dados!$E:$E,$B42,Dados!$C:$C,INDEX(F$3,1,1),Dados!$A:$A,INDEX($D:$E,MATCH("Y",$D:$D,0),2))=0,"",SUMIFS(Dados!$G:$G,Dados!$E:$E,$B42,Dados!$C:$C,INDEX(F$3,1,1),Dados!$A:$A,INDEX($D:$E,MATCH("Y",$D:$D,0),2))/COUNTIFS(Dados!$E:$E,$B42,Dados!$C:$C,INDEX(F$3,1,1),Dados!$A:$A,INDEX($D:$E,MATCH("Y",$D:$D,0),2)))</f>
        <v/>
      </c>
      <c r="G42" s="68" t="str">
        <f>IF(COUNTIFS(Dados!$E:$E,$B42,Dados!$C:$C,INDEX(G$3,1,1),Dados!$A:$A,INDEX($D:$E,MATCH("Y",$D:$D,0),2))=0,"",SUMIFS(Dados!$G:$G,Dados!$E:$E,$B42,Dados!$C:$C,INDEX(G$3,1,1),Dados!$A:$A,INDEX($D:$E,MATCH("Y",$D:$D,0),2))/COUNTIFS(Dados!$E:$E,$B42,Dados!$C:$C,INDEX(G$3,1,1),Dados!$A:$A,INDEX($D:$E,MATCH("Y",$D:$D,0),2)))</f>
        <v/>
      </c>
      <c r="H42" s="68" t="str">
        <f>IF(COUNTIFS(Dados!$E:$E,$B42,Dados!$C:$C,INDEX(H$3,1,1),Dados!$A:$A,INDEX($D:$E,MATCH("Y",$D:$D,0),2))=0,"",SUMIFS(Dados!$G:$G,Dados!$E:$E,$B42,Dados!$C:$C,INDEX(H$3,1,1),Dados!$A:$A,INDEX($D:$E,MATCH("Y",$D:$D,0),2))/COUNTIFS(Dados!$E:$E,$B42,Dados!$C:$C,INDEX(H$3,1,1),Dados!$A:$A,INDEX($D:$E,MATCH("Y",$D:$D,0),2)))</f>
        <v/>
      </c>
      <c r="I42" s="68" t="str">
        <f>IF(COUNTIFS(Dados!$E:$E,$B42,Dados!$C:$C,INDEX(I$3,1,1),Dados!$A:$A,INDEX($D:$E,MATCH("Y",$D:$D,0),2))=0,"",SUMIFS(Dados!$G:$G,Dados!$E:$E,$B42,Dados!$C:$C,INDEX(I$3,1,1),Dados!$A:$A,INDEX($D:$E,MATCH("Y",$D:$D,0),2))/COUNTIFS(Dados!$E:$E,$B42,Dados!$C:$C,INDEX(I$3,1,1),Dados!$A:$A,INDEX($D:$E,MATCH("Y",$D:$D,0),2)))</f>
        <v/>
      </c>
      <c r="J42" s="68" t="str">
        <f>IF(COUNTIFS(Dados!$E:$E,$B42,Dados!$C:$C,INDEX(J$3,1,1),Dados!$A:$A,INDEX($D:$E,MATCH("Y",$D:$D,0),2))=0,"",SUMIFS(Dados!$G:$G,Dados!$E:$E,$B42,Dados!$C:$C,INDEX(J$3,1,1),Dados!$A:$A,INDEX($D:$E,MATCH("Y",$D:$D,0),2))/COUNTIFS(Dados!$E:$E,$B42,Dados!$C:$C,INDEX(J$3,1,1),Dados!$A:$A,INDEX($D:$E,MATCH("Y",$D:$D,0),2)))</f>
        <v/>
      </c>
      <c r="K42" s="68" t="str">
        <f>IF(COUNTIFS(Dados!$E:$E,$B42,Dados!$C:$C,INDEX(K$3,1,1),Dados!$A:$A,INDEX($D:$E,MATCH("Y",$D:$D,0),2))=0,"",SUMIFS(Dados!$G:$G,Dados!$E:$E,$B42,Dados!$C:$C,INDEX(K$3,1,1),Dados!$A:$A,INDEX($D:$E,MATCH("Y",$D:$D,0),2))/COUNTIFS(Dados!$E:$E,$B42,Dados!$C:$C,INDEX(K$3,1,1),Dados!$A:$A,INDEX($D:$E,MATCH("Y",$D:$D,0),2)))</f>
        <v/>
      </c>
      <c r="L42" s="68" t="str">
        <f>IF(COUNTIFS(Dados!$E:$E,$B42,Dados!$C:$C,INDEX(L$3,1,1),Dados!$A:$A,INDEX($D:$E,MATCH("Y",$D:$D,0),2))=0,"",SUMIFS(Dados!$G:$G,Dados!$E:$E,$B42,Dados!$C:$C,INDEX(L$3,1,1),Dados!$A:$A,INDEX($D:$E,MATCH("Y",$D:$D,0),2))/COUNTIFS(Dados!$E:$E,$B42,Dados!$C:$C,INDEX(L$3,1,1),Dados!$A:$A,INDEX($D:$E,MATCH("Y",$D:$D,0),2)))</f>
        <v/>
      </c>
      <c r="M42" s="68" t="str">
        <f>IF(COUNTIFS(Dados!$E:$E,$B42,Dados!$C:$C,INDEX(M$3,1,1),Dados!$A:$A,INDEX($D:$E,MATCH("Y",$D:$D,0),2))=0,"",SUMIFS(Dados!$G:$G,Dados!$E:$E,$B42,Dados!$C:$C,INDEX(M$3,1,1),Dados!$A:$A,INDEX($D:$E,MATCH("Y",$D:$D,0),2))/COUNTIFS(Dados!$E:$E,$B42,Dados!$C:$C,INDEX(M$3,1,1),Dados!$A:$A,INDEX($D:$E,MATCH("Y",$D:$D,0),2)))</f>
        <v/>
      </c>
      <c r="N42" s="68" t="str">
        <f>IF(COUNTIFS(Dados!$E:$E,$B42,Dados!$C:$C,INDEX(N$3,1,1),Dados!$A:$A,INDEX($D:$E,MATCH("Y",$D:$D,0),2))=0,"",SUMIFS(Dados!$G:$G,Dados!$E:$E,$B42,Dados!$C:$C,INDEX(N$3,1,1),Dados!$A:$A,INDEX($D:$E,MATCH("Y",$D:$D,0),2))/COUNTIFS(Dados!$E:$E,$B42,Dados!$C:$C,INDEX(N$3,1,1),Dados!$A:$A,INDEX($D:$E,MATCH("Y",$D:$D,0),2)))</f>
        <v/>
      </c>
      <c r="O42" s="68" t="str">
        <f>IF(COUNTIFS(Dados!$E:$E,$B42,Dados!$C:$C,INDEX(O$3,1,1),Dados!$A:$A,INDEX($D:$E,MATCH("Y",$D:$D,0),2))=0,"",SUMIFS(Dados!$G:$G,Dados!$E:$E,$B42,Dados!$C:$C,INDEX(O$3,1,1),Dados!$A:$A,INDEX($D:$E,MATCH("Y",$D:$D,0),2))/COUNTIFS(Dados!$E:$E,$B42,Dados!$C:$C,INDEX(O$3,1,1),Dados!$A:$A,INDEX($D:$E,MATCH("Y",$D:$D,0),2)))</f>
        <v/>
      </c>
      <c r="P42" s="68" t="str">
        <f>IF(COUNTIFS(Dados!$E:$E,$B42,Dados!$C:$C,INDEX(P$3,1,1),Dados!$A:$A,INDEX($D:$E,MATCH("Y",$D:$D,0),2))=0,"",SUMIFS(Dados!$G:$G,Dados!$E:$E,$B42,Dados!$C:$C,INDEX(P$3,1,1),Dados!$A:$A,INDEX($D:$E,MATCH("Y",$D:$D,0),2))/COUNTIFS(Dados!$E:$E,$B42,Dados!$C:$C,INDEX(P$3,1,1),Dados!$A:$A,INDEX($D:$E,MATCH("Y",$D:$D,0),2)))</f>
        <v/>
      </c>
      <c r="Q42" s="68" t="str">
        <f>IF(COUNTIFS(Dados!$E:$E,$B42,Dados!$C:$C,INDEX(Q$3,1,1),Dados!$A:$A,INDEX($D:$E,MATCH("Y",$D:$D,0),2))=0,"",SUMIFS(Dados!$G:$G,Dados!$E:$E,$B42,Dados!$C:$C,INDEX(Q$3,1,1),Dados!$A:$A,INDEX($D:$E,MATCH("Y",$D:$D,0),2))/COUNTIFS(Dados!$E:$E,$B42,Dados!$C:$C,INDEX(Q$3,1,1),Dados!$A:$A,INDEX($D:$E,MATCH("Y",$D:$D,0),2)))</f>
        <v/>
      </c>
      <c r="R42" s="68" t="str">
        <f>IF(COUNTIFS(Dados!$E:$E,$B42,Dados!$C:$C,INDEX(R$3,1,1),Dados!$A:$A,INDEX($D:$E,MATCH("Y",$D:$D,0),2))=0,"",SUMIFS(Dados!$G:$G,Dados!$E:$E,$B42,Dados!$C:$C,INDEX(R$3,1,1),Dados!$A:$A,INDEX($D:$E,MATCH("Y",$D:$D,0),2))/COUNTIFS(Dados!$E:$E,$B42,Dados!$C:$C,INDEX(R$3,1,1),Dados!$A:$A,INDEX($D:$E,MATCH("Y",$D:$D,0),2)))</f>
        <v/>
      </c>
      <c r="S42" s="68" t="str">
        <f>IF(COUNTIFS(Dados!$E:$E,$B42,Dados!$C:$C,INDEX(S$3,1,1),Dados!$A:$A,INDEX($D:$E,MATCH("Y",$D:$D,0),2))=0,"",SUMIFS(Dados!$G:$G,Dados!$E:$E,$B42,Dados!$C:$C,INDEX(S$3,1,1),Dados!$A:$A,INDEX($D:$E,MATCH("Y",$D:$D,0),2))/COUNTIFS(Dados!$E:$E,$B42,Dados!$C:$C,INDEX(S$3,1,1),Dados!$A:$A,INDEX($D:$E,MATCH("Y",$D:$D,0),2)))</f>
        <v/>
      </c>
      <c r="T42" s="68" t="str">
        <f>IF(COUNTIFS(Dados!$E:$E,$B42,Dados!$C:$C,INDEX(T$3,1,1),Dados!$A:$A,INDEX($D:$E,MATCH("Y",$D:$D,0),2))=0,"",SUMIFS(Dados!$G:$G,Dados!$E:$E,$B42,Dados!$C:$C,INDEX(T$3,1,1),Dados!$A:$A,INDEX($D:$E,MATCH("Y",$D:$D,0),2))/COUNTIFS(Dados!$E:$E,$B42,Dados!$C:$C,INDEX(T$3,1,1),Dados!$A:$A,INDEX($D:$E,MATCH("Y",$D:$D,0),2)))</f>
        <v/>
      </c>
      <c r="U42" s="68" t="str">
        <f>IF(COUNTIFS(Dados!$E:$E,$B42,Dados!$C:$C,INDEX(U$3,1,1),Dados!$A:$A,INDEX($D:$E,MATCH("Y",$D:$D,0),2))=0,"",SUMIFS(Dados!$G:$G,Dados!$E:$E,$B42,Dados!$C:$C,INDEX(U$3,1,1),Dados!$A:$A,INDEX($D:$E,MATCH("Y",$D:$D,0),2))/COUNTIFS(Dados!$E:$E,$B42,Dados!$C:$C,INDEX(U$3,1,1),Dados!$A:$A,INDEX($D:$E,MATCH("Y",$D:$D,0),2)))</f>
        <v/>
      </c>
      <c r="V42" s="68">
        <f>IF(COUNTIFS(Dados!$E:$E,$B42,Dados!$C:$C,INDEX(V$3,1,1),Dados!$A:$A,INDEX($D:$E,MATCH("Y",$D:$D,0),2))=0,"",SUMIFS(Dados!$G:$G,Dados!$E:$E,$B42,Dados!$C:$C,INDEX(V$3,1,1),Dados!$A:$A,INDEX($D:$E,MATCH("Y",$D:$D,0),2))/COUNTIFS(Dados!$E:$E,$B42,Dados!$C:$C,INDEX(V$3,1,1),Dados!$A:$A,INDEX($D:$E,MATCH("Y",$D:$D,0),2)))</f>
        <v>0.91359104584814776</v>
      </c>
    </row>
    <row r="43" spans="2:22" x14ac:dyDescent="0.25">
      <c r="B43" s="65" t="s">
        <v>1300</v>
      </c>
      <c r="C43" s="72">
        <f>VLOOKUP(B43,B4:C22,2,0)</f>
        <v>19</v>
      </c>
      <c r="D43" s="66" t="str">
        <f>IF(COUNTIFS(Dados!$E:$E,$B43,Dados!$C:$C,INDEX(D$3,1,1),Dados!$A:$A,INDEX($D:$E,MATCH("Y",$D:$D,0),2))=0,"",SUMIFS(Dados!$G:$G,Dados!$E:$E,$B43,Dados!$C:$C,INDEX(D$3,1,1),Dados!$A:$A,INDEX($D:$E,MATCH("Y",$D:$D,0),2))/COUNTIFS(Dados!$E:$E,$B43,Dados!$C:$C,INDEX(D$3,1,1),Dados!$A:$A,INDEX($D:$E,MATCH("Y",$D:$D,0),2)))</f>
        <v/>
      </c>
      <c r="E43" s="66" t="str">
        <f>IF(COUNTIFS(Dados!$E:$E,$B43,Dados!$C:$C,INDEX(E$3,1,1),Dados!$A:$A,INDEX($D:$E,MATCH("Y",$D:$D,0),2))=0,"",SUMIFS(Dados!$G:$G,Dados!$E:$E,$B43,Dados!$C:$C,INDEX(E$3,1,1),Dados!$A:$A,INDEX($D:$E,MATCH("Y",$D:$D,0),2))/COUNTIFS(Dados!$E:$E,$B43,Dados!$C:$C,INDEX(E$3,1,1),Dados!$A:$A,INDEX($D:$E,MATCH("Y",$D:$D,0),2)))</f>
        <v/>
      </c>
      <c r="F43" s="66" t="str">
        <f>IF(COUNTIFS(Dados!$E:$E,$B43,Dados!$C:$C,INDEX(F$3,1,1),Dados!$A:$A,INDEX($D:$E,MATCH("Y",$D:$D,0),2))=0,"",SUMIFS(Dados!$G:$G,Dados!$E:$E,$B43,Dados!$C:$C,INDEX(F$3,1,1),Dados!$A:$A,INDEX($D:$E,MATCH("Y",$D:$D,0),2))/COUNTIFS(Dados!$E:$E,$B43,Dados!$C:$C,INDEX(F$3,1,1),Dados!$A:$A,INDEX($D:$E,MATCH("Y",$D:$D,0),2)))</f>
        <v/>
      </c>
      <c r="G43" s="66" t="str">
        <f>IF(COUNTIFS(Dados!$E:$E,$B43,Dados!$C:$C,INDEX(G$3,1,1),Dados!$A:$A,INDEX($D:$E,MATCH("Y",$D:$D,0),2))=0,"",SUMIFS(Dados!$G:$G,Dados!$E:$E,$B43,Dados!$C:$C,INDEX(G$3,1,1),Dados!$A:$A,INDEX($D:$E,MATCH("Y",$D:$D,0),2))/COUNTIFS(Dados!$E:$E,$B43,Dados!$C:$C,INDEX(G$3,1,1),Dados!$A:$A,INDEX($D:$E,MATCH("Y",$D:$D,0),2)))</f>
        <v/>
      </c>
      <c r="H43" s="66" t="str">
        <f>IF(COUNTIFS(Dados!$E:$E,$B43,Dados!$C:$C,INDEX(H$3,1,1),Dados!$A:$A,INDEX($D:$E,MATCH("Y",$D:$D,0),2))=0,"",SUMIFS(Dados!$G:$G,Dados!$E:$E,$B43,Dados!$C:$C,INDEX(H$3,1,1),Dados!$A:$A,INDEX($D:$E,MATCH("Y",$D:$D,0),2))/COUNTIFS(Dados!$E:$E,$B43,Dados!$C:$C,INDEX(H$3,1,1),Dados!$A:$A,INDEX($D:$E,MATCH("Y",$D:$D,0),2)))</f>
        <v/>
      </c>
      <c r="I43" s="66" t="str">
        <f>IF(COUNTIFS(Dados!$E:$E,$B43,Dados!$C:$C,INDEX(I$3,1,1),Dados!$A:$A,INDEX($D:$E,MATCH("Y",$D:$D,0),2))=0,"",SUMIFS(Dados!$G:$G,Dados!$E:$E,$B43,Dados!$C:$C,INDEX(I$3,1,1),Dados!$A:$A,INDEX($D:$E,MATCH("Y",$D:$D,0),2))/COUNTIFS(Dados!$E:$E,$B43,Dados!$C:$C,INDEX(I$3,1,1),Dados!$A:$A,INDEX($D:$E,MATCH("Y",$D:$D,0),2)))</f>
        <v/>
      </c>
      <c r="J43" s="66" t="str">
        <f>IF(COUNTIFS(Dados!$E:$E,$B43,Dados!$C:$C,INDEX(J$3,1,1),Dados!$A:$A,INDEX($D:$E,MATCH("Y",$D:$D,0),2))=0,"",SUMIFS(Dados!$G:$G,Dados!$E:$E,$B43,Dados!$C:$C,INDEX(J$3,1,1),Dados!$A:$A,INDEX($D:$E,MATCH("Y",$D:$D,0),2))/COUNTIFS(Dados!$E:$E,$B43,Dados!$C:$C,INDEX(J$3,1,1),Dados!$A:$A,INDEX($D:$E,MATCH("Y",$D:$D,0),2)))</f>
        <v/>
      </c>
      <c r="K43" s="66" t="str">
        <f>IF(COUNTIFS(Dados!$E:$E,$B43,Dados!$C:$C,INDEX(K$3,1,1),Dados!$A:$A,INDEX($D:$E,MATCH("Y",$D:$D,0),2))=0,"",SUMIFS(Dados!$G:$G,Dados!$E:$E,$B43,Dados!$C:$C,INDEX(K$3,1,1),Dados!$A:$A,INDEX($D:$E,MATCH("Y",$D:$D,0),2))/COUNTIFS(Dados!$E:$E,$B43,Dados!$C:$C,INDEX(K$3,1,1),Dados!$A:$A,INDEX($D:$E,MATCH("Y",$D:$D,0),2)))</f>
        <v/>
      </c>
      <c r="L43" s="66" t="str">
        <f>IF(COUNTIFS(Dados!$E:$E,$B43,Dados!$C:$C,INDEX(L$3,1,1),Dados!$A:$A,INDEX($D:$E,MATCH("Y",$D:$D,0),2))=0,"",SUMIFS(Dados!$G:$G,Dados!$E:$E,$B43,Dados!$C:$C,INDEX(L$3,1,1),Dados!$A:$A,INDEX($D:$E,MATCH("Y",$D:$D,0),2))/COUNTIFS(Dados!$E:$E,$B43,Dados!$C:$C,INDEX(L$3,1,1),Dados!$A:$A,INDEX($D:$E,MATCH("Y",$D:$D,0),2)))</f>
        <v/>
      </c>
      <c r="M43" s="66" t="str">
        <f>IF(COUNTIFS(Dados!$E:$E,$B43,Dados!$C:$C,INDEX(M$3,1,1),Dados!$A:$A,INDEX($D:$E,MATCH("Y",$D:$D,0),2))=0,"",SUMIFS(Dados!$G:$G,Dados!$E:$E,$B43,Dados!$C:$C,INDEX(M$3,1,1),Dados!$A:$A,INDEX($D:$E,MATCH("Y",$D:$D,0),2))/COUNTIFS(Dados!$E:$E,$B43,Dados!$C:$C,INDEX(M$3,1,1),Dados!$A:$A,INDEX($D:$E,MATCH("Y",$D:$D,0),2)))</f>
        <v/>
      </c>
      <c r="N43" s="66" t="str">
        <f>IF(COUNTIFS(Dados!$E:$E,$B43,Dados!$C:$C,INDEX(N$3,1,1),Dados!$A:$A,INDEX($D:$E,MATCH("Y",$D:$D,0),2))=0,"",SUMIFS(Dados!$G:$G,Dados!$E:$E,$B43,Dados!$C:$C,INDEX(N$3,1,1),Dados!$A:$A,INDEX($D:$E,MATCH("Y",$D:$D,0),2))/COUNTIFS(Dados!$E:$E,$B43,Dados!$C:$C,INDEX(N$3,1,1),Dados!$A:$A,INDEX($D:$E,MATCH("Y",$D:$D,0),2)))</f>
        <v/>
      </c>
      <c r="O43" s="66" t="str">
        <f>IF(COUNTIFS(Dados!$E:$E,$B43,Dados!$C:$C,INDEX(O$3,1,1),Dados!$A:$A,INDEX($D:$E,MATCH("Y",$D:$D,0),2))=0,"",SUMIFS(Dados!$G:$G,Dados!$E:$E,$B43,Dados!$C:$C,INDEX(O$3,1,1),Dados!$A:$A,INDEX($D:$E,MATCH("Y",$D:$D,0),2))/COUNTIFS(Dados!$E:$E,$B43,Dados!$C:$C,INDEX(O$3,1,1),Dados!$A:$A,INDEX($D:$E,MATCH("Y",$D:$D,0),2)))</f>
        <v/>
      </c>
      <c r="P43" s="66" t="str">
        <f>IF(COUNTIFS(Dados!$E:$E,$B43,Dados!$C:$C,INDEX(P$3,1,1),Dados!$A:$A,INDEX($D:$E,MATCH("Y",$D:$D,0),2))=0,"",SUMIFS(Dados!$G:$G,Dados!$E:$E,$B43,Dados!$C:$C,INDEX(P$3,1,1),Dados!$A:$A,INDEX($D:$E,MATCH("Y",$D:$D,0),2))/COUNTIFS(Dados!$E:$E,$B43,Dados!$C:$C,INDEX(P$3,1,1),Dados!$A:$A,INDEX($D:$E,MATCH("Y",$D:$D,0),2)))</f>
        <v/>
      </c>
      <c r="Q43" s="66" t="str">
        <f>IF(COUNTIFS(Dados!$E:$E,$B43,Dados!$C:$C,INDEX(Q$3,1,1),Dados!$A:$A,INDEX($D:$E,MATCH("Y",$D:$D,0),2))=0,"",SUMIFS(Dados!$G:$G,Dados!$E:$E,$B43,Dados!$C:$C,INDEX(Q$3,1,1),Dados!$A:$A,INDEX($D:$E,MATCH("Y",$D:$D,0),2))/COUNTIFS(Dados!$E:$E,$B43,Dados!$C:$C,INDEX(Q$3,1,1),Dados!$A:$A,INDEX($D:$E,MATCH("Y",$D:$D,0),2)))</f>
        <v/>
      </c>
      <c r="R43" s="66" t="str">
        <f>IF(COUNTIFS(Dados!$E:$E,$B43,Dados!$C:$C,INDEX(R$3,1,1),Dados!$A:$A,INDEX($D:$E,MATCH("Y",$D:$D,0),2))=0,"",SUMIFS(Dados!$G:$G,Dados!$E:$E,$B43,Dados!$C:$C,INDEX(R$3,1,1),Dados!$A:$A,INDEX($D:$E,MATCH("Y",$D:$D,0),2))/COUNTIFS(Dados!$E:$E,$B43,Dados!$C:$C,INDEX(R$3,1,1),Dados!$A:$A,INDEX($D:$E,MATCH("Y",$D:$D,0),2)))</f>
        <v/>
      </c>
      <c r="S43" s="66" t="str">
        <f>IF(COUNTIFS(Dados!$E:$E,$B43,Dados!$C:$C,INDEX(S$3,1,1),Dados!$A:$A,INDEX($D:$E,MATCH("Y",$D:$D,0),2))=0,"",SUMIFS(Dados!$G:$G,Dados!$E:$E,$B43,Dados!$C:$C,INDEX(S$3,1,1),Dados!$A:$A,INDEX($D:$E,MATCH("Y",$D:$D,0),2))/COUNTIFS(Dados!$E:$E,$B43,Dados!$C:$C,INDEX(S$3,1,1),Dados!$A:$A,INDEX($D:$E,MATCH("Y",$D:$D,0),2)))</f>
        <v/>
      </c>
      <c r="T43" s="66" t="str">
        <f>IF(COUNTIFS(Dados!$E:$E,$B43,Dados!$C:$C,INDEX(T$3,1,1),Dados!$A:$A,INDEX($D:$E,MATCH("Y",$D:$D,0),2))=0,"",SUMIFS(Dados!$G:$G,Dados!$E:$E,$B43,Dados!$C:$C,INDEX(T$3,1,1),Dados!$A:$A,INDEX($D:$E,MATCH("Y",$D:$D,0),2))/COUNTIFS(Dados!$E:$E,$B43,Dados!$C:$C,INDEX(T$3,1,1),Dados!$A:$A,INDEX($D:$E,MATCH("Y",$D:$D,0),2)))</f>
        <v/>
      </c>
      <c r="U43" s="66" t="str">
        <f>IF(COUNTIFS(Dados!$E:$E,$B43,Dados!$C:$C,INDEX(U$3,1,1),Dados!$A:$A,INDEX($D:$E,MATCH("Y",$D:$D,0),2))=0,"",SUMIFS(Dados!$G:$G,Dados!$E:$E,$B43,Dados!$C:$C,INDEX(U$3,1,1),Dados!$A:$A,INDEX($D:$E,MATCH("Y",$D:$D,0),2))/COUNTIFS(Dados!$E:$E,$B43,Dados!$C:$C,INDEX(U$3,1,1),Dados!$A:$A,INDEX($D:$E,MATCH("Y",$D:$D,0),2)))</f>
        <v/>
      </c>
      <c r="V43" s="66" t="str">
        <f>IF(COUNTIFS(Dados!$E:$E,$B43,Dados!$C:$C,INDEX(V$3,1,1),Dados!$A:$A,INDEX($D:$E,MATCH("Y",$D:$D,0),2))=0,"",SUMIFS(Dados!$G:$G,Dados!$E:$E,$B43,Dados!$C:$C,INDEX(V$3,1,1),Dados!$A:$A,INDEX($D:$E,MATCH("Y",$D:$D,0),2))/COUNTIFS(Dados!$E:$E,$B43,Dados!$C:$C,INDEX(V$3,1,1),Dados!$A:$A,INDEX($D:$E,MATCH("Y",$D:$D,0),2)))</f>
        <v/>
      </c>
    </row>
    <row r="44" spans="2:22" x14ac:dyDescent="0.25">
      <c r="B44" s="63" t="s">
        <v>983</v>
      </c>
      <c r="C44" s="63"/>
      <c r="D44" s="63" t="s">
        <v>977</v>
      </c>
      <c r="E44" s="73">
        <v>3</v>
      </c>
    </row>
    <row r="45" spans="2:22" x14ac:dyDescent="0.25">
      <c r="B45" s="69" t="s">
        <v>974</v>
      </c>
      <c r="C45" s="70" t="s">
        <v>1291</v>
      </c>
      <c r="D45" s="61">
        <v>1978</v>
      </c>
      <c r="E45" s="61">
        <v>1982</v>
      </c>
      <c r="F45" s="61">
        <v>1991</v>
      </c>
      <c r="G45" s="61">
        <v>1996</v>
      </c>
      <c r="H45" s="61">
        <v>1997</v>
      </c>
      <c r="I45" s="61">
        <v>1998</v>
      </c>
      <c r="J45" s="61">
        <v>1999</v>
      </c>
      <c r="K45" s="61">
        <v>2000</v>
      </c>
      <c r="L45" s="61">
        <v>2001</v>
      </c>
      <c r="M45" s="61">
        <v>2002</v>
      </c>
      <c r="N45" s="61">
        <v>2003</v>
      </c>
      <c r="O45" s="61">
        <v>2004</v>
      </c>
      <c r="P45" s="61">
        <v>2005</v>
      </c>
      <c r="Q45" s="61">
        <v>2006</v>
      </c>
      <c r="R45" s="61">
        <v>2007</v>
      </c>
      <c r="S45" s="61">
        <v>2008</v>
      </c>
      <c r="T45" s="61">
        <v>2010</v>
      </c>
      <c r="U45" s="61">
        <v>2011</v>
      </c>
      <c r="V45" s="61">
        <v>2012</v>
      </c>
    </row>
    <row r="46" spans="2:22" x14ac:dyDescent="0.25">
      <c r="B46" s="67" t="s">
        <v>107</v>
      </c>
      <c r="C46" s="71">
        <f>VLOOKUP(B46,B4:C22,2,0)</f>
        <v>1</v>
      </c>
      <c r="D46" s="68" t="str">
        <f>IF(COUNTIFS(Dados!$E:$E,$B46,Dados!$C:$C,INDEX(D$3,1,1),Dados!$A:$A,INDEX($D:$E,MATCH("A",$D:$D,0),2))=0,"",SUMIFS(Dados!$G:$G,Dados!$E:$E,$B46,Dados!$C:$C,INDEX(D$3,1,1),Dados!$A:$A,INDEX($D:$E,MATCH("A",$D:$D,0),2))/COUNTIFS(Dados!$E:$E,$B46,Dados!$C:$C,INDEX(D$3,1,1),Dados!$A:$A,INDEX($D:$E,MATCH("A",$D:$D,0),2)))</f>
        <v/>
      </c>
      <c r="E46" s="68" t="str">
        <f>IF(COUNTIFS(Dados!$E:$E,$B46,Dados!$C:$C,INDEX(E$3,1,1),Dados!$A:$A,INDEX($D:$E,MATCH("A",$D:$D,0),2))=0,"",SUMIFS(Dados!$G:$G,Dados!$E:$E,$B46,Dados!$C:$C,INDEX(E$3,1,1),Dados!$A:$A,INDEX($D:$E,MATCH("A",$D:$D,0),2))/COUNTIFS(Dados!$E:$E,$B46,Dados!$C:$C,INDEX(E$3,1,1),Dados!$A:$A,INDEX($D:$E,MATCH("A",$D:$D,0),2)))</f>
        <v/>
      </c>
      <c r="F46" s="68" t="str">
        <f>IF(COUNTIFS(Dados!$E:$E,$B46,Dados!$C:$C,INDEX(F$3,1,1),Dados!$A:$A,INDEX($D:$E,MATCH("A",$D:$D,0),2))=0,"",SUMIFS(Dados!$G:$G,Dados!$E:$E,$B46,Dados!$C:$C,INDEX(F$3,1,1),Dados!$A:$A,INDEX($D:$E,MATCH("A",$D:$D,0),2))/COUNTIFS(Dados!$E:$E,$B46,Dados!$C:$C,INDEX(F$3,1,1),Dados!$A:$A,INDEX($D:$E,MATCH("A",$D:$D,0),2)))</f>
        <v/>
      </c>
      <c r="G46" s="68" t="str">
        <f>IF(COUNTIFS(Dados!$E:$E,$B46,Dados!$C:$C,INDEX(G$3,1,1),Dados!$A:$A,INDEX($D:$E,MATCH("A",$D:$D,0),2))=0,"",SUMIFS(Dados!$G:$G,Dados!$E:$E,$B46,Dados!$C:$C,INDEX(G$3,1,1),Dados!$A:$A,INDEX($D:$E,MATCH("A",$D:$D,0),2))/COUNTIFS(Dados!$E:$E,$B46,Dados!$C:$C,INDEX(G$3,1,1),Dados!$A:$A,INDEX($D:$E,MATCH("A",$D:$D,0),2)))</f>
        <v/>
      </c>
      <c r="H46" s="68" t="str">
        <f>IF(COUNTIFS(Dados!$E:$E,$B46,Dados!$C:$C,INDEX(H$3,1,1),Dados!$A:$A,INDEX($D:$E,MATCH("A",$D:$D,0),2))=0,"",SUMIFS(Dados!$G:$G,Dados!$E:$E,$B46,Dados!$C:$C,INDEX(H$3,1,1),Dados!$A:$A,INDEX($D:$E,MATCH("A",$D:$D,0),2))/COUNTIFS(Dados!$E:$E,$B46,Dados!$C:$C,INDEX(H$3,1,1),Dados!$A:$A,INDEX($D:$E,MATCH("A",$D:$D,0),2)))</f>
        <v/>
      </c>
      <c r="I46" s="68" t="str">
        <f>IF(COUNTIFS(Dados!$E:$E,$B46,Dados!$C:$C,INDEX(I$3,1,1),Dados!$A:$A,INDEX($D:$E,MATCH("A",$D:$D,0),2))=0,"",SUMIFS(Dados!$G:$G,Dados!$E:$E,$B46,Dados!$C:$C,INDEX(I$3,1,1),Dados!$A:$A,INDEX($D:$E,MATCH("A",$D:$D,0),2))/COUNTIFS(Dados!$E:$E,$B46,Dados!$C:$C,INDEX(I$3,1,1),Dados!$A:$A,INDEX($D:$E,MATCH("A",$D:$D,0),2)))</f>
        <v/>
      </c>
      <c r="J46" s="68" t="str">
        <f>IF(COUNTIFS(Dados!$E:$E,$B46,Dados!$C:$C,INDEX(J$3,1,1),Dados!$A:$A,INDEX($D:$E,MATCH("A",$D:$D,0),2))=0,"",SUMIFS(Dados!$G:$G,Dados!$E:$E,$B46,Dados!$C:$C,INDEX(J$3,1,1),Dados!$A:$A,INDEX($D:$E,MATCH("A",$D:$D,0),2))/COUNTIFS(Dados!$E:$E,$B46,Dados!$C:$C,INDEX(J$3,1,1),Dados!$A:$A,INDEX($D:$E,MATCH("A",$D:$D,0),2)))</f>
        <v/>
      </c>
      <c r="K46" s="68" t="str">
        <f>IF(COUNTIFS(Dados!$E:$E,$B46,Dados!$C:$C,INDEX(K$3,1,1),Dados!$A:$A,INDEX($D:$E,MATCH("A",$D:$D,0),2))=0,"",SUMIFS(Dados!$G:$G,Dados!$E:$E,$B46,Dados!$C:$C,INDEX(K$3,1,1),Dados!$A:$A,INDEX($D:$E,MATCH("A",$D:$D,0),2))/COUNTIFS(Dados!$E:$E,$B46,Dados!$C:$C,INDEX(K$3,1,1),Dados!$A:$A,INDEX($D:$E,MATCH("A",$D:$D,0),2)))</f>
        <v/>
      </c>
      <c r="L46" s="68">
        <f>IF(COUNTIFS(Dados!$E:$E,$B46,Dados!$C:$C,INDEX(L$3,1,1),Dados!$A:$A,INDEX($D:$E,MATCH("A",$D:$D,0),2))=0,"",SUMIFS(Dados!$G:$G,Dados!$E:$E,$B46,Dados!$C:$C,INDEX(L$3,1,1),Dados!$A:$A,INDEX($D:$E,MATCH("A",$D:$D,0),2))/COUNTIFS(Dados!$E:$E,$B46,Dados!$C:$C,INDEX(L$3,1,1),Dados!$A:$A,INDEX($D:$E,MATCH("A",$D:$D,0),2)))</f>
        <v>0.78388280755533046</v>
      </c>
      <c r="M46" s="68">
        <f>IF(COUNTIFS(Dados!$E:$E,$B46,Dados!$C:$C,INDEX(M$3,1,1),Dados!$A:$A,INDEX($D:$E,MATCH("A",$D:$D,0),2))=0,"",SUMIFS(Dados!$G:$G,Dados!$E:$E,$B46,Dados!$C:$C,INDEX(M$3,1,1),Dados!$A:$A,INDEX($D:$E,MATCH("A",$D:$D,0),2))/COUNTIFS(Dados!$E:$E,$B46,Dados!$C:$C,INDEX(M$3,1,1),Dados!$A:$A,INDEX($D:$E,MATCH("A",$D:$D,0),2)))</f>
        <v>0.75904341518181506</v>
      </c>
      <c r="N46" s="68" t="str">
        <f>IF(COUNTIFS(Dados!$E:$E,$B46,Dados!$C:$C,INDEX(N$3,1,1),Dados!$A:$A,INDEX($D:$E,MATCH("A",$D:$D,0),2))=0,"",SUMIFS(Dados!$G:$G,Dados!$E:$E,$B46,Dados!$C:$C,INDEX(N$3,1,1),Dados!$A:$A,INDEX($D:$E,MATCH("A",$D:$D,0),2))/COUNTIFS(Dados!$E:$E,$B46,Dados!$C:$C,INDEX(N$3,1,1),Dados!$A:$A,INDEX($D:$E,MATCH("A",$D:$D,0),2)))</f>
        <v/>
      </c>
      <c r="O46" s="68" t="str">
        <f>IF(COUNTIFS(Dados!$E:$E,$B46,Dados!$C:$C,INDEX(O$3,1,1),Dados!$A:$A,INDEX($D:$E,MATCH("A",$D:$D,0),2))=0,"",SUMIFS(Dados!$G:$G,Dados!$E:$E,$B46,Dados!$C:$C,INDEX(O$3,1,1),Dados!$A:$A,INDEX($D:$E,MATCH("A",$D:$D,0),2))/COUNTIFS(Dados!$E:$E,$B46,Dados!$C:$C,INDEX(O$3,1,1),Dados!$A:$A,INDEX($D:$E,MATCH("A",$D:$D,0),2)))</f>
        <v/>
      </c>
      <c r="P46" s="68" t="str">
        <f>IF(COUNTIFS(Dados!$E:$E,$B46,Dados!$C:$C,INDEX(P$3,1,1),Dados!$A:$A,INDEX($D:$E,MATCH("A",$D:$D,0),2))=0,"",SUMIFS(Dados!$G:$G,Dados!$E:$E,$B46,Dados!$C:$C,INDEX(P$3,1,1),Dados!$A:$A,INDEX($D:$E,MATCH("A",$D:$D,0),2))/COUNTIFS(Dados!$E:$E,$B46,Dados!$C:$C,INDEX(P$3,1,1),Dados!$A:$A,INDEX($D:$E,MATCH("A",$D:$D,0),2)))</f>
        <v/>
      </c>
      <c r="Q46" s="68" t="str">
        <f>IF(COUNTIFS(Dados!$E:$E,$B46,Dados!$C:$C,INDEX(Q$3,1,1),Dados!$A:$A,INDEX($D:$E,MATCH("A",$D:$D,0),2))=0,"",SUMIFS(Dados!$G:$G,Dados!$E:$E,$B46,Dados!$C:$C,INDEX(Q$3,1,1),Dados!$A:$A,INDEX($D:$E,MATCH("A",$D:$D,0),2))/COUNTIFS(Dados!$E:$E,$B46,Dados!$C:$C,INDEX(Q$3,1,1),Dados!$A:$A,INDEX($D:$E,MATCH("A",$D:$D,0),2)))</f>
        <v/>
      </c>
      <c r="R46" s="68" t="str">
        <f>IF(COUNTIFS(Dados!$E:$E,$B46,Dados!$C:$C,INDEX(R$3,1,1),Dados!$A:$A,INDEX($D:$E,MATCH("A",$D:$D,0),2))=0,"",SUMIFS(Dados!$G:$G,Dados!$E:$E,$B46,Dados!$C:$C,INDEX(R$3,1,1),Dados!$A:$A,INDEX($D:$E,MATCH("A",$D:$D,0),2))/COUNTIFS(Dados!$E:$E,$B46,Dados!$C:$C,INDEX(R$3,1,1),Dados!$A:$A,INDEX($D:$E,MATCH("A",$D:$D,0),2)))</f>
        <v/>
      </c>
      <c r="S46" s="68" t="str">
        <f>IF(COUNTIFS(Dados!$E:$E,$B46,Dados!$C:$C,INDEX(S$3,1,1),Dados!$A:$A,INDEX($D:$E,MATCH("A",$D:$D,0),2))=0,"",SUMIFS(Dados!$G:$G,Dados!$E:$E,$B46,Dados!$C:$C,INDEX(S$3,1,1),Dados!$A:$A,INDEX($D:$E,MATCH("A",$D:$D,0),2))/COUNTIFS(Dados!$E:$E,$B46,Dados!$C:$C,INDEX(S$3,1,1),Dados!$A:$A,INDEX($D:$E,MATCH("A",$D:$D,0),2)))</f>
        <v/>
      </c>
      <c r="T46" s="68" t="str">
        <f>IF(COUNTIFS(Dados!$E:$E,$B46,Dados!$C:$C,INDEX(T$3,1,1),Dados!$A:$A,INDEX($D:$E,MATCH("A",$D:$D,0),2))=0,"",SUMIFS(Dados!$G:$G,Dados!$E:$E,$B46,Dados!$C:$C,INDEX(T$3,1,1),Dados!$A:$A,INDEX($D:$E,MATCH("A",$D:$D,0),2))/COUNTIFS(Dados!$E:$E,$B46,Dados!$C:$C,INDEX(T$3,1,1),Dados!$A:$A,INDEX($D:$E,MATCH("A",$D:$D,0),2)))</f>
        <v/>
      </c>
      <c r="U46" s="68" t="str">
        <f>IF(COUNTIFS(Dados!$E:$E,$B46,Dados!$C:$C,INDEX(U$3,1,1),Dados!$A:$A,INDEX($D:$E,MATCH("A",$D:$D,0),2))=0,"",SUMIFS(Dados!$G:$G,Dados!$E:$E,$B46,Dados!$C:$C,INDEX(U$3,1,1),Dados!$A:$A,INDEX($D:$E,MATCH("A",$D:$D,0),2))/COUNTIFS(Dados!$E:$E,$B46,Dados!$C:$C,INDEX(U$3,1,1),Dados!$A:$A,INDEX($D:$E,MATCH("A",$D:$D,0),2)))</f>
        <v/>
      </c>
      <c r="V46" s="68" t="str">
        <f>IF(COUNTIFS(Dados!$E:$E,$B46,Dados!$C:$C,INDEX(V$3,1,1),Dados!$A:$A,INDEX($D:$E,MATCH("A",$D:$D,0),2))=0,"",SUMIFS(Dados!$G:$G,Dados!$E:$E,$B46,Dados!$C:$C,INDEX(V$3,1,1),Dados!$A:$A,INDEX($D:$E,MATCH("A",$D:$D,0),2))/COUNTIFS(Dados!$E:$E,$B46,Dados!$C:$C,INDEX(V$3,1,1),Dados!$A:$A,INDEX($D:$E,MATCH("A",$D:$D,0),2)))</f>
        <v/>
      </c>
    </row>
    <row r="47" spans="2:22" x14ac:dyDescent="0.25">
      <c r="B47" s="65" t="s">
        <v>96</v>
      </c>
      <c r="C47" s="72">
        <f>VLOOKUP(B47,B4:C22,2,0)</f>
        <v>2</v>
      </c>
      <c r="D47" s="66" t="str">
        <f>IF(COUNTIFS(Dados!$E:$E,$B47,Dados!$C:$C,INDEX(D$3,1,1),Dados!$A:$A,INDEX($D:$E,MATCH("A",$D:$D,0),2))=0,"",SUMIFS(Dados!$G:$G,Dados!$E:$E,$B47,Dados!$C:$C,INDEX(D$3,1,1),Dados!$A:$A,INDEX($D:$E,MATCH("A",$D:$D,0),2))/COUNTIFS(Dados!$E:$E,$B47,Dados!$C:$C,INDEX(D$3,1,1),Dados!$A:$A,INDEX($D:$E,MATCH("A",$D:$D,0),2)))</f>
        <v/>
      </c>
      <c r="E47" s="66" t="str">
        <f>IF(COUNTIFS(Dados!$E:$E,$B47,Dados!$C:$C,INDEX(E$3,1,1),Dados!$A:$A,INDEX($D:$E,MATCH("A",$D:$D,0),2))=0,"",SUMIFS(Dados!$G:$G,Dados!$E:$E,$B47,Dados!$C:$C,INDEX(E$3,1,1),Dados!$A:$A,INDEX($D:$E,MATCH("A",$D:$D,0),2))/COUNTIFS(Dados!$E:$E,$B47,Dados!$C:$C,INDEX(E$3,1,1),Dados!$A:$A,INDEX($D:$E,MATCH("A",$D:$D,0),2)))</f>
        <v/>
      </c>
      <c r="F47" s="66" t="str">
        <f>IF(COUNTIFS(Dados!$E:$E,$B47,Dados!$C:$C,INDEX(F$3,1,1),Dados!$A:$A,INDEX($D:$E,MATCH("A",$D:$D,0),2))=0,"",SUMIFS(Dados!$G:$G,Dados!$E:$E,$B47,Dados!$C:$C,INDEX(F$3,1,1),Dados!$A:$A,INDEX($D:$E,MATCH("A",$D:$D,0),2))/COUNTIFS(Dados!$E:$E,$B47,Dados!$C:$C,INDEX(F$3,1,1),Dados!$A:$A,INDEX($D:$E,MATCH("A",$D:$D,0),2)))</f>
        <v/>
      </c>
      <c r="G47" s="66" t="str">
        <f>IF(COUNTIFS(Dados!$E:$E,$B47,Dados!$C:$C,INDEX(G$3,1,1),Dados!$A:$A,INDEX($D:$E,MATCH("A",$D:$D,0),2))=0,"",SUMIFS(Dados!$G:$G,Dados!$E:$E,$B47,Dados!$C:$C,INDEX(G$3,1,1),Dados!$A:$A,INDEX($D:$E,MATCH("A",$D:$D,0),2))/COUNTIFS(Dados!$E:$E,$B47,Dados!$C:$C,INDEX(G$3,1,1),Dados!$A:$A,INDEX($D:$E,MATCH("A",$D:$D,0),2)))</f>
        <v/>
      </c>
      <c r="H47" s="66" t="str">
        <f>IF(COUNTIFS(Dados!$E:$E,$B47,Dados!$C:$C,INDEX(H$3,1,1),Dados!$A:$A,INDEX($D:$E,MATCH("A",$D:$D,0),2))=0,"",SUMIFS(Dados!$G:$G,Dados!$E:$E,$B47,Dados!$C:$C,INDEX(H$3,1,1),Dados!$A:$A,INDEX($D:$E,MATCH("A",$D:$D,0),2))/COUNTIFS(Dados!$E:$E,$B47,Dados!$C:$C,INDEX(H$3,1,1),Dados!$A:$A,INDEX($D:$E,MATCH("A",$D:$D,0),2)))</f>
        <v/>
      </c>
      <c r="I47" s="66" t="str">
        <f>IF(COUNTIFS(Dados!$E:$E,$B47,Dados!$C:$C,INDEX(I$3,1,1),Dados!$A:$A,INDEX($D:$E,MATCH("A",$D:$D,0),2))=0,"",SUMIFS(Dados!$G:$G,Dados!$E:$E,$B47,Dados!$C:$C,INDEX(I$3,1,1),Dados!$A:$A,INDEX($D:$E,MATCH("A",$D:$D,0),2))/COUNTIFS(Dados!$E:$E,$B47,Dados!$C:$C,INDEX(I$3,1,1),Dados!$A:$A,INDEX($D:$E,MATCH("A",$D:$D,0),2)))</f>
        <v/>
      </c>
      <c r="J47" s="66" t="str">
        <f>IF(COUNTIFS(Dados!$E:$E,$B47,Dados!$C:$C,INDEX(J$3,1,1),Dados!$A:$A,INDEX($D:$E,MATCH("A",$D:$D,0),2))=0,"",SUMIFS(Dados!$G:$G,Dados!$E:$E,$B47,Dados!$C:$C,INDEX(J$3,1,1),Dados!$A:$A,INDEX($D:$E,MATCH("A",$D:$D,0),2))/COUNTIFS(Dados!$E:$E,$B47,Dados!$C:$C,INDEX(J$3,1,1),Dados!$A:$A,INDEX($D:$E,MATCH("A",$D:$D,0),2)))</f>
        <v/>
      </c>
      <c r="K47" s="66" t="str">
        <f>IF(COUNTIFS(Dados!$E:$E,$B47,Dados!$C:$C,INDEX(K$3,1,1),Dados!$A:$A,INDEX($D:$E,MATCH("A",$D:$D,0),2))=0,"",SUMIFS(Dados!$G:$G,Dados!$E:$E,$B47,Dados!$C:$C,INDEX(K$3,1,1),Dados!$A:$A,INDEX($D:$E,MATCH("A",$D:$D,0),2))/COUNTIFS(Dados!$E:$E,$B47,Dados!$C:$C,INDEX(K$3,1,1),Dados!$A:$A,INDEX($D:$E,MATCH("A",$D:$D,0),2)))</f>
        <v/>
      </c>
      <c r="L47" s="66" t="str">
        <f>IF(COUNTIFS(Dados!$E:$E,$B47,Dados!$C:$C,INDEX(L$3,1,1),Dados!$A:$A,INDEX($D:$E,MATCH("A",$D:$D,0),2))=0,"",SUMIFS(Dados!$G:$G,Dados!$E:$E,$B47,Dados!$C:$C,INDEX(L$3,1,1),Dados!$A:$A,INDEX($D:$E,MATCH("A",$D:$D,0),2))/COUNTIFS(Dados!$E:$E,$B47,Dados!$C:$C,INDEX(L$3,1,1),Dados!$A:$A,INDEX($D:$E,MATCH("A",$D:$D,0),2)))</f>
        <v/>
      </c>
      <c r="M47" s="66" t="str">
        <f>IF(COUNTIFS(Dados!$E:$E,$B47,Dados!$C:$C,INDEX(M$3,1,1),Dados!$A:$A,INDEX($D:$E,MATCH("A",$D:$D,0),2))=0,"",SUMIFS(Dados!$G:$G,Dados!$E:$E,$B47,Dados!$C:$C,INDEX(M$3,1,1),Dados!$A:$A,INDEX($D:$E,MATCH("A",$D:$D,0),2))/COUNTIFS(Dados!$E:$E,$B47,Dados!$C:$C,INDEX(M$3,1,1),Dados!$A:$A,INDEX($D:$E,MATCH("A",$D:$D,0),2)))</f>
        <v/>
      </c>
      <c r="N47" s="66" t="str">
        <f>IF(COUNTIFS(Dados!$E:$E,$B47,Dados!$C:$C,INDEX(N$3,1,1),Dados!$A:$A,INDEX($D:$E,MATCH("A",$D:$D,0),2))=0,"",SUMIFS(Dados!$G:$G,Dados!$E:$E,$B47,Dados!$C:$C,INDEX(N$3,1,1),Dados!$A:$A,INDEX($D:$E,MATCH("A",$D:$D,0),2))/COUNTIFS(Dados!$E:$E,$B47,Dados!$C:$C,INDEX(N$3,1,1),Dados!$A:$A,INDEX($D:$E,MATCH("A",$D:$D,0),2)))</f>
        <v/>
      </c>
      <c r="O47" s="66" t="str">
        <f>IF(COUNTIFS(Dados!$E:$E,$B47,Dados!$C:$C,INDEX(O$3,1,1),Dados!$A:$A,INDEX($D:$E,MATCH("A",$D:$D,0),2))=0,"",SUMIFS(Dados!$G:$G,Dados!$E:$E,$B47,Dados!$C:$C,INDEX(O$3,1,1),Dados!$A:$A,INDEX($D:$E,MATCH("A",$D:$D,0),2))/COUNTIFS(Dados!$E:$E,$B47,Dados!$C:$C,INDEX(O$3,1,1),Dados!$A:$A,INDEX($D:$E,MATCH("A",$D:$D,0),2)))</f>
        <v/>
      </c>
      <c r="P47" s="66">
        <f>IF(COUNTIFS(Dados!$E:$E,$B47,Dados!$C:$C,INDEX(P$3,1,1),Dados!$A:$A,INDEX($D:$E,MATCH("A",$D:$D,0),2))=0,"",SUMIFS(Dados!$G:$G,Dados!$E:$E,$B47,Dados!$C:$C,INDEX(P$3,1,1),Dados!$A:$A,INDEX($D:$E,MATCH("A",$D:$D,0),2))/COUNTIFS(Dados!$E:$E,$B47,Dados!$C:$C,INDEX(P$3,1,1),Dados!$A:$A,INDEX($D:$E,MATCH("A",$D:$D,0),2)))</f>
        <v>0.85222794038844818</v>
      </c>
      <c r="Q47" s="66" t="str">
        <f>IF(COUNTIFS(Dados!$E:$E,$B47,Dados!$C:$C,INDEX(Q$3,1,1),Dados!$A:$A,INDEX($D:$E,MATCH("A",$D:$D,0),2))=0,"",SUMIFS(Dados!$G:$G,Dados!$E:$E,$B47,Dados!$C:$C,INDEX(Q$3,1,1),Dados!$A:$A,INDEX($D:$E,MATCH("A",$D:$D,0),2))/COUNTIFS(Dados!$E:$E,$B47,Dados!$C:$C,INDEX(Q$3,1,1),Dados!$A:$A,INDEX($D:$E,MATCH("A",$D:$D,0),2)))</f>
        <v/>
      </c>
      <c r="R47" s="66">
        <f>IF(COUNTIFS(Dados!$E:$E,$B47,Dados!$C:$C,INDEX(R$3,1,1),Dados!$A:$A,INDEX($D:$E,MATCH("A",$D:$D,0),2))=0,"",SUMIFS(Dados!$G:$G,Dados!$E:$E,$B47,Dados!$C:$C,INDEX(R$3,1,1),Dados!$A:$A,INDEX($D:$E,MATCH("A",$D:$D,0),2))/COUNTIFS(Dados!$E:$E,$B47,Dados!$C:$C,INDEX(R$3,1,1),Dados!$A:$A,INDEX($D:$E,MATCH("A",$D:$D,0),2)))</f>
        <v>0.83892997222715215</v>
      </c>
      <c r="S47" s="66" t="str">
        <f>IF(COUNTIFS(Dados!$E:$E,$B47,Dados!$C:$C,INDEX(S$3,1,1),Dados!$A:$A,INDEX($D:$E,MATCH("A",$D:$D,0),2))=0,"",SUMIFS(Dados!$G:$G,Dados!$E:$E,$B47,Dados!$C:$C,INDEX(S$3,1,1),Dados!$A:$A,INDEX($D:$E,MATCH("A",$D:$D,0),2))/COUNTIFS(Dados!$E:$E,$B47,Dados!$C:$C,INDEX(S$3,1,1),Dados!$A:$A,INDEX($D:$E,MATCH("A",$D:$D,0),2)))</f>
        <v/>
      </c>
      <c r="T47" s="66" t="str">
        <f>IF(COUNTIFS(Dados!$E:$E,$B47,Dados!$C:$C,INDEX(T$3,1,1),Dados!$A:$A,INDEX($D:$E,MATCH("A",$D:$D,0),2))=0,"",SUMIFS(Dados!$G:$G,Dados!$E:$E,$B47,Dados!$C:$C,INDEX(T$3,1,1),Dados!$A:$A,INDEX($D:$E,MATCH("A",$D:$D,0),2))/COUNTIFS(Dados!$E:$E,$B47,Dados!$C:$C,INDEX(T$3,1,1),Dados!$A:$A,INDEX($D:$E,MATCH("A",$D:$D,0),2)))</f>
        <v/>
      </c>
      <c r="U47" s="66" t="str">
        <f>IF(COUNTIFS(Dados!$E:$E,$B47,Dados!$C:$C,INDEX(U$3,1,1),Dados!$A:$A,INDEX($D:$E,MATCH("A",$D:$D,0),2))=0,"",SUMIFS(Dados!$G:$G,Dados!$E:$E,$B47,Dados!$C:$C,INDEX(U$3,1,1),Dados!$A:$A,INDEX($D:$E,MATCH("A",$D:$D,0),2))/COUNTIFS(Dados!$E:$E,$B47,Dados!$C:$C,INDEX(U$3,1,1),Dados!$A:$A,INDEX($D:$E,MATCH("A",$D:$D,0),2)))</f>
        <v/>
      </c>
      <c r="V47" s="66" t="str">
        <f>IF(COUNTIFS(Dados!$E:$E,$B47,Dados!$C:$C,INDEX(V$3,1,1),Dados!$A:$A,INDEX($D:$E,MATCH("A",$D:$D,0),2))=0,"",SUMIFS(Dados!$G:$G,Dados!$E:$E,$B47,Dados!$C:$C,INDEX(V$3,1,1),Dados!$A:$A,INDEX($D:$E,MATCH("A",$D:$D,0),2))/COUNTIFS(Dados!$E:$E,$B47,Dados!$C:$C,INDEX(V$3,1,1),Dados!$A:$A,INDEX($D:$E,MATCH("A",$D:$D,0),2)))</f>
        <v/>
      </c>
    </row>
    <row r="48" spans="2:22" x14ac:dyDescent="0.25">
      <c r="B48" s="67" t="s">
        <v>1297</v>
      </c>
      <c r="C48" s="71">
        <f>VLOOKUP(B48,B4:C22,2,0)</f>
        <v>3</v>
      </c>
      <c r="D48" s="68" t="str">
        <f>IF(COUNTIFS(Dados!$E:$E,$B48,Dados!$C:$C,INDEX(D$3,1,1),Dados!$A:$A,INDEX($D:$E,MATCH("A",$D:$D,0),2))=0,"",SUMIFS(Dados!$G:$G,Dados!$E:$E,$B48,Dados!$C:$C,INDEX(D$3,1,1),Dados!$A:$A,INDEX($D:$E,MATCH("A",$D:$D,0),2))/COUNTIFS(Dados!$E:$E,$B48,Dados!$C:$C,INDEX(D$3,1,1),Dados!$A:$A,INDEX($D:$E,MATCH("A",$D:$D,0),2)))</f>
        <v/>
      </c>
      <c r="E48" s="68" t="str">
        <f>IF(COUNTIFS(Dados!$E:$E,$B48,Dados!$C:$C,INDEX(E$3,1,1),Dados!$A:$A,INDEX($D:$E,MATCH("A",$D:$D,0),2))=0,"",SUMIFS(Dados!$G:$G,Dados!$E:$E,$B48,Dados!$C:$C,INDEX(E$3,1,1),Dados!$A:$A,INDEX($D:$E,MATCH("A",$D:$D,0),2))/COUNTIFS(Dados!$E:$E,$B48,Dados!$C:$C,INDEX(E$3,1,1),Dados!$A:$A,INDEX($D:$E,MATCH("A",$D:$D,0),2)))</f>
        <v/>
      </c>
      <c r="F48" s="68" t="str">
        <f>IF(COUNTIFS(Dados!$E:$E,$B48,Dados!$C:$C,INDEX(F$3,1,1),Dados!$A:$A,INDEX($D:$E,MATCH("A",$D:$D,0),2))=0,"",SUMIFS(Dados!$G:$G,Dados!$E:$E,$B48,Dados!$C:$C,INDEX(F$3,1,1),Dados!$A:$A,INDEX($D:$E,MATCH("A",$D:$D,0),2))/COUNTIFS(Dados!$E:$E,$B48,Dados!$C:$C,INDEX(F$3,1,1),Dados!$A:$A,INDEX($D:$E,MATCH("A",$D:$D,0),2)))</f>
        <v/>
      </c>
      <c r="G48" s="68" t="str">
        <f>IF(COUNTIFS(Dados!$E:$E,$B48,Dados!$C:$C,INDEX(G$3,1,1),Dados!$A:$A,INDEX($D:$E,MATCH("A",$D:$D,0),2))=0,"",SUMIFS(Dados!$G:$G,Dados!$E:$E,$B48,Dados!$C:$C,INDEX(G$3,1,1),Dados!$A:$A,INDEX($D:$E,MATCH("A",$D:$D,0),2))/COUNTIFS(Dados!$E:$E,$B48,Dados!$C:$C,INDEX(G$3,1,1),Dados!$A:$A,INDEX($D:$E,MATCH("A",$D:$D,0),2)))</f>
        <v/>
      </c>
      <c r="H48" s="68" t="str">
        <f>IF(COUNTIFS(Dados!$E:$E,$B48,Dados!$C:$C,INDEX(H$3,1,1),Dados!$A:$A,INDEX($D:$E,MATCH("A",$D:$D,0),2))=0,"",SUMIFS(Dados!$G:$G,Dados!$E:$E,$B48,Dados!$C:$C,INDEX(H$3,1,1),Dados!$A:$A,INDEX($D:$E,MATCH("A",$D:$D,0),2))/COUNTIFS(Dados!$E:$E,$B48,Dados!$C:$C,INDEX(H$3,1,1),Dados!$A:$A,INDEX($D:$E,MATCH("A",$D:$D,0),2)))</f>
        <v/>
      </c>
      <c r="I48" s="68" t="str">
        <f>IF(COUNTIFS(Dados!$E:$E,$B48,Dados!$C:$C,INDEX(I$3,1,1),Dados!$A:$A,INDEX($D:$E,MATCH("A",$D:$D,0),2))=0,"",SUMIFS(Dados!$G:$G,Dados!$E:$E,$B48,Dados!$C:$C,INDEX(I$3,1,1),Dados!$A:$A,INDEX($D:$E,MATCH("A",$D:$D,0),2))/COUNTIFS(Dados!$E:$E,$B48,Dados!$C:$C,INDEX(I$3,1,1),Dados!$A:$A,INDEX($D:$E,MATCH("A",$D:$D,0),2)))</f>
        <v/>
      </c>
      <c r="J48" s="68" t="str">
        <f>IF(COUNTIFS(Dados!$E:$E,$B48,Dados!$C:$C,INDEX(J$3,1,1),Dados!$A:$A,INDEX($D:$E,MATCH("A",$D:$D,0),2))=0,"",SUMIFS(Dados!$G:$G,Dados!$E:$E,$B48,Dados!$C:$C,INDEX(J$3,1,1),Dados!$A:$A,INDEX($D:$E,MATCH("A",$D:$D,0),2))/COUNTIFS(Dados!$E:$E,$B48,Dados!$C:$C,INDEX(J$3,1,1),Dados!$A:$A,INDEX($D:$E,MATCH("A",$D:$D,0),2)))</f>
        <v/>
      </c>
      <c r="K48" s="68" t="str">
        <f>IF(COUNTIFS(Dados!$E:$E,$B48,Dados!$C:$C,INDEX(K$3,1,1),Dados!$A:$A,INDEX($D:$E,MATCH("A",$D:$D,0),2))=0,"",SUMIFS(Dados!$G:$G,Dados!$E:$E,$B48,Dados!$C:$C,INDEX(K$3,1,1),Dados!$A:$A,INDEX($D:$E,MATCH("A",$D:$D,0),2))/COUNTIFS(Dados!$E:$E,$B48,Dados!$C:$C,INDEX(K$3,1,1),Dados!$A:$A,INDEX($D:$E,MATCH("A",$D:$D,0),2)))</f>
        <v/>
      </c>
      <c r="L48" s="68" t="str">
        <f>IF(COUNTIFS(Dados!$E:$E,$B48,Dados!$C:$C,INDEX(L$3,1,1),Dados!$A:$A,INDEX($D:$E,MATCH("A",$D:$D,0),2))=0,"",SUMIFS(Dados!$G:$G,Dados!$E:$E,$B48,Dados!$C:$C,INDEX(L$3,1,1),Dados!$A:$A,INDEX($D:$E,MATCH("A",$D:$D,0),2))/COUNTIFS(Dados!$E:$E,$B48,Dados!$C:$C,INDEX(L$3,1,1),Dados!$A:$A,INDEX($D:$E,MATCH("A",$D:$D,0),2)))</f>
        <v/>
      </c>
      <c r="M48" s="68" t="str">
        <f>IF(COUNTIFS(Dados!$E:$E,$B48,Dados!$C:$C,INDEX(M$3,1,1),Dados!$A:$A,INDEX($D:$E,MATCH("A",$D:$D,0),2))=0,"",SUMIFS(Dados!$G:$G,Dados!$E:$E,$B48,Dados!$C:$C,INDEX(M$3,1,1),Dados!$A:$A,INDEX($D:$E,MATCH("A",$D:$D,0),2))/COUNTIFS(Dados!$E:$E,$B48,Dados!$C:$C,INDEX(M$3,1,1),Dados!$A:$A,INDEX($D:$E,MATCH("A",$D:$D,0),2)))</f>
        <v/>
      </c>
      <c r="N48" s="68" t="str">
        <f>IF(COUNTIFS(Dados!$E:$E,$B48,Dados!$C:$C,INDEX(N$3,1,1),Dados!$A:$A,INDEX($D:$E,MATCH("A",$D:$D,0),2))=0,"",SUMIFS(Dados!$G:$G,Dados!$E:$E,$B48,Dados!$C:$C,INDEX(N$3,1,1),Dados!$A:$A,INDEX($D:$E,MATCH("A",$D:$D,0),2))/COUNTIFS(Dados!$E:$E,$B48,Dados!$C:$C,INDEX(N$3,1,1),Dados!$A:$A,INDEX($D:$E,MATCH("A",$D:$D,0),2)))</f>
        <v/>
      </c>
      <c r="O48" s="68" t="str">
        <f>IF(COUNTIFS(Dados!$E:$E,$B48,Dados!$C:$C,INDEX(O$3,1,1),Dados!$A:$A,INDEX($D:$E,MATCH("A",$D:$D,0),2))=0,"",SUMIFS(Dados!$G:$G,Dados!$E:$E,$B48,Dados!$C:$C,INDEX(O$3,1,1),Dados!$A:$A,INDEX($D:$E,MATCH("A",$D:$D,0),2))/COUNTIFS(Dados!$E:$E,$B48,Dados!$C:$C,INDEX(O$3,1,1),Dados!$A:$A,INDEX($D:$E,MATCH("A",$D:$D,0),2)))</f>
        <v/>
      </c>
      <c r="P48" s="68" t="str">
        <f>IF(COUNTIFS(Dados!$E:$E,$B48,Dados!$C:$C,INDEX(P$3,1,1),Dados!$A:$A,INDEX($D:$E,MATCH("A",$D:$D,0),2))=0,"",SUMIFS(Dados!$G:$G,Dados!$E:$E,$B48,Dados!$C:$C,INDEX(P$3,1,1),Dados!$A:$A,INDEX($D:$E,MATCH("A",$D:$D,0),2))/COUNTIFS(Dados!$E:$E,$B48,Dados!$C:$C,INDEX(P$3,1,1),Dados!$A:$A,INDEX($D:$E,MATCH("A",$D:$D,0),2)))</f>
        <v/>
      </c>
      <c r="Q48" s="68" t="str">
        <f>IF(COUNTIFS(Dados!$E:$E,$B48,Dados!$C:$C,INDEX(Q$3,1,1),Dados!$A:$A,INDEX($D:$E,MATCH("A",$D:$D,0),2))=0,"",SUMIFS(Dados!$G:$G,Dados!$E:$E,$B48,Dados!$C:$C,INDEX(Q$3,1,1),Dados!$A:$A,INDEX($D:$E,MATCH("A",$D:$D,0),2))/COUNTIFS(Dados!$E:$E,$B48,Dados!$C:$C,INDEX(Q$3,1,1),Dados!$A:$A,INDEX($D:$E,MATCH("A",$D:$D,0),2)))</f>
        <v/>
      </c>
      <c r="R48" s="68" t="str">
        <f>IF(COUNTIFS(Dados!$E:$E,$B48,Dados!$C:$C,INDEX(R$3,1,1),Dados!$A:$A,INDEX($D:$E,MATCH("A",$D:$D,0),2))=0,"",SUMIFS(Dados!$G:$G,Dados!$E:$E,$B48,Dados!$C:$C,INDEX(R$3,1,1),Dados!$A:$A,INDEX($D:$E,MATCH("A",$D:$D,0),2))/COUNTIFS(Dados!$E:$E,$B48,Dados!$C:$C,INDEX(R$3,1,1),Dados!$A:$A,INDEX($D:$E,MATCH("A",$D:$D,0),2)))</f>
        <v/>
      </c>
      <c r="S48" s="68" t="str">
        <f>IF(COUNTIFS(Dados!$E:$E,$B48,Dados!$C:$C,INDEX(S$3,1,1),Dados!$A:$A,INDEX($D:$E,MATCH("A",$D:$D,0),2))=0,"",SUMIFS(Dados!$G:$G,Dados!$E:$E,$B48,Dados!$C:$C,INDEX(S$3,1,1),Dados!$A:$A,INDEX($D:$E,MATCH("A",$D:$D,0),2))/COUNTIFS(Dados!$E:$E,$B48,Dados!$C:$C,INDEX(S$3,1,1),Dados!$A:$A,INDEX($D:$E,MATCH("A",$D:$D,0),2)))</f>
        <v/>
      </c>
      <c r="T48" s="68" t="str">
        <f>IF(COUNTIFS(Dados!$E:$E,$B48,Dados!$C:$C,INDEX(T$3,1,1),Dados!$A:$A,INDEX($D:$E,MATCH("A",$D:$D,0),2))=0,"",SUMIFS(Dados!$G:$G,Dados!$E:$E,$B48,Dados!$C:$C,INDEX(T$3,1,1),Dados!$A:$A,INDEX($D:$E,MATCH("A",$D:$D,0),2))/COUNTIFS(Dados!$E:$E,$B48,Dados!$C:$C,INDEX(T$3,1,1),Dados!$A:$A,INDEX($D:$E,MATCH("A",$D:$D,0),2)))</f>
        <v/>
      </c>
      <c r="U48" s="68" t="str">
        <f>IF(COUNTIFS(Dados!$E:$E,$B48,Dados!$C:$C,INDEX(U$3,1,1),Dados!$A:$A,INDEX($D:$E,MATCH("A",$D:$D,0),2))=0,"",SUMIFS(Dados!$G:$G,Dados!$E:$E,$B48,Dados!$C:$C,INDEX(U$3,1,1),Dados!$A:$A,INDEX($D:$E,MATCH("A",$D:$D,0),2))/COUNTIFS(Dados!$E:$E,$B48,Dados!$C:$C,INDEX(U$3,1,1),Dados!$A:$A,INDEX($D:$E,MATCH("A",$D:$D,0),2)))</f>
        <v/>
      </c>
      <c r="V48" s="68" t="str">
        <f>IF(COUNTIFS(Dados!$E:$E,$B48,Dados!$C:$C,INDEX(V$3,1,1),Dados!$A:$A,INDEX($D:$E,MATCH("A",$D:$D,0),2))=0,"",SUMIFS(Dados!$G:$G,Dados!$E:$E,$B48,Dados!$C:$C,INDEX(V$3,1,1),Dados!$A:$A,INDEX($D:$E,MATCH("A",$D:$D,0),2))/COUNTIFS(Dados!$E:$E,$B48,Dados!$C:$C,INDEX(V$3,1,1),Dados!$A:$A,INDEX($D:$E,MATCH("A",$D:$D,0),2)))</f>
        <v/>
      </c>
    </row>
    <row r="49" spans="2:22" x14ac:dyDescent="0.25">
      <c r="B49" s="65" t="s">
        <v>1303</v>
      </c>
      <c r="C49" s="72">
        <f>VLOOKUP(B49,B4:C22,2,0)</f>
        <v>4</v>
      </c>
      <c r="D49" s="66" t="str">
        <f>IF(COUNTIFS(Dados!$E:$E,$B49,Dados!$C:$C,INDEX(D$3,1,1),Dados!$A:$A,INDEX($D:$E,MATCH("A",$D:$D,0),2))=0,"",SUMIFS(Dados!$G:$G,Dados!$E:$E,$B49,Dados!$C:$C,INDEX(D$3,1,1),Dados!$A:$A,INDEX($D:$E,MATCH("A",$D:$D,0),2))/COUNTIFS(Dados!$E:$E,$B49,Dados!$C:$C,INDEX(D$3,1,1),Dados!$A:$A,INDEX($D:$E,MATCH("A",$D:$D,0),2)))</f>
        <v/>
      </c>
      <c r="E49" s="66" t="str">
        <f>IF(COUNTIFS(Dados!$E:$E,$B49,Dados!$C:$C,INDEX(E$3,1,1),Dados!$A:$A,INDEX($D:$E,MATCH("A",$D:$D,0),2))=0,"",SUMIFS(Dados!$G:$G,Dados!$E:$E,$B49,Dados!$C:$C,INDEX(E$3,1,1),Dados!$A:$A,INDEX($D:$E,MATCH("A",$D:$D,0),2))/COUNTIFS(Dados!$E:$E,$B49,Dados!$C:$C,INDEX(E$3,1,1),Dados!$A:$A,INDEX($D:$E,MATCH("A",$D:$D,0),2)))</f>
        <v/>
      </c>
      <c r="F49" s="66" t="str">
        <f>IF(COUNTIFS(Dados!$E:$E,$B49,Dados!$C:$C,INDEX(F$3,1,1),Dados!$A:$A,INDEX($D:$E,MATCH("A",$D:$D,0),2))=0,"",SUMIFS(Dados!$G:$G,Dados!$E:$E,$B49,Dados!$C:$C,INDEX(F$3,1,1),Dados!$A:$A,INDEX($D:$E,MATCH("A",$D:$D,0),2))/COUNTIFS(Dados!$E:$E,$B49,Dados!$C:$C,INDEX(F$3,1,1),Dados!$A:$A,INDEX($D:$E,MATCH("A",$D:$D,0),2)))</f>
        <v/>
      </c>
      <c r="G49" s="66" t="str">
        <f>IF(COUNTIFS(Dados!$E:$E,$B49,Dados!$C:$C,INDEX(G$3,1,1),Dados!$A:$A,INDEX($D:$E,MATCH("A",$D:$D,0),2))=0,"",SUMIFS(Dados!$G:$G,Dados!$E:$E,$B49,Dados!$C:$C,INDEX(G$3,1,1),Dados!$A:$A,INDEX($D:$E,MATCH("A",$D:$D,0),2))/COUNTIFS(Dados!$E:$E,$B49,Dados!$C:$C,INDEX(G$3,1,1),Dados!$A:$A,INDEX($D:$E,MATCH("A",$D:$D,0),2)))</f>
        <v/>
      </c>
      <c r="H49" s="66" t="str">
        <f>IF(COUNTIFS(Dados!$E:$E,$B49,Dados!$C:$C,INDEX(H$3,1,1),Dados!$A:$A,INDEX($D:$E,MATCH("A",$D:$D,0),2))=0,"",SUMIFS(Dados!$G:$G,Dados!$E:$E,$B49,Dados!$C:$C,INDEX(H$3,1,1),Dados!$A:$A,INDEX($D:$E,MATCH("A",$D:$D,0),2))/COUNTIFS(Dados!$E:$E,$B49,Dados!$C:$C,INDEX(H$3,1,1),Dados!$A:$A,INDEX($D:$E,MATCH("A",$D:$D,0),2)))</f>
        <v/>
      </c>
      <c r="I49" s="66" t="str">
        <f>IF(COUNTIFS(Dados!$E:$E,$B49,Dados!$C:$C,INDEX(I$3,1,1),Dados!$A:$A,INDEX($D:$E,MATCH("A",$D:$D,0),2))=0,"",SUMIFS(Dados!$G:$G,Dados!$E:$E,$B49,Dados!$C:$C,INDEX(I$3,1,1),Dados!$A:$A,INDEX($D:$E,MATCH("A",$D:$D,0),2))/COUNTIFS(Dados!$E:$E,$B49,Dados!$C:$C,INDEX(I$3,1,1),Dados!$A:$A,INDEX($D:$E,MATCH("A",$D:$D,0),2)))</f>
        <v/>
      </c>
      <c r="J49" s="66" t="str">
        <f>IF(COUNTIFS(Dados!$E:$E,$B49,Dados!$C:$C,INDEX(J$3,1,1),Dados!$A:$A,INDEX($D:$E,MATCH("A",$D:$D,0),2))=0,"",SUMIFS(Dados!$G:$G,Dados!$E:$E,$B49,Dados!$C:$C,INDEX(J$3,1,1),Dados!$A:$A,INDEX($D:$E,MATCH("A",$D:$D,0),2))/COUNTIFS(Dados!$E:$E,$B49,Dados!$C:$C,INDEX(J$3,1,1),Dados!$A:$A,INDEX($D:$E,MATCH("A",$D:$D,0),2)))</f>
        <v/>
      </c>
      <c r="K49" s="66" t="str">
        <f>IF(COUNTIFS(Dados!$E:$E,$B49,Dados!$C:$C,INDEX(K$3,1,1),Dados!$A:$A,INDEX($D:$E,MATCH("A",$D:$D,0),2))=0,"",SUMIFS(Dados!$G:$G,Dados!$E:$E,$B49,Dados!$C:$C,INDEX(K$3,1,1),Dados!$A:$A,INDEX($D:$E,MATCH("A",$D:$D,0),2))/COUNTIFS(Dados!$E:$E,$B49,Dados!$C:$C,INDEX(K$3,1,1),Dados!$A:$A,INDEX($D:$E,MATCH("A",$D:$D,0),2)))</f>
        <v/>
      </c>
      <c r="L49" s="66" t="str">
        <f>IF(COUNTIFS(Dados!$E:$E,$B49,Dados!$C:$C,INDEX(L$3,1,1),Dados!$A:$A,INDEX($D:$E,MATCH("A",$D:$D,0),2))=0,"",SUMIFS(Dados!$G:$G,Dados!$E:$E,$B49,Dados!$C:$C,INDEX(L$3,1,1),Dados!$A:$A,INDEX($D:$E,MATCH("A",$D:$D,0),2))/COUNTIFS(Dados!$E:$E,$B49,Dados!$C:$C,INDEX(L$3,1,1),Dados!$A:$A,INDEX($D:$E,MATCH("A",$D:$D,0),2)))</f>
        <v/>
      </c>
      <c r="M49" s="66" t="str">
        <f>IF(COUNTIFS(Dados!$E:$E,$B49,Dados!$C:$C,INDEX(M$3,1,1),Dados!$A:$A,INDEX($D:$E,MATCH("A",$D:$D,0),2))=0,"",SUMIFS(Dados!$G:$G,Dados!$E:$E,$B49,Dados!$C:$C,INDEX(M$3,1,1),Dados!$A:$A,INDEX($D:$E,MATCH("A",$D:$D,0),2))/COUNTIFS(Dados!$E:$E,$B49,Dados!$C:$C,INDEX(M$3,1,1),Dados!$A:$A,INDEX($D:$E,MATCH("A",$D:$D,0),2)))</f>
        <v/>
      </c>
      <c r="N49" s="66" t="str">
        <f>IF(COUNTIFS(Dados!$E:$E,$B49,Dados!$C:$C,INDEX(N$3,1,1),Dados!$A:$A,INDEX($D:$E,MATCH("A",$D:$D,0),2))=0,"",SUMIFS(Dados!$G:$G,Dados!$E:$E,$B49,Dados!$C:$C,INDEX(N$3,1,1),Dados!$A:$A,INDEX($D:$E,MATCH("A",$D:$D,0),2))/COUNTIFS(Dados!$E:$E,$B49,Dados!$C:$C,INDEX(N$3,1,1),Dados!$A:$A,INDEX($D:$E,MATCH("A",$D:$D,0),2)))</f>
        <v/>
      </c>
      <c r="O49" s="66" t="str">
        <f>IF(COUNTIFS(Dados!$E:$E,$B49,Dados!$C:$C,INDEX(O$3,1,1),Dados!$A:$A,INDEX($D:$E,MATCH("A",$D:$D,0),2))=0,"",SUMIFS(Dados!$G:$G,Dados!$E:$E,$B49,Dados!$C:$C,INDEX(O$3,1,1),Dados!$A:$A,INDEX($D:$E,MATCH("A",$D:$D,0),2))/COUNTIFS(Dados!$E:$E,$B49,Dados!$C:$C,INDEX(O$3,1,1),Dados!$A:$A,INDEX($D:$E,MATCH("A",$D:$D,0),2)))</f>
        <v/>
      </c>
      <c r="P49" s="66" t="str">
        <f>IF(COUNTIFS(Dados!$E:$E,$B49,Dados!$C:$C,INDEX(P$3,1,1),Dados!$A:$A,INDEX($D:$E,MATCH("A",$D:$D,0),2))=0,"",SUMIFS(Dados!$G:$G,Dados!$E:$E,$B49,Dados!$C:$C,INDEX(P$3,1,1),Dados!$A:$A,INDEX($D:$E,MATCH("A",$D:$D,0),2))/COUNTIFS(Dados!$E:$E,$B49,Dados!$C:$C,INDEX(P$3,1,1),Dados!$A:$A,INDEX($D:$E,MATCH("A",$D:$D,0),2)))</f>
        <v/>
      </c>
      <c r="Q49" s="66" t="str">
        <f>IF(COUNTIFS(Dados!$E:$E,$B49,Dados!$C:$C,INDEX(Q$3,1,1),Dados!$A:$A,INDEX($D:$E,MATCH("A",$D:$D,0),2))=0,"",SUMIFS(Dados!$G:$G,Dados!$E:$E,$B49,Dados!$C:$C,INDEX(Q$3,1,1),Dados!$A:$A,INDEX($D:$E,MATCH("A",$D:$D,0),2))/COUNTIFS(Dados!$E:$E,$B49,Dados!$C:$C,INDEX(Q$3,1,1),Dados!$A:$A,INDEX($D:$E,MATCH("A",$D:$D,0),2)))</f>
        <v/>
      </c>
      <c r="R49" s="66" t="str">
        <f>IF(COUNTIFS(Dados!$E:$E,$B49,Dados!$C:$C,INDEX(R$3,1,1),Dados!$A:$A,INDEX($D:$E,MATCH("A",$D:$D,0),2))=0,"",SUMIFS(Dados!$G:$G,Dados!$E:$E,$B49,Dados!$C:$C,INDEX(R$3,1,1),Dados!$A:$A,INDEX($D:$E,MATCH("A",$D:$D,0),2))/COUNTIFS(Dados!$E:$E,$B49,Dados!$C:$C,INDEX(R$3,1,1),Dados!$A:$A,INDEX($D:$E,MATCH("A",$D:$D,0),2)))</f>
        <v/>
      </c>
      <c r="S49" s="66" t="str">
        <f>IF(COUNTIFS(Dados!$E:$E,$B49,Dados!$C:$C,INDEX(S$3,1,1),Dados!$A:$A,INDEX($D:$E,MATCH("A",$D:$D,0),2))=0,"",SUMIFS(Dados!$G:$G,Dados!$E:$E,$B49,Dados!$C:$C,INDEX(S$3,1,1),Dados!$A:$A,INDEX($D:$E,MATCH("A",$D:$D,0),2))/COUNTIFS(Dados!$E:$E,$B49,Dados!$C:$C,INDEX(S$3,1,1),Dados!$A:$A,INDEX($D:$E,MATCH("A",$D:$D,0),2)))</f>
        <v/>
      </c>
      <c r="T49" s="66" t="str">
        <f>IF(COUNTIFS(Dados!$E:$E,$B49,Dados!$C:$C,INDEX(T$3,1,1),Dados!$A:$A,INDEX($D:$E,MATCH("A",$D:$D,0),2))=0,"",SUMIFS(Dados!$G:$G,Dados!$E:$E,$B49,Dados!$C:$C,INDEX(T$3,1,1),Dados!$A:$A,INDEX($D:$E,MATCH("A",$D:$D,0),2))/COUNTIFS(Dados!$E:$E,$B49,Dados!$C:$C,INDEX(T$3,1,1),Dados!$A:$A,INDEX($D:$E,MATCH("A",$D:$D,0),2)))</f>
        <v/>
      </c>
      <c r="U49" s="66" t="str">
        <f>IF(COUNTIFS(Dados!$E:$E,$B49,Dados!$C:$C,INDEX(U$3,1,1),Dados!$A:$A,INDEX($D:$E,MATCH("A",$D:$D,0),2))=0,"",SUMIFS(Dados!$G:$G,Dados!$E:$E,$B49,Dados!$C:$C,INDEX(U$3,1,1),Dados!$A:$A,INDEX($D:$E,MATCH("A",$D:$D,0),2))/COUNTIFS(Dados!$E:$E,$B49,Dados!$C:$C,INDEX(U$3,1,1),Dados!$A:$A,INDEX($D:$E,MATCH("A",$D:$D,0),2)))</f>
        <v/>
      </c>
      <c r="V49" s="66" t="str">
        <f>IF(COUNTIFS(Dados!$E:$E,$B49,Dados!$C:$C,INDEX(V$3,1,1),Dados!$A:$A,INDEX($D:$E,MATCH("A",$D:$D,0),2))=0,"",SUMIFS(Dados!$G:$G,Dados!$E:$E,$B49,Dados!$C:$C,INDEX(V$3,1,1),Dados!$A:$A,INDEX($D:$E,MATCH("A",$D:$D,0),2))/COUNTIFS(Dados!$E:$E,$B49,Dados!$C:$C,INDEX(V$3,1,1),Dados!$A:$A,INDEX($D:$E,MATCH("A",$D:$D,0),2)))</f>
        <v/>
      </c>
    </row>
    <row r="50" spans="2:22" x14ac:dyDescent="0.25">
      <c r="B50" s="67" t="s">
        <v>1304</v>
      </c>
      <c r="C50" s="71">
        <f>VLOOKUP(B50,B4:C22,2,0)</f>
        <v>5</v>
      </c>
      <c r="D50" s="68" t="str">
        <f>IF(COUNTIFS(Dados!$E:$E,$B50,Dados!$C:$C,INDEX(D$3,1,1),Dados!$A:$A,INDEX($D:$E,MATCH("A",$D:$D,0),2))=0,"",SUMIFS(Dados!$G:$G,Dados!$E:$E,$B50,Dados!$C:$C,INDEX(D$3,1,1),Dados!$A:$A,INDEX($D:$E,MATCH("A",$D:$D,0),2))/COUNTIFS(Dados!$E:$E,$B50,Dados!$C:$C,INDEX(D$3,1,1),Dados!$A:$A,INDEX($D:$E,MATCH("A",$D:$D,0),2)))</f>
        <v/>
      </c>
      <c r="E50" s="68" t="str">
        <f>IF(COUNTIFS(Dados!$E:$E,$B50,Dados!$C:$C,INDEX(E$3,1,1),Dados!$A:$A,INDEX($D:$E,MATCH("A",$D:$D,0),2))=0,"",SUMIFS(Dados!$G:$G,Dados!$E:$E,$B50,Dados!$C:$C,INDEX(E$3,1,1),Dados!$A:$A,INDEX($D:$E,MATCH("A",$D:$D,0),2))/COUNTIFS(Dados!$E:$E,$B50,Dados!$C:$C,INDEX(E$3,1,1),Dados!$A:$A,INDEX($D:$E,MATCH("A",$D:$D,0),2)))</f>
        <v/>
      </c>
      <c r="F50" s="68" t="str">
        <f>IF(COUNTIFS(Dados!$E:$E,$B50,Dados!$C:$C,INDEX(F$3,1,1),Dados!$A:$A,INDEX($D:$E,MATCH("A",$D:$D,0),2))=0,"",SUMIFS(Dados!$G:$G,Dados!$E:$E,$B50,Dados!$C:$C,INDEX(F$3,1,1),Dados!$A:$A,INDEX($D:$E,MATCH("A",$D:$D,0),2))/COUNTIFS(Dados!$E:$E,$B50,Dados!$C:$C,INDEX(F$3,1,1),Dados!$A:$A,INDEX($D:$E,MATCH("A",$D:$D,0),2)))</f>
        <v/>
      </c>
      <c r="G50" s="68" t="str">
        <f>IF(COUNTIFS(Dados!$E:$E,$B50,Dados!$C:$C,INDEX(G$3,1,1),Dados!$A:$A,INDEX($D:$E,MATCH("A",$D:$D,0),2))=0,"",SUMIFS(Dados!$G:$G,Dados!$E:$E,$B50,Dados!$C:$C,INDEX(G$3,1,1),Dados!$A:$A,INDEX($D:$E,MATCH("A",$D:$D,0),2))/COUNTIFS(Dados!$E:$E,$B50,Dados!$C:$C,INDEX(G$3,1,1),Dados!$A:$A,INDEX($D:$E,MATCH("A",$D:$D,0),2)))</f>
        <v/>
      </c>
      <c r="H50" s="68" t="str">
        <f>IF(COUNTIFS(Dados!$E:$E,$B50,Dados!$C:$C,INDEX(H$3,1,1),Dados!$A:$A,INDEX($D:$E,MATCH("A",$D:$D,0),2))=0,"",SUMIFS(Dados!$G:$G,Dados!$E:$E,$B50,Dados!$C:$C,INDEX(H$3,1,1),Dados!$A:$A,INDEX($D:$E,MATCH("A",$D:$D,0),2))/COUNTIFS(Dados!$E:$E,$B50,Dados!$C:$C,INDEX(H$3,1,1),Dados!$A:$A,INDEX($D:$E,MATCH("A",$D:$D,0),2)))</f>
        <v/>
      </c>
      <c r="I50" s="68" t="str">
        <f>IF(COUNTIFS(Dados!$E:$E,$B50,Dados!$C:$C,INDEX(I$3,1,1),Dados!$A:$A,INDEX($D:$E,MATCH("A",$D:$D,0),2))=0,"",SUMIFS(Dados!$G:$G,Dados!$E:$E,$B50,Dados!$C:$C,INDEX(I$3,1,1),Dados!$A:$A,INDEX($D:$E,MATCH("A",$D:$D,0),2))/COUNTIFS(Dados!$E:$E,$B50,Dados!$C:$C,INDEX(I$3,1,1),Dados!$A:$A,INDEX($D:$E,MATCH("A",$D:$D,0),2)))</f>
        <v/>
      </c>
      <c r="J50" s="68" t="str">
        <f>IF(COUNTIFS(Dados!$E:$E,$B50,Dados!$C:$C,INDEX(J$3,1,1),Dados!$A:$A,INDEX($D:$E,MATCH("A",$D:$D,0),2))=0,"",SUMIFS(Dados!$G:$G,Dados!$E:$E,$B50,Dados!$C:$C,INDEX(J$3,1,1),Dados!$A:$A,INDEX($D:$E,MATCH("A",$D:$D,0),2))/COUNTIFS(Dados!$E:$E,$B50,Dados!$C:$C,INDEX(J$3,1,1),Dados!$A:$A,INDEX($D:$E,MATCH("A",$D:$D,0),2)))</f>
        <v/>
      </c>
      <c r="K50" s="68" t="str">
        <f>IF(COUNTIFS(Dados!$E:$E,$B50,Dados!$C:$C,INDEX(K$3,1,1),Dados!$A:$A,INDEX($D:$E,MATCH("A",$D:$D,0),2))=0,"",SUMIFS(Dados!$G:$G,Dados!$E:$E,$B50,Dados!$C:$C,INDEX(K$3,1,1),Dados!$A:$A,INDEX($D:$E,MATCH("A",$D:$D,0),2))/COUNTIFS(Dados!$E:$E,$B50,Dados!$C:$C,INDEX(K$3,1,1),Dados!$A:$A,INDEX($D:$E,MATCH("A",$D:$D,0),2)))</f>
        <v/>
      </c>
      <c r="L50" s="68" t="str">
        <f>IF(COUNTIFS(Dados!$E:$E,$B50,Dados!$C:$C,INDEX(L$3,1,1),Dados!$A:$A,INDEX($D:$E,MATCH("A",$D:$D,0),2))=0,"",SUMIFS(Dados!$G:$G,Dados!$E:$E,$B50,Dados!$C:$C,INDEX(L$3,1,1),Dados!$A:$A,INDEX($D:$E,MATCH("A",$D:$D,0),2))/COUNTIFS(Dados!$E:$E,$B50,Dados!$C:$C,INDEX(L$3,1,1),Dados!$A:$A,INDEX($D:$E,MATCH("A",$D:$D,0),2)))</f>
        <v/>
      </c>
      <c r="M50" s="68" t="str">
        <f>IF(COUNTIFS(Dados!$E:$E,$B50,Dados!$C:$C,INDEX(M$3,1,1),Dados!$A:$A,INDEX($D:$E,MATCH("A",$D:$D,0),2))=0,"",SUMIFS(Dados!$G:$G,Dados!$E:$E,$B50,Dados!$C:$C,INDEX(M$3,1,1),Dados!$A:$A,INDEX($D:$E,MATCH("A",$D:$D,0),2))/COUNTIFS(Dados!$E:$E,$B50,Dados!$C:$C,INDEX(M$3,1,1),Dados!$A:$A,INDEX($D:$E,MATCH("A",$D:$D,0),2)))</f>
        <v/>
      </c>
      <c r="N50" s="68" t="str">
        <f>IF(COUNTIFS(Dados!$E:$E,$B50,Dados!$C:$C,INDEX(N$3,1,1),Dados!$A:$A,INDEX($D:$E,MATCH("A",$D:$D,0),2))=0,"",SUMIFS(Dados!$G:$G,Dados!$E:$E,$B50,Dados!$C:$C,INDEX(N$3,1,1),Dados!$A:$A,INDEX($D:$E,MATCH("A",$D:$D,0),2))/COUNTIFS(Dados!$E:$E,$B50,Dados!$C:$C,INDEX(N$3,1,1),Dados!$A:$A,INDEX($D:$E,MATCH("A",$D:$D,0),2)))</f>
        <v/>
      </c>
      <c r="O50" s="68" t="str">
        <f>IF(COUNTIFS(Dados!$E:$E,$B50,Dados!$C:$C,INDEX(O$3,1,1),Dados!$A:$A,INDEX($D:$E,MATCH("A",$D:$D,0),2))=0,"",SUMIFS(Dados!$G:$G,Dados!$E:$E,$B50,Dados!$C:$C,INDEX(O$3,1,1),Dados!$A:$A,INDEX($D:$E,MATCH("A",$D:$D,0),2))/COUNTIFS(Dados!$E:$E,$B50,Dados!$C:$C,INDEX(O$3,1,1),Dados!$A:$A,INDEX($D:$E,MATCH("A",$D:$D,0),2)))</f>
        <v/>
      </c>
      <c r="P50" s="68" t="str">
        <f>IF(COUNTIFS(Dados!$E:$E,$B50,Dados!$C:$C,INDEX(P$3,1,1),Dados!$A:$A,INDEX($D:$E,MATCH("A",$D:$D,0),2))=0,"",SUMIFS(Dados!$G:$G,Dados!$E:$E,$B50,Dados!$C:$C,INDEX(P$3,1,1),Dados!$A:$A,INDEX($D:$E,MATCH("A",$D:$D,0),2))/COUNTIFS(Dados!$E:$E,$B50,Dados!$C:$C,INDEX(P$3,1,1),Dados!$A:$A,INDEX($D:$E,MATCH("A",$D:$D,0),2)))</f>
        <v/>
      </c>
      <c r="Q50" s="68" t="str">
        <f>IF(COUNTIFS(Dados!$E:$E,$B50,Dados!$C:$C,INDEX(Q$3,1,1),Dados!$A:$A,INDEX($D:$E,MATCH("A",$D:$D,0),2))=0,"",SUMIFS(Dados!$G:$G,Dados!$E:$E,$B50,Dados!$C:$C,INDEX(Q$3,1,1),Dados!$A:$A,INDEX($D:$E,MATCH("A",$D:$D,0),2))/COUNTIFS(Dados!$E:$E,$B50,Dados!$C:$C,INDEX(Q$3,1,1),Dados!$A:$A,INDEX($D:$E,MATCH("A",$D:$D,0),2)))</f>
        <v/>
      </c>
      <c r="R50" s="68" t="str">
        <f>IF(COUNTIFS(Dados!$E:$E,$B50,Dados!$C:$C,INDEX(R$3,1,1),Dados!$A:$A,INDEX($D:$E,MATCH("A",$D:$D,0),2))=0,"",SUMIFS(Dados!$G:$G,Dados!$E:$E,$B50,Dados!$C:$C,INDEX(R$3,1,1),Dados!$A:$A,INDEX($D:$E,MATCH("A",$D:$D,0),2))/COUNTIFS(Dados!$E:$E,$B50,Dados!$C:$C,INDEX(R$3,1,1),Dados!$A:$A,INDEX($D:$E,MATCH("A",$D:$D,0),2)))</f>
        <v/>
      </c>
      <c r="S50" s="68" t="str">
        <f>IF(COUNTIFS(Dados!$E:$E,$B50,Dados!$C:$C,INDEX(S$3,1,1),Dados!$A:$A,INDEX($D:$E,MATCH("A",$D:$D,0),2))=0,"",SUMIFS(Dados!$G:$G,Dados!$E:$E,$B50,Dados!$C:$C,INDEX(S$3,1,1),Dados!$A:$A,INDEX($D:$E,MATCH("A",$D:$D,0),2))/COUNTIFS(Dados!$E:$E,$B50,Dados!$C:$C,INDEX(S$3,1,1),Dados!$A:$A,INDEX($D:$E,MATCH("A",$D:$D,0),2)))</f>
        <v/>
      </c>
      <c r="T50" s="68" t="str">
        <f>IF(COUNTIFS(Dados!$E:$E,$B50,Dados!$C:$C,INDEX(T$3,1,1),Dados!$A:$A,INDEX($D:$E,MATCH("A",$D:$D,0),2))=0,"",SUMIFS(Dados!$G:$G,Dados!$E:$E,$B50,Dados!$C:$C,INDEX(T$3,1,1),Dados!$A:$A,INDEX($D:$E,MATCH("A",$D:$D,0),2))/COUNTIFS(Dados!$E:$E,$B50,Dados!$C:$C,INDEX(T$3,1,1),Dados!$A:$A,INDEX($D:$E,MATCH("A",$D:$D,0),2)))</f>
        <v/>
      </c>
      <c r="U50" s="68" t="str">
        <f>IF(COUNTIFS(Dados!$E:$E,$B50,Dados!$C:$C,INDEX(U$3,1,1),Dados!$A:$A,INDEX($D:$E,MATCH("A",$D:$D,0),2))=0,"",SUMIFS(Dados!$G:$G,Dados!$E:$E,$B50,Dados!$C:$C,INDEX(U$3,1,1),Dados!$A:$A,INDEX($D:$E,MATCH("A",$D:$D,0),2))/COUNTIFS(Dados!$E:$E,$B50,Dados!$C:$C,INDEX(U$3,1,1),Dados!$A:$A,INDEX($D:$E,MATCH("A",$D:$D,0),2)))</f>
        <v/>
      </c>
      <c r="V50" s="68" t="str">
        <f>IF(COUNTIFS(Dados!$E:$E,$B50,Dados!$C:$C,INDEX(V$3,1,1),Dados!$A:$A,INDEX($D:$E,MATCH("A",$D:$D,0),2))=0,"",SUMIFS(Dados!$G:$G,Dados!$E:$E,$B50,Dados!$C:$C,INDEX(V$3,1,1),Dados!$A:$A,INDEX($D:$E,MATCH("A",$D:$D,0),2))/COUNTIFS(Dados!$E:$E,$B50,Dados!$C:$C,INDEX(V$3,1,1),Dados!$A:$A,INDEX($D:$E,MATCH("A",$D:$D,0),2)))</f>
        <v/>
      </c>
    </row>
    <row r="51" spans="2:22" x14ac:dyDescent="0.25">
      <c r="B51" s="65" t="s">
        <v>1298</v>
      </c>
      <c r="C51" s="72">
        <f>VLOOKUP(B51,B4:C22,2,0)</f>
        <v>6</v>
      </c>
      <c r="D51" s="66" t="str">
        <f>IF(COUNTIFS(Dados!$E:$E,$B51,Dados!$C:$C,INDEX(D$3,1,1),Dados!$A:$A,INDEX($D:$E,MATCH("A",$D:$D,0),2))=0,"",SUMIFS(Dados!$G:$G,Dados!$E:$E,$B51,Dados!$C:$C,INDEX(D$3,1,1),Dados!$A:$A,INDEX($D:$E,MATCH("A",$D:$D,0),2))/COUNTIFS(Dados!$E:$E,$B51,Dados!$C:$C,INDEX(D$3,1,1),Dados!$A:$A,INDEX($D:$E,MATCH("A",$D:$D,0),2)))</f>
        <v/>
      </c>
      <c r="E51" s="66" t="str">
        <f>IF(COUNTIFS(Dados!$E:$E,$B51,Dados!$C:$C,INDEX(E$3,1,1),Dados!$A:$A,INDEX($D:$E,MATCH("A",$D:$D,0),2))=0,"",SUMIFS(Dados!$G:$G,Dados!$E:$E,$B51,Dados!$C:$C,INDEX(E$3,1,1),Dados!$A:$A,INDEX($D:$E,MATCH("A",$D:$D,0),2))/COUNTIFS(Dados!$E:$E,$B51,Dados!$C:$C,INDEX(E$3,1,1),Dados!$A:$A,INDEX($D:$E,MATCH("A",$D:$D,0),2)))</f>
        <v/>
      </c>
      <c r="F51" s="66" t="str">
        <f>IF(COUNTIFS(Dados!$E:$E,$B51,Dados!$C:$C,INDEX(F$3,1,1),Dados!$A:$A,INDEX($D:$E,MATCH("A",$D:$D,0),2))=0,"",SUMIFS(Dados!$G:$G,Dados!$E:$E,$B51,Dados!$C:$C,INDEX(F$3,1,1),Dados!$A:$A,INDEX($D:$E,MATCH("A",$D:$D,0),2))/COUNTIFS(Dados!$E:$E,$B51,Dados!$C:$C,INDEX(F$3,1,1),Dados!$A:$A,INDEX($D:$E,MATCH("A",$D:$D,0),2)))</f>
        <v/>
      </c>
      <c r="G51" s="66" t="str">
        <f>IF(COUNTIFS(Dados!$E:$E,$B51,Dados!$C:$C,INDEX(G$3,1,1),Dados!$A:$A,INDEX($D:$E,MATCH("A",$D:$D,0),2))=0,"",SUMIFS(Dados!$G:$G,Dados!$E:$E,$B51,Dados!$C:$C,INDEX(G$3,1,1),Dados!$A:$A,INDEX($D:$E,MATCH("A",$D:$D,0),2))/COUNTIFS(Dados!$E:$E,$B51,Dados!$C:$C,INDEX(G$3,1,1),Dados!$A:$A,INDEX($D:$E,MATCH("A",$D:$D,0),2)))</f>
        <v/>
      </c>
      <c r="H51" s="66" t="str">
        <f>IF(COUNTIFS(Dados!$E:$E,$B51,Dados!$C:$C,INDEX(H$3,1,1),Dados!$A:$A,INDEX($D:$E,MATCH("A",$D:$D,0),2))=0,"",SUMIFS(Dados!$G:$G,Dados!$E:$E,$B51,Dados!$C:$C,INDEX(H$3,1,1),Dados!$A:$A,INDEX($D:$E,MATCH("A",$D:$D,0),2))/COUNTIFS(Dados!$E:$E,$B51,Dados!$C:$C,INDEX(H$3,1,1),Dados!$A:$A,INDEX($D:$E,MATCH("A",$D:$D,0),2)))</f>
        <v/>
      </c>
      <c r="I51" s="66" t="str">
        <f>IF(COUNTIFS(Dados!$E:$E,$B51,Dados!$C:$C,INDEX(I$3,1,1),Dados!$A:$A,INDEX($D:$E,MATCH("A",$D:$D,0),2))=0,"",SUMIFS(Dados!$G:$G,Dados!$E:$E,$B51,Dados!$C:$C,INDEX(I$3,1,1),Dados!$A:$A,INDEX($D:$E,MATCH("A",$D:$D,0),2))/COUNTIFS(Dados!$E:$E,$B51,Dados!$C:$C,INDEX(I$3,1,1),Dados!$A:$A,INDEX($D:$E,MATCH("A",$D:$D,0),2)))</f>
        <v/>
      </c>
      <c r="J51" s="66" t="str">
        <f>IF(COUNTIFS(Dados!$E:$E,$B51,Dados!$C:$C,INDEX(J$3,1,1),Dados!$A:$A,INDEX($D:$E,MATCH("A",$D:$D,0),2))=0,"",SUMIFS(Dados!$G:$G,Dados!$E:$E,$B51,Dados!$C:$C,INDEX(J$3,1,1),Dados!$A:$A,INDEX($D:$E,MATCH("A",$D:$D,0),2))/COUNTIFS(Dados!$E:$E,$B51,Dados!$C:$C,INDEX(J$3,1,1),Dados!$A:$A,INDEX($D:$E,MATCH("A",$D:$D,0),2)))</f>
        <v/>
      </c>
      <c r="K51" s="66" t="str">
        <f>IF(COUNTIFS(Dados!$E:$E,$B51,Dados!$C:$C,INDEX(K$3,1,1),Dados!$A:$A,INDEX($D:$E,MATCH("A",$D:$D,0),2))=0,"",SUMIFS(Dados!$G:$G,Dados!$E:$E,$B51,Dados!$C:$C,INDEX(K$3,1,1),Dados!$A:$A,INDEX($D:$E,MATCH("A",$D:$D,0),2))/COUNTIFS(Dados!$E:$E,$B51,Dados!$C:$C,INDEX(K$3,1,1),Dados!$A:$A,INDEX($D:$E,MATCH("A",$D:$D,0),2)))</f>
        <v/>
      </c>
      <c r="L51" s="66" t="str">
        <f>IF(COUNTIFS(Dados!$E:$E,$B51,Dados!$C:$C,INDEX(L$3,1,1),Dados!$A:$A,INDEX($D:$E,MATCH("A",$D:$D,0),2))=0,"",SUMIFS(Dados!$G:$G,Dados!$E:$E,$B51,Dados!$C:$C,INDEX(L$3,1,1),Dados!$A:$A,INDEX($D:$E,MATCH("A",$D:$D,0),2))/COUNTIFS(Dados!$E:$E,$B51,Dados!$C:$C,INDEX(L$3,1,1),Dados!$A:$A,INDEX($D:$E,MATCH("A",$D:$D,0),2)))</f>
        <v/>
      </c>
      <c r="M51" s="66" t="str">
        <f>IF(COUNTIFS(Dados!$E:$E,$B51,Dados!$C:$C,INDEX(M$3,1,1),Dados!$A:$A,INDEX($D:$E,MATCH("A",$D:$D,0),2))=0,"",SUMIFS(Dados!$G:$G,Dados!$E:$E,$B51,Dados!$C:$C,INDEX(M$3,1,1),Dados!$A:$A,INDEX($D:$E,MATCH("A",$D:$D,0),2))/COUNTIFS(Dados!$E:$E,$B51,Dados!$C:$C,INDEX(M$3,1,1),Dados!$A:$A,INDEX($D:$E,MATCH("A",$D:$D,0),2)))</f>
        <v/>
      </c>
      <c r="N51" s="66" t="str">
        <f>IF(COUNTIFS(Dados!$E:$E,$B51,Dados!$C:$C,INDEX(N$3,1,1),Dados!$A:$A,INDEX($D:$E,MATCH("A",$D:$D,0),2))=0,"",SUMIFS(Dados!$G:$G,Dados!$E:$E,$B51,Dados!$C:$C,INDEX(N$3,1,1),Dados!$A:$A,INDEX($D:$E,MATCH("A",$D:$D,0),2))/COUNTIFS(Dados!$E:$E,$B51,Dados!$C:$C,INDEX(N$3,1,1),Dados!$A:$A,INDEX($D:$E,MATCH("A",$D:$D,0),2)))</f>
        <v/>
      </c>
      <c r="O51" s="66" t="str">
        <f>IF(COUNTIFS(Dados!$E:$E,$B51,Dados!$C:$C,INDEX(O$3,1,1),Dados!$A:$A,INDEX($D:$E,MATCH("A",$D:$D,0),2))=0,"",SUMIFS(Dados!$G:$G,Dados!$E:$E,$B51,Dados!$C:$C,INDEX(O$3,1,1),Dados!$A:$A,INDEX($D:$E,MATCH("A",$D:$D,0),2))/COUNTIFS(Dados!$E:$E,$B51,Dados!$C:$C,INDEX(O$3,1,1),Dados!$A:$A,INDEX($D:$E,MATCH("A",$D:$D,0),2)))</f>
        <v/>
      </c>
      <c r="P51" s="66" t="str">
        <f>IF(COUNTIFS(Dados!$E:$E,$B51,Dados!$C:$C,INDEX(P$3,1,1),Dados!$A:$A,INDEX($D:$E,MATCH("A",$D:$D,0),2))=0,"",SUMIFS(Dados!$G:$G,Dados!$E:$E,$B51,Dados!$C:$C,INDEX(P$3,1,1),Dados!$A:$A,INDEX($D:$E,MATCH("A",$D:$D,0),2))/COUNTIFS(Dados!$E:$E,$B51,Dados!$C:$C,INDEX(P$3,1,1),Dados!$A:$A,INDEX($D:$E,MATCH("A",$D:$D,0),2)))</f>
        <v/>
      </c>
      <c r="Q51" s="66" t="str">
        <f>IF(COUNTIFS(Dados!$E:$E,$B51,Dados!$C:$C,INDEX(Q$3,1,1),Dados!$A:$A,INDEX($D:$E,MATCH("A",$D:$D,0),2))=0,"",SUMIFS(Dados!$G:$G,Dados!$E:$E,$B51,Dados!$C:$C,INDEX(Q$3,1,1),Dados!$A:$A,INDEX($D:$E,MATCH("A",$D:$D,0),2))/COUNTIFS(Dados!$E:$E,$B51,Dados!$C:$C,INDEX(Q$3,1,1),Dados!$A:$A,INDEX($D:$E,MATCH("A",$D:$D,0),2)))</f>
        <v/>
      </c>
      <c r="R51" s="66" t="str">
        <f>IF(COUNTIFS(Dados!$E:$E,$B51,Dados!$C:$C,INDEX(R$3,1,1),Dados!$A:$A,INDEX($D:$E,MATCH("A",$D:$D,0),2))=0,"",SUMIFS(Dados!$G:$G,Dados!$E:$E,$B51,Dados!$C:$C,INDEX(R$3,1,1),Dados!$A:$A,INDEX($D:$E,MATCH("A",$D:$D,0),2))/COUNTIFS(Dados!$E:$E,$B51,Dados!$C:$C,INDEX(R$3,1,1),Dados!$A:$A,INDEX($D:$E,MATCH("A",$D:$D,0),2)))</f>
        <v/>
      </c>
      <c r="S51" s="66" t="str">
        <f>IF(COUNTIFS(Dados!$E:$E,$B51,Dados!$C:$C,INDEX(S$3,1,1),Dados!$A:$A,INDEX($D:$E,MATCH("A",$D:$D,0),2))=0,"",SUMIFS(Dados!$G:$G,Dados!$E:$E,$B51,Dados!$C:$C,INDEX(S$3,1,1),Dados!$A:$A,INDEX($D:$E,MATCH("A",$D:$D,0),2))/COUNTIFS(Dados!$E:$E,$B51,Dados!$C:$C,INDEX(S$3,1,1),Dados!$A:$A,INDEX($D:$E,MATCH("A",$D:$D,0),2)))</f>
        <v/>
      </c>
      <c r="T51" s="66" t="str">
        <f>IF(COUNTIFS(Dados!$E:$E,$B51,Dados!$C:$C,INDEX(T$3,1,1),Dados!$A:$A,INDEX($D:$E,MATCH("A",$D:$D,0),2))=0,"",SUMIFS(Dados!$G:$G,Dados!$E:$E,$B51,Dados!$C:$C,INDEX(T$3,1,1),Dados!$A:$A,INDEX($D:$E,MATCH("A",$D:$D,0),2))/COUNTIFS(Dados!$E:$E,$B51,Dados!$C:$C,INDEX(T$3,1,1),Dados!$A:$A,INDEX($D:$E,MATCH("A",$D:$D,0),2)))</f>
        <v/>
      </c>
      <c r="U51" s="66" t="str">
        <f>IF(COUNTIFS(Dados!$E:$E,$B51,Dados!$C:$C,INDEX(U$3,1,1),Dados!$A:$A,INDEX($D:$E,MATCH("A",$D:$D,0),2))=0,"",SUMIFS(Dados!$G:$G,Dados!$E:$E,$B51,Dados!$C:$C,INDEX(U$3,1,1),Dados!$A:$A,INDEX($D:$E,MATCH("A",$D:$D,0),2))/COUNTIFS(Dados!$E:$E,$B51,Dados!$C:$C,INDEX(U$3,1,1),Dados!$A:$A,INDEX($D:$E,MATCH("A",$D:$D,0),2)))</f>
        <v/>
      </c>
      <c r="V51" s="66" t="str">
        <f>IF(COUNTIFS(Dados!$E:$E,$B51,Dados!$C:$C,INDEX(V$3,1,1),Dados!$A:$A,INDEX($D:$E,MATCH("A",$D:$D,0),2))=0,"",SUMIFS(Dados!$G:$G,Dados!$E:$E,$B51,Dados!$C:$C,INDEX(V$3,1,1),Dados!$A:$A,INDEX($D:$E,MATCH("A",$D:$D,0),2))/COUNTIFS(Dados!$E:$E,$B51,Dados!$C:$C,INDEX(V$3,1,1),Dados!$A:$A,INDEX($D:$E,MATCH("A",$D:$D,0),2)))</f>
        <v/>
      </c>
    </row>
    <row r="52" spans="2:22" x14ac:dyDescent="0.25">
      <c r="B52" s="67" t="s">
        <v>65</v>
      </c>
      <c r="C52" s="71">
        <f>VLOOKUP(B52,B4:C22,2,0)</f>
        <v>7</v>
      </c>
      <c r="D52" s="68" t="str">
        <f>IF(COUNTIFS(Dados!$E:$E,$B52,Dados!$C:$C,INDEX(D$3,1,1),Dados!$A:$A,INDEX($D:$E,MATCH("A",$D:$D,0),2))=0,"",SUMIFS(Dados!$G:$G,Dados!$E:$E,$B52,Dados!$C:$C,INDEX(D$3,1,1),Dados!$A:$A,INDEX($D:$E,MATCH("A",$D:$D,0),2))/COUNTIFS(Dados!$E:$E,$B52,Dados!$C:$C,INDEX(D$3,1,1),Dados!$A:$A,INDEX($D:$E,MATCH("A",$D:$D,0),2)))</f>
        <v/>
      </c>
      <c r="E52" s="68" t="str">
        <f>IF(COUNTIFS(Dados!$E:$E,$B52,Dados!$C:$C,INDEX(E$3,1,1),Dados!$A:$A,INDEX($D:$E,MATCH("A",$D:$D,0),2))=0,"",SUMIFS(Dados!$G:$G,Dados!$E:$E,$B52,Dados!$C:$C,INDEX(E$3,1,1),Dados!$A:$A,INDEX($D:$E,MATCH("A",$D:$D,0),2))/COUNTIFS(Dados!$E:$E,$B52,Dados!$C:$C,INDEX(E$3,1,1),Dados!$A:$A,INDEX($D:$E,MATCH("A",$D:$D,0),2)))</f>
        <v/>
      </c>
      <c r="F52" s="68" t="str">
        <f>IF(COUNTIFS(Dados!$E:$E,$B52,Dados!$C:$C,INDEX(F$3,1,1),Dados!$A:$A,INDEX($D:$E,MATCH("A",$D:$D,0),2))=0,"",SUMIFS(Dados!$G:$G,Dados!$E:$E,$B52,Dados!$C:$C,INDEX(F$3,1,1),Dados!$A:$A,INDEX($D:$E,MATCH("A",$D:$D,0),2))/COUNTIFS(Dados!$E:$E,$B52,Dados!$C:$C,INDEX(F$3,1,1),Dados!$A:$A,INDEX($D:$E,MATCH("A",$D:$D,0),2)))</f>
        <v/>
      </c>
      <c r="G52" s="68" t="str">
        <f>IF(COUNTIFS(Dados!$E:$E,$B52,Dados!$C:$C,INDEX(G$3,1,1),Dados!$A:$A,INDEX($D:$E,MATCH("A",$D:$D,0),2))=0,"",SUMIFS(Dados!$G:$G,Dados!$E:$E,$B52,Dados!$C:$C,INDEX(G$3,1,1),Dados!$A:$A,INDEX($D:$E,MATCH("A",$D:$D,0),2))/COUNTIFS(Dados!$E:$E,$B52,Dados!$C:$C,INDEX(G$3,1,1),Dados!$A:$A,INDEX($D:$E,MATCH("A",$D:$D,0),2)))</f>
        <v/>
      </c>
      <c r="H52" s="68" t="str">
        <f>IF(COUNTIFS(Dados!$E:$E,$B52,Dados!$C:$C,INDEX(H$3,1,1),Dados!$A:$A,INDEX($D:$E,MATCH("A",$D:$D,0),2))=0,"",SUMIFS(Dados!$G:$G,Dados!$E:$E,$B52,Dados!$C:$C,INDEX(H$3,1,1),Dados!$A:$A,INDEX($D:$E,MATCH("A",$D:$D,0),2))/COUNTIFS(Dados!$E:$E,$B52,Dados!$C:$C,INDEX(H$3,1,1),Dados!$A:$A,INDEX($D:$E,MATCH("A",$D:$D,0),2)))</f>
        <v/>
      </c>
      <c r="I52" s="68" t="str">
        <f>IF(COUNTIFS(Dados!$E:$E,$B52,Dados!$C:$C,INDEX(I$3,1,1),Dados!$A:$A,INDEX($D:$E,MATCH("A",$D:$D,0),2))=0,"",SUMIFS(Dados!$G:$G,Dados!$E:$E,$B52,Dados!$C:$C,INDEX(I$3,1,1),Dados!$A:$A,INDEX($D:$E,MATCH("A",$D:$D,0),2))/COUNTIFS(Dados!$E:$E,$B52,Dados!$C:$C,INDEX(I$3,1,1),Dados!$A:$A,INDEX($D:$E,MATCH("A",$D:$D,0),2)))</f>
        <v/>
      </c>
      <c r="J52" s="68" t="str">
        <f>IF(COUNTIFS(Dados!$E:$E,$B52,Dados!$C:$C,INDEX(J$3,1,1),Dados!$A:$A,INDEX($D:$E,MATCH("A",$D:$D,0),2))=0,"",SUMIFS(Dados!$G:$G,Dados!$E:$E,$B52,Dados!$C:$C,INDEX(J$3,1,1),Dados!$A:$A,INDEX($D:$E,MATCH("A",$D:$D,0),2))/COUNTIFS(Dados!$E:$E,$B52,Dados!$C:$C,INDEX(J$3,1,1),Dados!$A:$A,INDEX($D:$E,MATCH("A",$D:$D,0),2)))</f>
        <v/>
      </c>
      <c r="K52" s="68">
        <f>IF(COUNTIFS(Dados!$E:$E,$B52,Dados!$C:$C,INDEX(K$3,1,1),Dados!$A:$A,INDEX($D:$E,MATCH("A",$D:$D,0),2))=0,"",SUMIFS(Dados!$G:$G,Dados!$E:$E,$B52,Dados!$C:$C,INDEX(K$3,1,1),Dados!$A:$A,INDEX($D:$E,MATCH("A",$D:$D,0),2))/COUNTIFS(Dados!$E:$E,$B52,Dados!$C:$C,INDEX(K$3,1,1),Dados!$A:$A,INDEX($D:$E,MATCH("A",$D:$D,0),2)))</f>
        <v>0.77738567261223568</v>
      </c>
      <c r="L52" s="68">
        <f>IF(COUNTIFS(Dados!$E:$E,$B52,Dados!$C:$C,INDEX(L$3,1,1),Dados!$A:$A,INDEX($D:$E,MATCH("A",$D:$D,0),2))=0,"",SUMIFS(Dados!$G:$G,Dados!$E:$E,$B52,Dados!$C:$C,INDEX(L$3,1,1),Dados!$A:$A,INDEX($D:$E,MATCH("A",$D:$D,0),2))/COUNTIFS(Dados!$E:$E,$B52,Dados!$C:$C,INDEX(L$3,1,1),Dados!$A:$A,INDEX($D:$E,MATCH("A",$D:$D,0),2)))</f>
        <v>0.81037102455303522</v>
      </c>
      <c r="M52" s="68" t="str">
        <f>IF(COUNTIFS(Dados!$E:$E,$B52,Dados!$C:$C,INDEX(M$3,1,1),Dados!$A:$A,INDEX($D:$E,MATCH("A",$D:$D,0),2))=0,"",SUMIFS(Dados!$G:$G,Dados!$E:$E,$B52,Dados!$C:$C,INDEX(M$3,1,1),Dados!$A:$A,INDEX($D:$E,MATCH("A",$D:$D,0),2))/COUNTIFS(Dados!$E:$E,$B52,Dados!$C:$C,INDEX(M$3,1,1),Dados!$A:$A,INDEX($D:$E,MATCH("A",$D:$D,0),2)))</f>
        <v/>
      </c>
      <c r="N52" s="68">
        <f>IF(COUNTIFS(Dados!$E:$E,$B52,Dados!$C:$C,INDEX(N$3,1,1),Dados!$A:$A,INDEX($D:$E,MATCH("A",$D:$D,0),2))=0,"",SUMIFS(Dados!$G:$G,Dados!$E:$E,$B52,Dados!$C:$C,INDEX(N$3,1,1),Dados!$A:$A,INDEX($D:$E,MATCH("A",$D:$D,0),2))/COUNTIFS(Dados!$E:$E,$B52,Dados!$C:$C,INDEX(N$3,1,1),Dados!$A:$A,INDEX($D:$E,MATCH("A",$D:$D,0),2)))</f>
        <v>0.78862730930075431</v>
      </c>
      <c r="O52" s="68" t="str">
        <f>IF(COUNTIFS(Dados!$E:$E,$B52,Dados!$C:$C,INDEX(O$3,1,1),Dados!$A:$A,INDEX($D:$E,MATCH("A",$D:$D,0),2))=0,"",SUMIFS(Dados!$G:$G,Dados!$E:$E,$B52,Dados!$C:$C,INDEX(O$3,1,1),Dados!$A:$A,INDEX($D:$E,MATCH("A",$D:$D,0),2))/COUNTIFS(Dados!$E:$E,$B52,Dados!$C:$C,INDEX(O$3,1,1),Dados!$A:$A,INDEX($D:$E,MATCH("A",$D:$D,0),2)))</f>
        <v/>
      </c>
      <c r="P52" s="68" t="str">
        <f>IF(COUNTIFS(Dados!$E:$E,$B52,Dados!$C:$C,INDEX(P$3,1,1),Dados!$A:$A,INDEX($D:$E,MATCH("A",$D:$D,0),2))=0,"",SUMIFS(Dados!$G:$G,Dados!$E:$E,$B52,Dados!$C:$C,INDEX(P$3,1,1),Dados!$A:$A,INDEX($D:$E,MATCH("A",$D:$D,0),2))/COUNTIFS(Dados!$E:$E,$B52,Dados!$C:$C,INDEX(P$3,1,1),Dados!$A:$A,INDEX($D:$E,MATCH("A",$D:$D,0),2)))</f>
        <v/>
      </c>
      <c r="Q52" s="68">
        <f>IF(COUNTIFS(Dados!$E:$E,$B52,Dados!$C:$C,INDEX(Q$3,1,1),Dados!$A:$A,INDEX($D:$E,MATCH("A",$D:$D,0),2))=0,"",SUMIFS(Dados!$G:$G,Dados!$E:$E,$B52,Dados!$C:$C,INDEX(Q$3,1,1),Dados!$A:$A,INDEX($D:$E,MATCH("A",$D:$D,0),2))/COUNTIFS(Dados!$E:$E,$B52,Dados!$C:$C,INDEX(Q$3,1,1),Dados!$A:$A,INDEX($D:$E,MATCH("A",$D:$D,0),2)))</f>
        <v>0.77176175850842199</v>
      </c>
      <c r="R52" s="68" t="str">
        <f>IF(COUNTIFS(Dados!$E:$E,$B52,Dados!$C:$C,INDEX(R$3,1,1),Dados!$A:$A,INDEX($D:$E,MATCH("A",$D:$D,0),2))=0,"",SUMIFS(Dados!$G:$G,Dados!$E:$E,$B52,Dados!$C:$C,INDEX(R$3,1,1),Dados!$A:$A,INDEX($D:$E,MATCH("A",$D:$D,0),2))/COUNTIFS(Dados!$E:$E,$B52,Dados!$C:$C,INDEX(R$3,1,1),Dados!$A:$A,INDEX($D:$E,MATCH("A",$D:$D,0),2)))</f>
        <v/>
      </c>
      <c r="S52" s="68" t="str">
        <f>IF(COUNTIFS(Dados!$E:$E,$B52,Dados!$C:$C,INDEX(S$3,1,1),Dados!$A:$A,INDEX($D:$E,MATCH("A",$D:$D,0),2))=0,"",SUMIFS(Dados!$G:$G,Dados!$E:$E,$B52,Dados!$C:$C,INDEX(S$3,1,1),Dados!$A:$A,INDEX($D:$E,MATCH("A",$D:$D,0),2))/COUNTIFS(Dados!$E:$E,$B52,Dados!$C:$C,INDEX(S$3,1,1),Dados!$A:$A,INDEX($D:$E,MATCH("A",$D:$D,0),2)))</f>
        <v/>
      </c>
      <c r="T52" s="68" t="str">
        <f>IF(COUNTIFS(Dados!$E:$E,$B52,Dados!$C:$C,INDEX(T$3,1,1),Dados!$A:$A,INDEX($D:$E,MATCH("A",$D:$D,0),2))=0,"",SUMIFS(Dados!$G:$G,Dados!$E:$E,$B52,Dados!$C:$C,INDEX(T$3,1,1),Dados!$A:$A,INDEX($D:$E,MATCH("A",$D:$D,0),2))/COUNTIFS(Dados!$E:$E,$B52,Dados!$C:$C,INDEX(T$3,1,1),Dados!$A:$A,INDEX($D:$E,MATCH("A",$D:$D,0),2)))</f>
        <v/>
      </c>
      <c r="U52" s="68" t="str">
        <f>IF(COUNTIFS(Dados!$E:$E,$B52,Dados!$C:$C,INDEX(U$3,1,1),Dados!$A:$A,INDEX($D:$E,MATCH("A",$D:$D,0),2))=0,"",SUMIFS(Dados!$G:$G,Dados!$E:$E,$B52,Dados!$C:$C,INDEX(U$3,1,1),Dados!$A:$A,INDEX($D:$E,MATCH("A",$D:$D,0),2))/COUNTIFS(Dados!$E:$E,$B52,Dados!$C:$C,INDEX(U$3,1,1),Dados!$A:$A,INDEX($D:$E,MATCH("A",$D:$D,0),2)))</f>
        <v/>
      </c>
      <c r="V52" s="68" t="str">
        <f>IF(COUNTIFS(Dados!$E:$E,$B52,Dados!$C:$C,INDEX(V$3,1,1),Dados!$A:$A,INDEX($D:$E,MATCH("A",$D:$D,0),2))=0,"",SUMIFS(Dados!$G:$G,Dados!$E:$E,$B52,Dados!$C:$C,INDEX(V$3,1,1),Dados!$A:$A,INDEX($D:$E,MATCH("A",$D:$D,0),2))/COUNTIFS(Dados!$E:$E,$B52,Dados!$C:$C,INDEX(V$3,1,1),Dados!$A:$A,INDEX($D:$E,MATCH("A",$D:$D,0),2)))</f>
        <v/>
      </c>
    </row>
    <row r="53" spans="2:22" x14ac:dyDescent="0.25">
      <c r="B53" s="65" t="s">
        <v>32</v>
      </c>
      <c r="C53" s="72">
        <f>VLOOKUP(B53,B4:C22,2,0)</f>
        <v>8</v>
      </c>
      <c r="D53" s="66" t="str">
        <f>IF(COUNTIFS(Dados!$E:$E,$B53,Dados!$C:$C,INDEX(D$3,1,1),Dados!$A:$A,INDEX($D:$E,MATCH("A",$D:$D,0),2))=0,"",SUMIFS(Dados!$G:$G,Dados!$E:$E,$B53,Dados!$C:$C,INDEX(D$3,1,1),Dados!$A:$A,INDEX($D:$E,MATCH("A",$D:$D,0),2))/COUNTIFS(Dados!$E:$E,$B53,Dados!$C:$C,INDEX(D$3,1,1),Dados!$A:$A,INDEX($D:$E,MATCH("A",$D:$D,0),2)))</f>
        <v/>
      </c>
      <c r="E53" s="66" t="str">
        <f>IF(COUNTIFS(Dados!$E:$E,$B53,Dados!$C:$C,INDEX(E$3,1,1),Dados!$A:$A,INDEX($D:$E,MATCH("A",$D:$D,0),2))=0,"",SUMIFS(Dados!$G:$G,Dados!$E:$E,$B53,Dados!$C:$C,INDEX(E$3,1,1),Dados!$A:$A,INDEX($D:$E,MATCH("A",$D:$D,0),2))/COUNTIFS(Dados!$E:$E,$B53,Dados!$C:$C,INDEX(E$3,1,1),Dados!$A:$A,INDEX($D:$E,MATCH("A",$D:$D,0),2)))</f>
        <v/>
      </c>
      <c r="F53" s="66" t="str">
        <f>IF(COUNTIFS(Dados!$E:$E,$B53,Dados!$C:$C,INDEX(F$3,1,1),Dados!$A:$A,INDEX($D:$E,MATCH("A",$D:$D,0),2))=0,"",SUMIFS(Dados!$G:$G,Dados!$E:$E,$B53,Dados!$C:$C,INDEX(F$3,1,1),Dados!$A:$A,INDEX($D:$E,MATCH("A",$D:$D,0),2))/COUNTIFS(Dados!$E:$E,$B53,Dados!$C:$C,INDEX(F$3,1,1),Dados!$A:$A,INDEX($D:$E,MATCH("A",$D:$D,0),2)))</f>
        <v/>
      </c>
      <c r="G53" s="66" t="str">
        <f>IF(COUNTIFS(Dados!$E:$E,$B53,Dados!$C:$C,INDEX(G$3,1,1),Dados!$A:$A,INDEX($D:$E,MATCH("A",$D:$D,0),2))=0,"",SUMIFS(Dados!$G:$G,Dados!$E:$E,$B53,Dados!$C:$C,INDEX(G$3,1,1),Dados!$A:$A,INDEX($D:$E,MATCH("A",$D:$D,0),2))/COUNTIFS(Dados!$E:$E,$B53,Dados!$C:$C,INDEX(G$3,1,1),Dados!$A:$A,INDEX($D:$E,MATCH("A",$D:$D,0),2)))</f>
        <v/>
      </c>
      <c r="H53" s="66" t="str">
        <f>IF(COUNTIFS(Dados!$E:$E,$B53,Dados!$C:$C,INDEX(H$3,1,1),Dados!$A:$A,INDEX($D:$E,MATCH("A",$D:$D,0),2))=0,"",SUMIFS(Dados!$G:$G,Dados!$E:$E,$B53,Dados!$C:$C,INDEX(H$3,1,1),Dados!$A:$A,INDEX($D:$E,MATCH("A",$D:$D,0),2))/COUNTIFS(Dados!$E:$E,$B53,Dados!$C:$C,INDEX(H$3,1,1),Dados!$A:$A,INDEX($D:$E,MATCH("A",$D:$D,0),2)))</f>
        <v/>
      </c>
      <c r="I53" s="66" t="str">
        <f>IF(COUNTIFS(Dados!$E:$E,$B53,Dados!$C:$C,INDEX(I$3,1,1),Dados!$A:$A,INDEX($D:$E,MATCH("A",$D:$D,0),2))=0,"",SUMIFS(Dados!$G:$G,Dados!$E:$E,$B53,Dados!$C:$C,INDEX(I$3,1,1),Dados!$A:$A,INDEX($D:$E,MATCH("A",$D:$D,0),2))/COUNTIFS(Dados!$E:$E,$B53,Dados!$C:$C,INDEX(I$3,1,1),Dados!$A:$A,INDEX($D:$E,MATCH("A",$D:$D,0),2)))</f>
        <v/>
      </c>
      <c r="J53" s="66" t="str">
        <f>IF(COUNTIFS(Dados!$E:$E,$B53,Dados!$C:$C,INDEX(J$3,1,1),Dados!$A:$A,INDEX($D:$E,MATCH("A",$D:$D,0),2))=0,"",SUMIFS(Dados!$G:$G,Dados!$E:$E,$B53,Dados!$C:$C,INDEX(J$3,1,1),Dados!$A:$A,INDEX($D:$E,MATCH("A",$D:$D,0),2))/COUNTIFS(Dados!$E:$E,$B53,Dados!$C:$C,INDEX(J$3,1,1),Dados!$A:$A,INDEX($D:$E,MATCH("A",$D:$D,0),2)))</f>
        <v/>
      </c>
      <c r="K53" s="66" t="str">
        <f>IF(COUNTIFS(Dados!$E:$E,$B53,Dados!$C:$C,INDEX(K$3,1,1),Dados!$A:$A,INDEX($D:$E,MATCH("A",$D:$D,0),2))=0,"",SUMIFS(Dados!$G:$G,Dados!$E:$E,$B53,Dados!$C:$C,INDEX(K$3,1,1),Dados!$A:$A,INDEX($D:$E,MATCH("A",$D:$D,0),2))/COUNTIFS(Dados!$E:$E,$B53,Dados!$C:$C,INDEX(K$3,1,1),Dados!$A:$A,INDEX($D:$E,MATCH("A",$D:$D,0),2)))</f>
        <v/>
      </c>
      <c r="L53" s="66" t="str">
        <f>IF(COUNTIFS(Dados!$E:$E,$B53,Dados!$C:$C,INDEX(L$3,1,1),Dados!$A:$A,INDEX($D:$E,MATCH("A",$D:$D,0),2))=0,"",SUMIFS(Dados!$G:$G,Dados!$E:$E,$B53,Dados!$C:$C,INDEX(L$3,1,1),Dados!$A:$A,INDEX($D:$E,MATCH("A",$D:$D,0),2))/COUNTIFS(Dados!$E:$E,$B53,Dados!$C:$C,INDEX(L$3,1,1),Dados!$A:$A,INDEX($D:$E,MATCH("A",$D:$D,0),2)))</f>
        <v/>
      </c>
      <c r="M53" s="66" t="str">
        <f>IF(COUNTIFS(Dados!$E:$E,$B53,Dados!$C:$C,INDEX(M$3,1,1),Dados!$A:$A,INDEX($D:$E,MATCH("A",$D:$D,0),2))=0,"",SUMIFS(Dados!$G:$G,Dados!$E:$E,$B53,Dados!$C:$C,INDEX(M$3,1,1),Dados!$A:$A,INDEX($D:$E,MATCH("A",$D:$D,0),2))/COUNTIFS(Dados!$E:$E,$B53,Dados!$C:$C,INDEX(M$3,1,1),Dados!$A:$A,INDEX($D:$E,MATCH("A",$D:$D,0),2)))</f>
        <v/>
      </c>
      <c r="N53" s="66" t="str">
        <f>IF(COUNTIFS(Dados!$E:$E,$B53,Dados!$C:$C,INDEX(N$3,1,1),Dados!$A:$A,INDEX($D:$E,MATCH("A",$D:$D,0),2))=0,"",SUMIFS(Dados!$G:$G,Dados!$E:$E,$B53,Dados!$C:$C,INDEX(N$3,1,1),Dados!$A:$A,INDEX($D:$E,MATCH("A",$D:$D,0),2))/COUNTIFS(Dados!$E:$E,$B53,Dados!$C:$C,INDEX(N$3,1,1),Dados!$A:$A,INDEX($D:$E,MATCH("A",$D:$D,0),2)))</f>
        <v/>
      </c>
      <c r="O53" s="66">
        <f>IF(COUNTIFS(Dados!$E:$E,$B53,Dados!$C:$C,INDEX(O$3,1,1),Dados!$A:$A,INDEX($D:$E,MATCH("A",$D:$D,0),2))=0,"",SUMIFS(Dados!$G:$G,Dados!$E:$E,$B53,Dados!$C:$C,INDEX(O$3,1,1),Dados!$A:$A,INDEX($D:$E,MATCH("A",$D:$D,0),2))/COUNTIFS(Dados!$E:$E,$B53,Dados!$C:$C,INDEX(O$3,1,1),Dados!$A:$A,INDEX($D:$E,MATCH("A",$D:$D,0),2)))</f>
        <v>0.79114566953918242</v>
      </c>
      <c r="P53" s="66" t="str">
        <f>IF(COUNTIFS(Dados!$E:$E,$B53,Dados!$C:$C,INDEX(P$3,1,1),Dados!$A:$A,INDEX($D:$E,MATCH("A",$D:$D,0),2))=0,"",SUMIFS(Dados!$G:$G,Dados!$E:$E,$B53,Dados!$C:$C,INDEX(P$3,1,1),Dados!$A:$A,INDEX($D:$E,MATCH("A",$D:$D,0),2))/COUNTIFS(Dados!$E:$E,$B53,Dados!$C:$C,INDEX(P$3,1,1),Dados!$A:$A,INDEX($D:$E,MATCH("A",$D:$D,0),2)))</f>
        <v/>
      </c>
      <c r="Q53" s="66" t="str">
        <f>IF(COUNTIFS(Dados!$E:$E,$B53,Dados!$C:$C,INDEX(Q$3,1,1),Dados!$A:$A,INDEX($D:$E,MATCH("A",$D:$D,0),2))=0,"",SUMIFS(Dados!$G:$G,Dados!$E:$E,$B53,Dados!$C:$C,INDEX(Q$3,1,1),Dados!$A:$A,INDEX($D:$E,MATCH("A",$D:$D,0),2))/COUNTIFS(Dados!$E:$E,$B53,Dados!$C:$C,INDEX(Q$3,1,1),Dados!$A:$A,INDEX($D:$E,MATCH("A",$D:$D,0),2)))</f>
        <v/>
      </c>
      <c r="R53" s="66">
        <f>IF(COUNTIFS(Dados!$E:$E,$B53,Dados!$C:$C,INDEX(R$3,1,1),Dados!$A:$A,INDEX($D:$E,MATCH("A",$D:$D,0),2))=0,"",SUMIFS(Dados!$G:$G,Dados!$E:$E,$B53,Dados!$C:$C,INDEX(R$3,1,1),Dados!$A:$A,INDEX($D:$E,MATCH("A",$D:$D,0),2))/COUNTIFS(Dados!$E:$E,$B53,Dados!$C:$C,INDEX(R$3,1,1),Dados!$A:$A,INDEX($D:$E,MATCH("A",$D:$D,0),2)))</f>
        <v>0.87600847719309405</v>
      </c>
      <c r="S53" s="66" t="str">
        <f>IF(COUNTIFS(Dados!$E:$E,$B53,Dados!$C:$C,INDEX(S$3,1,1),Dados!$A:$A,INDEX($D:$E,MATCH("A",$D:$D,0),2))=0,"",SUMIFS(Dados!$G:$G,Dados!$E:$E,$B53,Dados!$C:$C,INDEX(S$3,1,1),Dados!$A:$A,INDEX($D:$E,MATCH("A",$D:$D,0),2))/COUNTIFS(Dados!$E:$E,$B53,Dados!$C:$C,INDEX(S$3,1,1),Dados!$A:$A,INDEX($D:$E,MATCH("A",$D:$D,0),2)))</f>
        <v/>
      </c>
      <c r="T53" s="66" t="str">
        <f>IF(COUNTIFS(Dados!$E:$E,$B53,Dados!$C:$C,INDEX(T$3,1,1),Dados!$A:$A,INDEX($D:$E,MATCH("A",$D:$D,0),2))=0,"",SUMIFS(Dados!$G:$G,Dados!$E:$E,$B53,Dados!$C:$C,INDEX(T$3,1,1),Dados!$A:$A,INDEX($D:$E,MATCH("A",$D:$D,0),2))/COUNTIFS(Dados!$E:$E,$B53,Dados!$C:$C,INDEX(T$3,1,1),Dados!$A:$A,INDEX($D:$E,MATCH("A",$D:$D,0),2)))</f>
        <v/>
      </c>
      <c r="U53" s="66" t="str">
        <f>IF(COUNTIFS(Dados!$E:$E,$B53,Dados!$C:$C,INDEX(U$3,1,1),Dados!$A:$A,INDEX($D:$E,MATCH("A",$D:$D,0),2))=0,"",SUMIFS(Dados!$G:$G,Dados!$E:$E,$B53,Dados!$C:$C,INDEX(U$3,1,1),Dados!$A:$A,INDEX($D:$E,MATCH("A",$D:$D,0),2))/COUNTIFS(Dados!$E:$E,$B53,Dados!$C:$C,INDEX(U$3,1,1),Dados!$A:$A,INDEX($D:$E,MATCH("A",$D:$D,0),2)))</f>
        <v/>
      </c>
      <c r="V53" s="66" t="str">
        <f>IF(COUNTIFS(Dados!$E:$E,$B53,Dados!$C:$C,INDEX(V$3,1,1),Dados!$A:$A,INDEX($D:$E,MATCH("A",$D:$D,0),2))=0,"",SUMIFS(Dados!$G:$G,Dados!$E:$E,$B53,Dados!$C:$C,INDEX(V$3,1,1),Dados!$A:$A,INDEX($D:$E,MATCH("A",$D:$D,0),2))/COUNTIFS(Dados!$E:$E,$B53,Dados!$C:$C,INDEX(V$3,1,1),Dados!$A:$A,INDEX($D:$E,MATCH("A",$D:$D,0),2)))</f>
        <v/>
      </c>
    </row>
    <row r="54" spans="2:22" x14ac:dyDescent="0.25">
      <c r="B54" s="67" t="s">
        <v>44</v>
      </c>
      <c r="C54" s="71">
        <f>VLOOKUP(B54,B4:C22,2,0)</f>
        <v>9</v>
      </c>
      <c r="D54" s="68" t="str">
        <f>IF(COUNTIFS(Dados!$E:$E,$B54,Dados!$C:$C,INDEX(D$3,1,1),Dados!$A:$A,INDEX($D:$E,MATCH("A",$D:$D,0),2))=0,"",SUMIFS(Dados!$G:$G,Dados!$E:$E,$B54,Dados!$C:$C,INDEX(D$3,1,1),Dados!$A:$A,INDEX($D:$E,MATCH("A",$D:$D,0),2))/COUNTIFS(Dados!$E:$E,$B54,Dados!$C:$C,INDEX(D$3,1,1),Dados!$A:$A,INDEX($D:$E,MATCH("A",$D:$D,0),2)))</f>
        <v/>
      </c>
      <c r="E54" s="68" t="str">
        <f>IF(COUNTIFS(Dados!$E:$E,$B54,Dados!$C:$C,INDEX(E$3,1,1),Dados!$A:$A,INDEX($D:$E,MATCH("A",$D:$D,0),2))=0,"",SUMIFS(Dados!$G:$G,Dados!$E:$E,$B54,Dados!$C:$C,INDEX(E$3,1,1),Dados!$A:$A,INDEX($D:$E,MATCH("A",$D:$D,0),2))/COUNTIFS(Dados!$E:$E,$B54,Dados!$C:$C,INDEX(E$3,1,1),Dados!$A:$A,INDEX($D:$E,MATCH("A",$D:$D,0),2)))</f>
        <v/>
      </c>
      <c r="F54" s="68" t="str">
        <f>IF(COUNTIFS(Dados!$E:$E,$B54,Dados!$C:$C,INDEX(F$3,1,1),Dados!$A:$A,INDEX($D:$E,MATCH("A",$D:$D,0),2))=0,"",SUMIFS(Dados!$G:$G,Dados!$E:$E,$B54,Dados!$C:$C,INDEX(F$3,1,1),Dados!$A:$A,INDEX($D:$E,MATCH("A",$D:$D,0),2))/COUNTIFS(Dados!$E:$E,$B54,Dados!$C:$C,INDEX(F$3,1,1),Dados!$A:$A,INDEX($D:$E,MATCH("A",$D:$D,0),2)))</f>
        <v/>
      </c>
      <c r="G54" s="68" t="str">
        <f>IF(COUNTIFS(Dados!$E:$E,$B54,Dados!$C:$C,INDEX(G$3,1,1),Dados!$A:$A,INDEX($D:$E,MATCH("A",$D:$D,0),2))=0,"",SUMIFS(Dados!$G:$G,Dados!$E:$E,$B54,Dados!$C:$C,INDEX(G$3,1,1),Dados!$A:$A,INDEX($D:$E,MATCH("A",$D:$D,0),2))/COUNTIFS(Dados!$E:$E,$B54,Dados!$C:$C,INDEX(G$3,1,1),Dados!$A:$A,INDEX($D:$E,MATCH("A",$D:$D,0),2)))</f>
        <v/>
      </c>
      <c r="H54" s="68" t="str">
        <f>IF(COUNTIFS(Dados!$E:$E,$B54,Dados!$C:$C,INDEX(H$3,1,1),Dados!$A:$A,INDEX($D:$E,MATCH("A",$D:$D,0),2))=0,"",SUMIFS(Dados!$G:$G,Dados!$E:$E,$B54,Dados!$C:$C,INDEX(H$3,1,1),Dados!$A:$A,INDEX($D:$E,MATCH("A",$D:$D,0),2))/COUNTIFS(Dados!$E:$E,$B54,Dados!$C:$C,INDEX(H$3,1,1),Dados!$A:$A,INDEX($D:$E,MATCH("A",$D:$D,0),2)))</f>
        <v/>
      </c>
      <c r="I54" s="68" t="str">
        <f>IF(COUNTIFS(Dados!$E:$E,$B54,Dados!$C:$C,INDEX(I$3,1,1),Dados!$A:$A,INDEX($D:$E,MATCH("A",$D:$D,0),2))=0,"",SUMIFS(Dados!$G:$G,Dados!$E:$E,$B54,Dados!$C:$C,INDEX(I$3,1,1),Dados!$A:$A,INDEX($D:$E,MATCH("A",$D:$D,0),2))/COUNTIFS(Dados!$E:$E,$B54,Dados!$C:$C,INDEX(I$3,1,1),Dados!$A:$A,INDEX($D:$E,MATCH("A",$D:$D,0),2)))</f>
        <v/>
      </c>
      <c r="J54" s="68" t="str">
        <f>IF(COUNTIFS(Dados!$E:$E,$B54,Dados!$C:$C,INDEX(J$3,1,1),Dados!$A:$A,INDEX($D:$E,MATCH("A",$D:$D,0),2))=0,"",SUMIFS(Dados!$G:$G,Dados!$E:$E,$B54,Dados!$C:$C,INDEX(J$3,1,1),Dados!$A:$A,INDEX($D:$E,MATCH("A",$D:$D,0),2))/COUNTIFS(Dados!$E:$E,$B54,Dados!$C:$C,INDEX(J$3,1,1),Dados!$A:$A,INDEX($D:$E,MATCH("A",$D:$D,0),2)))</f>
        <v/>
      </c>
      <c r="K54" s="68" t="str">
        <f>IF(COUNTIFS(Dados!$E:$E,$B54,Dados!$C:$C,INDEX(K$3,1,1),Dados!$A:$A,INDEX($D:$E,MATCH("A",$D:$D,0),2))=0,"",SUMIFS(Dados!$G:$G,Dados!$E:$E,$B54,Dados!$C:$C,INDEX(K$3,1,1),Dados!$A:$A,INDEX($D:$E,MATCH("A",$D:$D,0),2))/COUNTIFS(Dados!$E:$E,$B54,Dados!$C:$C,INDEX(K$3,1,1),Dados!$A:$A,INDEX($D:$E,MATCH("A",$D:$D,0),2)))</f>
        <v/>
      </c>
      <c r="L54" s="68" t="str">
        <f>IF(COUNTIFS(Dados!$E:$E,$B54,Dados!$C:$C,INDEX(L$3,1,1),Dados!$A:$A,INDEX($D:$E,MATCH("A",$D:$D,0),2))=0,"",SUMIFS(Dados!$G:$G,Dados!$E:$E,$B54,Dados!$C:$C,INDEX(L$3,1,1),Dados!$A:$A,INDEX($D:$E,MATCH("A",$D:$D,0),2))/COUNTIFS(Dados!$E:$E,$B54,Dados!$C:$C,INDEX(L$3,1,1),Dados!$A:$A,INDEX($D:$E,MATCH("A",$D:$D,0),2)))</f>
        <v/>
      </c>
      <c r="M54" s="68" t="str">
        <f>IF(COUNTIFS(Dados!$E:$E,$B54,Dados!$C:$C,INDEX(M$3,1,1),Dados!$A:$A,INDEX($D:$E,MATCH("A",$D:$D,0),2))=0,"",SUMIFS(Dados!$G:$G,Dados!$E:$E,$B54,Dados!$C:$C,INDEX(M$3,1,1),Dados!$A:$A,INDEX($D:$E,MATCH("A",$D:$D,0),2))/COUNTIFS(Dados!$E:$E,$B54,Dados!$C:$C,INDEX(M$3,1,1),Dados!$A:$A,INDEX($D:$E,MATCH("A",$D:$D,0),2)))</f>
        <v/>
      </c>
      <c r="N54" s="68" t="str">
        <f>IF(COUNTIFS(Dados!$E:$E,$B54,Dados!$C:$C,INDEX(N$3,1,1),Dados!$A:$A,INDEX($D:$E,MATCH("A",$D:$D,0),2))=0,"",SUMIFS(Dados!$G:$G,Dados!$E:$E,$B54,Dados!$C:$C,INDEX(N$3,1,1),Dados!$A:$A,INDEX($D:$E,MATCH("A",$D:$D,0),2))/COUNTIFS(Dados!$E:$E,$B54,Dados!$C:$C,INDEX(N$3,1,1),Dados!$A:$A,INDEX($D:$E,MATCH("A",$D:$D,0),2)))</f>
        <v/>
      </c>
      <c r="O54" s="68" t="str">
        <f>IF(COUNTIFS(Dados!$E:$E,$B54,Dados!$C:$C,INDEX(O$3,1,1),Dados!$A:$A,INDEX($D:$E,MATCH("A",$D:$D,0),2))=0,"",SUMIFS(Dados!$G:$G,Dados!$E:$E,$B54,Dados!$C:$C,INDEX(O$3,1,1),Dados!$A:$A,INDEX($D:$E,MATCH("A",$D:$D,0),2))/COUNTIFS(Dados!$E:$E,$B54,Dados!$C:$C,INDEX(O$3,1,1),Dados!$A:$A,INDEX($D:$E,MATCH("A",$D:$D,0),2)))</f>
        <v/>
      </c>
      <c r="P54" s="68" t="str">
        <f>IF(COUNTIFS(Dados!$E:$E,$B54,Dados!$C:$C,INDEX(P$3,1,1),Dados!$A:$A,INDEX($D:$E,MATCH("A",$D:$D,0),2))=0,"",SUMIFS(Dados!$G:$G,Dados!$E:$E,$B54,Dados!$C:$C,INDEX(P$3,1,1),Dados!$A:$A,INDEX($D:$E,MATCH("A",$D:$D,0),2))/COUNTIFS(Dados!$E:$E,$B54,Dados!$C:$C,INDEX(P$3,1,1),Dados!$A:$A,INDEX($D:$E,MATCH("A",$D:$D,0),2)))</f>
        <v/>
      </c>
      <c r="Q54" s="68" t="str">
        <f>IF(COUNTIFS(Dados!$E:$E,$B54,Dados!$C:$C,INDEX(Q$3,1,1),Dados!$A:$A,INDEX($D:$E,MATCH("A",$D:$D,0),2))=0,"",SUMIFS(Dados!$G:$G,Dados!$E:$E,$B54,Dados!$C:$C,INDEX(Q$3,1,1),Dados!$A:$A,INDEX($D:$E,MATCH("A",$D:$D,0),2))/COUNTIFS(Dados!$E:$E,$B54,Dados!$C:$C,INDEX(Q$3,1,1),Dados!$A:$A,INDEX($D:$E,MATCH("A",$D:$D,0),2)))</f>
        <v/>
      </c>
      <c r="R54" s="68" t="str">
        <f>IF(COUNTIFS(Dados!$E:$E,$B54,Dados!$C:$C,INDEX(R$3,1,1),Dados!$A:$A,INDEX($D:$E,MATCH("A",$D:$D,0),2))=0,"",SUMIFS(Dados!$G:$G,Dados!$E:$E,$B54,Dados!$C:$C,INDEX(R$3,1,1),Dados!$A:$A,INDEX($D:$E,MATCH("A",$D:$D,0),2))/COUNTIFS(Dados!$E:$E,$B54,Dados!$C:$C,INDEX(R$3,1,1),Dados!$A:$A,INDEX($D:$E,MATCH("A",$D:$D,0),2)))</f>
        <v/>
      </c>
      <c r="S54" s="68" t="str">
        <f>IF(COUNTIFS(Dados!$E:$E,$B54,Dados!$C:$C,INDEX(S$3,1,1),Dados!$A:$A,INDEX($D:$E,MATCH("A",$D:$D,0),2))=0,"",SUMIFS(Dados!$G:$G,Dados!$E:$E,$B54,Dados!$C:$C,INDEX(S$3,1,1),Dados!$A:$A,INDEX($D:$E,MATCH("A",$D:$D,0),2))/COUNTIFS(Dados!$E:$E,$B54,Dados!$C:$C,INDEX(S$3,1,1),Dados!$A:$A,INDEX($D:$E,MATCH("A",$D:$D,0),2)))</f>
        <v/>
      </c>
      <c r="T54" s="68" t="str">
        <f>IF(COUNTIFS(Dados!$E:$E,$B54,Dados!$C:$C,INDEX(T$3,1,1),Dados!$A:$A,INDEX($D:$E,MATCH("A",$D:$D,0),2))=0,"",SUMIFS(Dados!$G:$G,Dados!$E:$E,$B54,Dados!$C:$C,INDEX(T$3,1,1),Dados!$A:$A,INDEX($D:$E,MATCH("A",$D:$D,0),2))/COUNTIFS(Dados!$E:$E,$B54,Dados!$C:$C,INDEX(T$3,1,1),Dados!$A:$A,INDEX($D:$E,MATCH("A",$D:$D,0),2)))</f>
        <v/>
      </c>
      <c r="U54" s="68" t="str">
        <f>IF(COUNTIFS(Dados!$E:$E,$B54,Dados!$C:$C,INDEX(U$3,1,1),Dados!$A:$A,INDEX($D:$E,MATCH("A",$D:$D,0),2))=0,"",SUMIFS(Dados!$G:$G,Dados!$E:$E,$B54,Dados!$C:$C,INDEX(U$3,1,1),Dados!$A:$A,INDEX($D:$E,MATCH("A",$D:$D,0),2))/COUNTIFS(Dados!$E:$E,$B54,Dados!$C:$C,INDEX(U$3,1,1),Dados!$A:$A,INDEX($D:$E,MATCH("A",$D:$D,0),2)))</f>
        <v/>
      </c>
      <c r="V54" s="68" t="str">
        <f>IF(COUNTIFS(Dados!$E:$E,$B54,Dados!$C:$C,INDEX(V$3,1,1),Dados!$A:$A,INDEX($D:$E,MATCH("A",$D:$D,0),2))=0,"",SUMIFS(Dados!$G:$G,Dados!$E:$E,$B54,Dados!$C:$C,INDEX(V$3,1,1),Dados!$A:$A,INDEX($D:$E,MATCH("A",$D:$D,0),2))/COUNTIFS(Dados!$E:$E,$B54,Dados!$C:$C,INDEX(V$3,1,1),Dados!$A:$A,INDEX($D:$E,MATCH("A",$D:$D,0),2)))</f>
        <v/>
      </c>
    </row>
    <row r="55" spans="2:22" x14ac:dyDescent="0.25">
      <c r="B55" s="65" t="s">
        <v>147</v>
      </c>
      <c r="C55" s="72">
        <f>VLOOKUP(B55,B4:C22,2,0)</f>
        <v>10</v>
      </c>
      <c r="D55" s="66" t="str">
        <f>IF(COUNTIFS(Dados!$E:$E,$B55,Dados!$C:$C,INDEX(D$3,1,1),Dados!$A:$A,INDEX($D:$E,MATCH("A",$D:$D,0),2))=0,"",SUMIFS(Dados!$G:$G,Dados!$E:$E,$B55,Dados!$C:$C,INDEX(D$3,1,1),Dados!$A:$A,INDEX($D:$E,MATCH("A",$D:$D,0),2))/COUNTIFS(Dados!$E:$E,$B55,Dados!$C:$C,INDEX(D$3,1,1),Dados!$A:$A,INDEX($D:$E,MATCH("A",$D:$D,0),2)))</f>
        <v/>
      </c>
      <c r="E55" s="66" t="str">
        <f>IF(COUNTIFS(Dados!$E:$E,$B55,Dados!$C:$C,INDEX(E$3,1,1),Dados!$A:$A,INDEX($D:$E,MATCH("A",$D:$D,0),2))=0,"",SUMIFS(Dados!$G:$G,Dados!$E:$E,$B55,Dados!$C:$C,INDEX(E$3,1,1),Dados!$A:$A,INDEX($D:$E,MATCH("A",$D:$D,0),2))/COUNTIFS(Dados!$E:$E,$B55,Dados!$C:$C,INDEX(E$3,1,1),Dados!$A:$A,INDEX($D:$E,MATCH("A",$D:$D,0),2)))</f>
        <v/>
      </c>
      <c r="F55" s="66" t="str">
        <f>IF(COUNTIFS(Dados!$E:$E,$B55,Dados!$C:$C,INDEX(F$3,1,1),Dados!$A:$A,INDEX($D:$E,MATCH("A",$D:$D,0),2))=0,"",SUMIFS(Dados!$G:$G,Dados!$E:$E,$B55,Dados!$C:$C,INDEX(F$3,1,1),Dados!$A:$A,INDEX($D:$E,MATCH("A",$D:$D,0),2))/COUNTIFS(Dados!$E:$E,$B55,Dados!$C:$C,INDEX(F$3,1,1),Dados!$A:$A,INDEX($D:$E,MATCH("A",$D:$D,0),2)))</f>
        <v/>
      </c>
      <c r="G55" s="66">
        <f>IF(COUNTIFS(Dados!$E:$E,$B55,Dados!$C:$C,INDEX(G$3,1,1),Dados!$A:$A,INDEX($D:$E,MATCH("A",$D:$D,0),2))=0,"",SUMIFS(Dados!$G:$G,Dados!$E:$E,$B55,Dados!$C:$C,INDEX(G$3,1,1),Dados!$A:$A,INDEX($D:$E,MATCH("A",$D:$D,0),2))/COUNTIFS(Dados!$E:$E,$B55,Dados!$C:$C,INDEX(G$3,1,1),Dados!$A:$A,INDEX($D:$E,MATCH("A",$D:$D,0),2)))</f>
        <v>0.67901972045454562</v>
      </c>
      <c r="H55" s="66" t="str">
        <f>IF(COUNTIFS(Dados!$E:$E,$B55,Dados!$C:$C,INDEX(H$3,1,1),Dados!$A:$A,INDEX($D:$E,MATCH("A",$D:$D,0),2))=0,"",SUMIFS(Dados!$G:$G,Dados!$E:$E,$B55,Dados!$C:$C,INDEX(H$3,1,1),Dados!$A:$A,INDEX($D:$E,MATCH("A",$D:$D,0),2))/COUNTIFS(Dados!$E:$E,$B55,Dados!$C:$C,INDEX(H$3,1,1),Dados!$A:$A,INDEX($D:$E,MATCH("A",$D:$D,0),2)))</f>
        <v/>
      </c>
      <c r="I55" s="66" t="str">
        <f>IF(COUNTIFS(Dados!$E:$E,$B55,Dados!$C:$C,INDEX(I$3,1,1),Dados!$A:$A,INDEX($D:$E,MATCH("A",$D:$D,0),2))=0,"",SUMIFS(Dados!$G:$G,Dados!$E:$E,$B55,Dados!$C:$C,INDEX(I$3,1,1),Dados!$A:$A,INDEX($D:$E,MATCH("A",$D:$D,0),2))/COUNTIFS(Dados!$E:$E,$B55,Dados!$C:$C,INDEX(I$3,1,1),Dados!$A:$A,INDEX($D:$E,MATCH("A",$D:$D,0),2)))</f>
        <v/>
      </c>
      <c r="J55" s="66" t="str">
        <f>IF(COUNTIFS(Dados!$E:$E,$B55,Dados!$C:$C,INDEX(J$3,1,1),Dados!$A:$A,INDEX($D:$E,MATCH("A",$D:$D,0),2))=0,"",SUMIFS(Dados!$G:$G,Dados!$E:$E,$B55,Dados!$C:$C,INDEX(J$3,1,1),Dados!$A:$A,INDEX($D:$E,MATCH("A",$D:$D,0),2))/COUNTIFS(Dados!$E:$E,$B55,Dados!$C:$C,INDEX(J$3,1,1),Dados!$A:$A,INDEX($D:$E,MATCH("A",$D:$D,0),2)))</f>
        <v/>
      </c>
      <c r="K55" s="66">
        <f>IF(COUNTIFS(Dados!$E:$E,$B55,Dados!$C:$C,INDEX(K$3,1,1),Dados!$A:$A,INDEX($D:$E,MATCH("A",$D:$D,0),2))=0,"",SUMIFS(Dados!$G:$G,Dados!$E:$E,$B55,Dados!$C:$C,INDEX(K$3,1,1),Dados!$A:$A,INDEX($D:$E,MATCH("A",$D:$D,0),2))/COUNTIFS(Dados!$E:$E,$B55,Dados!$C:$C,INDEX(K$3,1,1),Dados!$A:$A,INDEX($D:$E,MATCH("A",$D:$D,0),2)))</f>
        <v>0.94405729783476511</v>
      </c>
      <c r="L55" s="66">
        <f>IF(COUNTIFS(Dados!$E:$E,$B55,Dados!$C:$C,INDEX(L$3,1,1),Dados!$A:$A,INDEX($D:$E,MATCH("A",$D:$D,0),2))=0,"",SUMIFS(Dados!$G:$G,Dados!$E:$E,$B55,Dados!$C:$C,INDEX(L$3,1,1),Dados!$A:$A,INDEX($D:$E,MATCH("A",$D:$D,0),2))/COUNTIFS(Dados!$E:$E,$B55,Dados!$C:$C,INDEX(L$3,1,1),Dados!$A:$A,INDEX($D:$E,MATCH("A",$D:$D,0),2)))</f>
        <v>0.92259506061243568</v>
      </c>
      <c r="M55" s="66" t="str">
        <f>IF(COUNTIFS(Dados!$E:$E,$B55,Dados!$C:$C,INDEX(M$3,1,1),Dados!$A:$A,INDEX($D:$E,MATCH("A",$D:$D,0),2))=0,"",SUMIFS(Dados!$G:$G,Dados!$E:$E,$B55,Dados!$C:$C,INDEX(M$3,1,1),Dados!$A:$A,INDEX($D:$E,MATCH("A",$D:$D,0),2))/COUNTIFS(Dados!$E:$E,$B55,Dados!$C:$C,INDEX(M$3,1,1),Dados!$A:$A,INDEX($D:$E,MATCH("A",$D:$D,0),2)))</f>
        <v/>
      </c>
      <c r="N55" s="66" t="str">
        <f>IF(COUNTIFS(Dados!$E:$E,$B55,Dados!$C:$C,INDEX(N$3,1,1),Dados!$A:$A,INDEX($D:$E,MATCH("A",$D:$D,0),2))=0,"",SUMIFS(Dados!$G:$G,Dados!$E:$E,$B55,Dados!$C:$C,INDEX(N$3,1,1),Dados!$A:$A,INDEX($D:$E,MATCH("A",$D:$D,0),2))/COUNTIFS(Dados!$E:$E,$B55,Dados!$C:$C,INDEX(N$3,1,1),Dados!$A:$A,INDEX($D:$E,MATCH("A",$D:$D,0),2)))</f>
        <v/>
      </c>
      <c r="O55" s="66" t="str">
        <f>IF(COUNTIFS(Dados!$E:$E,$B55,Dados!$C:$C,INDEX(O$3,1,1),Dados!$A:$A,INDEX($D:$E,MATCH("A",$D:$D,0),2))=0,"",SUMIFS(Dados!$G:$G,Dados!$E:$E,$B55,Dados!$C:$C,INDEX(O$3,1,1),Dados!$A:$A,INDEX($D:$E,MATCH("A",$D:$D,0),2))/COUNTIFS(Dados!$E:$E,$B55,Dados!$C:$C,INDEX(O$3,1,1),Dados!$A:$A,INDEX($D:$E,MATCH("A",$D:$D,0),2)))</f>
        <v/>
      </c>
      <c r="P55" s="66" t="str">
        <f>IF(COUNTIFS(Dados!$E:$E,$B55,Dados!$C:$C,INDEX(P$3,1,1),Dados!$A:$A,INDEX($D:$E,MATCH("A",$D:$D,0),2))=0,"",SUMIFS(Dados!$G:$G,Dados!$E:$E,$B55,Dados!$C:$C,INDEX(P$3,1,1),Dados!$A:$A,INDEX($D:$E,MATCH("A",$D:$D,0),2))/COUNTIFS(Dados!$E:$E,$B55,Dados!$C:$C,INDEX(P$3,1,1),Dados!$A:$A,INDEX($D:$E,MATCH("A",$D:$D,0),2)))</f>
        <v/>
      </c>
      <c r="Q55" s="66" t="str">
        <f>IF(COUNTIFS(Dados!$E:$E,$B55,Dados!$C:$C,INDEX(Q$3,1,1),Dados!$A:$A,INDEX($D:$E,MATCH("A",$D:$D,0),2))=0,"",SUMIFS(Dados!$G:$G,Dados!$E:$E,$B55,Dados!$C:$C,INDEX(Q$3,1,1),Dados!$A:$A,INDEX($D:$E,MATCH("A",$D:$D,0),2))/COUNTIFS(Dados!$E:$E,$B55,Dados!$C:$C,INDEX(Q$3,1,1),Dados!$A:$A,INDEX($D:$E,MATCH("A",$D:$D,0),2)))</f>
        <v/>
      </c>
      <c r="R55" s="66" t="str">
        <f>IF(COUNTIFS(Dados!$E:$E,$B55,Dados!$C:$C,INDEX(R$3,1,1),Dados!$A:$A,INDEX($D:$E,MATCH("A",$D:$D,0),2))=0,"",SUMIFS(Dados!$G:$G,Dados!$E:$E,$B55,Dados!$C:$C,INDEX(R$3,1,1),Dados!$A:$A,INDEX($D:$E,MATCH("A",$D:$D,0),2))/COUNTIFS(Dados!$E:$E,$B55,Dados!$C:$C,INDEX(R$3,1,1),Dados!$A:$A,INDEX($D:$E,MATCH("A",$D:$D,0),2)))</f>
        <v/>
      </c>
      <c r="S55" s="66" t="str">
        <f>IF(COUNTIFS(Dados!$E:$E,$B55,Dados!$C:$C,INDEX(S$3,1,1),Dados!$A:$A,INDEX($D:$E,MATCH("A",$D:$D,0),2))=0,"",SUMIFS(Dados!$G:$G,Dados!$E:$E,$B55,Dados!$C:$C,INDEX(S$3,1,1),Dados!$A:$A,INDEX($D:$E,MATCH("A",$D:$D,0),2))/COUNTIFS(Dados!$E:$E,$B55,Dados!$C:$C,INDEX(S$3,1,1),Dados!$A:$A,INDEX($D:$E,MATCH("A",$D:$D,0),2)))</f>
        <v/>
      </c>
      <c r="T55" s="66" t="str">
        <f>IF(COUNTIFS(Dados!$E:$E,$B55,Dados!$C:$C,INDEX(T$3,1,1),Dados!$A:$A,INDEX($D:$E,MATCH("A",$D:$D,0),2))=0,"",SUMIFS(Dados!$G:$G,Dados!$E:$E,$B55,Dados!$C:$C,INDEX(T$3,1,1),Dados!$A:$A,INDEX($D:$E,MATCH("A",$D:$D,0),2))/COUNTIFS(Dados!$E:$E,$B55,Dados!$C:$C,INDEX(T$3,1,1),Dados!$A:$A,INDEX($D:$E,MATCH("A",$D:$D,0),2)))</f>
        <v/>
      </c>
      <c r="U55" s="66" t="str">
        <f>IF(COUNTIFS(Dados!$E:$E,$B55,Dados!$C:$C,INDEX(U$3,1,1),Dados!$A:$A,INDEX($D:$E,MATCH("A",$D:$D,0),2))=0,"",SUMIFS(Dados!$G:$G,Dados!$E:$E,$B55,Dados!$C:$C,INDEX(U$3,1,1),Dados!$A:$A,INDEX($D:$E,MATCH("A",$D:$D,0),2))/COUNTIFS(Dados!$E:$E,$B55,Dados!$C:$C,INDEX(U$3,1,1),Dados!$A:$A,INDEX($D:$E,MATCH("A",$D:$D,0),2)))</f>
        <v/>
      </c>
      <c r="V55" s="66" t="str">
        <f>IF(COUNTIFS(Dados!$E:$E,$B55,Dados!$C:$C,INDEX(V$3,1,1),Dados!$A:$A,INDEX($D:$E,MATCH("A",$D:$D,0),2))=0,"",SUMIFS(Dados!$G:$G,Dados!$E:$E,$B55,Dados!$C:$C,INDEX(V$3,1,1),Dados!$A:$A,INDEX($D:$E,MATCH("A",$D:$D,0),2))/COUNTIFS(Dados!$E:$E,$B55,Dados!$C:$C,INDEX(V$3,1,1),Dados!$A:$A,INDEX($D:$E,MATCH("A",$D:$D,0),2)))</f>
        <v/>
      </c>
    </row>
    <row r="56" spans="2:22" x14ac:dyDescent="0.25">
      <c r="B56" s="67" t="s">
        <v>898</v>
      </c>
      <c r="C56" s="71">
        <f>VLOOKUP(B56,B4:C22,2,0)</f>
        <v>11</v>
      </c>
      <c r="D56" s="68" t="str">
        <f>IF(COUNTIFS(Dados!$E:$E,$B56,Dados!$C:$C,INDEX(D$3,1,1),Dados!$A:$A,INDEX($D:$E,MATCH("A",$D:$D,0),2))=0,"",SUMIFS(Dados!$G:$G,Dados!$E:$E,$B56,Dados!$C:$C,INDEX(D$3,1,1),Dados!$A:$A,INDEX($D:$E,MATCH("A",$D:$D,0),2))/COUNTIFS(Dados!$E:$E,$B56,Dados!$C:$C,INDEX(D$3,1,1),Dados!$A:$A,INDEX($D:$E,MATCH("A",$D:$D,0),2)))</f>
        <v/>
      </c>
      <c r="E56" s="68" t="str">
        <f>IF(COUNTIFS(Dados!$E:$E,$B56,Dados!$C:$C,INDEX(E$3,1,1),Dados!$A:$A,INDEX($D:$E,MATCH("A",$D:$D,0),2))=0,"",SUMIFS(Dados!$G:$G,Dados!$E:$E,$B56,Dados!$C:$C,INDEX(E$3,1,1),Dados!$A:$A,INDEX($D:$E,MATCH("A",$D:$D,0),2))/COUNTIFS(Dados!$E:$E,$B56,Dados!$C:$C,INDEX(E$3,1,1),Dados!$A:$A,INDEX($D:$E,MATCH("A",$D:$D,0),2)))</f>
        <v/>
      </c>
      <c r="F56" s="68" t="str">
        <f>IF(COUNTIFS(Dados!$E:$E,$B56,Dados!$C:$C,INDEX(F$3,1,1),Dados!$A:$A,INDEX($D:$E,MATCH("A",$D:$D,0),2))=0,"",SUMIFS(Dados!$G:$G,Dados!$E:$E,$B56,Dados!$C:$C,INDEX(F$3,1,1),Dados!$A:$A,INDEX($D:$E,MATCH("A",$D:$D,0),2))/COUNTIFS(Dados!$E:$E,$B56,Dados!$C:$C,INDEX(F$3,1,1),Dados!$A:$A,INDEX($D:$E,MATCH("A",$D:$D,0),2)))</f>
        <v/>
      </c>
      <c r="G56" s="68" t="str">
        <f>IF(COUNTIFS(Dados!$E:$E,$B56,Dados!$C:$C,INDEX(G$3,1,1),Dados!$A:$A,INDEX($D:$E,MATCH("A",$D:$D,0),2))=0,"",SUMIFS(Dados!$G:$G,Dados!$E:$E,$B56,Dados!$C:$C,INDEX(G$3,1,1),Dados!$A:$A,INDEX($D:$E,MATCH("A",$D:$D,0),2))/COUNTIFS(Dados!$E:$E,$B56,Dados!$C:$C,INDEX(G$3,1,1),Dados!$A:$A,INDEX($D:$E,MATCH("A",$D:$D,0),2)))</f>
        <v/>
      </c>
      <c r="H56" s="68" t="str">
        <f>IF(COUNTIFS(Dados!$E:$E,$B56,Dados!$C:$C,INDEX(H$3,1,1),Dados!$A:$A,INDEX($D:$E,MATCH("A",$D:$D,0),2))=0,"",SUMIFS(Dados!$G:$G,Dados!$E:$E,$B56,Dados!$C:$C,INDEX(H$3,1,1),Dados!$A:$A,INDEX($D:$E,MATCH("A",$D:$D,0),2))/COUNTIFS(Dados!$E:$E,$B56,Dados!$C:$C,INDEX(H$3,1,1),Dados!$A:$A,INDEX($D:$E,MATCH("A",$D:$D,0),2)))</f>
        <v/>
      </c>
      <c r="I56" s="68">
        <f>IF(COUNTIFS(Dados!$E:$E,$B56,Dados!$C:$C,INDEX(I$3,1,1),Dados!$A:$A,INDEX($D:$E,MATCH("A",$D:$D,0),2))=0,"",SUMIFS(Dados!$G:$G,Dados!$E:$E,$B56,Dados!$C:$C,INDEX(I$3,1,1),Dados!$A:$A,INDEX($D:$E,MATCH("A",$D:$D,0),2))/COUNTIFS(Dados!$E:$E,$B56,Dados!$C:$C,INDEX(I$3,1,1),Dados!$A:$A,INDEX($D:$E,MATCH("A",$D:$D,0),2)))</f>
        <v>0.15122044433412066</v>
      </c>
      <c r="J56" s="68" t="str">
        <f>IF(COUNTIFS(Dados!$E:$E,$B56,Dados!$C:$C,INDEX(J$3,1,1),Dados!$A:$A,INDEX($D:$E,MATCH("A",$D:$D,0),2))=0,"",SUMIFS(Dados!$G:$G,Dados!$E:$E,$B56,Dados!$C:$C,INDEX(J$3,1,1),Dados!$A:$A,INDEX($D:$E,MATCH("A",$D:$D,0),2))/COUNTIFS(Dados!$E:$E,$B56,Dados!$C:$C,INDEX(J$3,1,1),Dados!$A:$A,INDEX($D:$E,MATCH("A",$D:$D,0),2)))</f>
        <v/>
      </c>
      <c r="K56" s="68" t="str">
        <f>IF(COUNTIFS(Dados!$E:$E,$B56,Dados!$C:$C,INDEX(K$3,1,1),Dados!$A:$A,INDEX($D:$E,MATCH("A",$D:$D,0),2))=0,"",SUMIFS(Dados!$G:$G,Dados!$E:$E,$B56,Dados!$C:$C,INDEX(K$3,1,1),Dados!$A:$A,INDEX($D:$E,MATCH("A",$D:$D,0),2))/COUNTIFS(Dados!$E:$E,$B56,Dados!$C:$C,INDEX(K$3,1,1),Dados!$A:$A,INDEX($D:$E,MATCH("A",$D:$D,0),2)))</f>
        <v/>
      </c>
      <c r="L56" s="68" t="str">
        <f>IF(COUNTIFS(Dados!$E:$E,$B56,Dados!$C:$C,INDEX(L$3,1,1),Dados!$A:$A,INDEX($D:$E,MATCH("A",$D:$D,0),2))=0,"",SUMIFS(Dados!$G:$G,Dados!$E:$E,$B56,Dados!$C:$C,INDEX(L$3,1,1),Dados!$A:$A,INDEX($D:$E,MATCH("A",$D:$D,0),2))/COUNTIFS(Dados!$E:$E,$B56,Dados!$C:$C,INDEX(L$3,1,1),Dados!$A:$A,INDEX($D:$E,MATCH("A",$D:$D,0),2)))</f>
        <v/>
      </c>
      <c r="M56" s="68" t="str">
        <f>IF(COUNTIFS(Dados!$E:$E,$B56,Dados!$C:$C,INDEX(M$3,1,1),Dados!$A:$A,INDEX($D:$E,MATCH("A",$D:$D,0),2))=0,"",SUMIFS(Dados!$G:$G,Dados!$E:$E,$B56,Dados!$C:$C,INDEX(M$3,1,1),Dados!$A:$A,INDEX($D:$E,MATCH("A",$D:$D,0),2))/COUNTIFS(Dados!$E:$E,$B56,Dados!$C:$C,INDEX(M$3,1,1),Dados!$A:$A,INDEX($D:$E,MATCH("A",$D:$D,0),2)))</f>
        <v/>
      </c>
      <c r="N56" s="68" t="str">
        <f>IF(COUNTIFS(Dados!$E:$E,$B56,Dados!$C:$C,INDEX(N$3,1,1),Dados!$A:$A,INDEX($D:$E,MATCH("A",$D:$D,0),2))=0,"",SUMIFS(Dados!$G:$G,Dados!$E:$E,$B56,Dados!$C:$C,INDEX(N$3,1,1),Dados!$A:$A,INDEX($D:$E,MATCH("A",$D:$D,0),2))/COUNTIFS(Dados!$E:$E,$B56,Dados!$C:$C,INDEX(N$3,1,1),Dados!$A:$A,INDEX($D:$E,MATCH("A",$D:$D,0),2)))</f>
        <v/>
      </c>
      <c r="O56" s="68" t="str">
        <f>IF(COUNTIFS(Dados!$E:$E,$B56,Dados!$C:$C,INDEX(O$3,1,1),Dados!$A:$A,INDEX($D:$E,MATCH("A",$D:$D,0),2))=0,"",SUMIFS(Dados!$G:$G,Dados!$E:$E,$B56,Dados!$C:$C,INDEX(O$3,1,1),Dados!$A:$A,INDEX($D:$E,MATCH("A",$D:$D,0),2))/COUNTIFS(Dados!$E:$E,$B56,Dados!$C:$C,INDEX(O$3,1,1),Dados!$A:$A,INDEX($D:$E,MATCH("A",$D:$D,0),2)))</f>
        <v/>
      </c>
      <c r="P56" s="68" t="str">
        <f>IF(COUNTIFS(Dados!$E:$E,$B56,Dados!$C:$C,INDEX(P$3,1,1),Dados!$A:$A,INDEX($D:$E,MATCH("A",$D:$D,0),2))=0,"",SUMIFS(Dados!$G:$G,Dados!$E:$E,$B56,Dados!$C:$C,INDEX(P$3,1,1),Dados!$A:$A,INDEX($D:$E,MATCH("A",$D:$D,0),2))/COUNTIFS(Dados!$E:$E,$B56,Dados!$C:$C,INDEX(P$3,1,1),Dados!$A:$A,INDEX($D:$E,MATCH("A",$D:$D,0),2)))</f>
        <v/>
      </c>
      <c r="Q56" s="68" t="str">
        <f>IF(COUNTIFS(Dados!$E:$E,$B56,Dados!$C:$C,INDEX(Q$3,1,1),Dados!$A:$A,INDEX($D:$E,MATCH("A",$D:$D,0),2))=0,"",SUMIFS(Dados!$G:$G,Dados!$E:$E,$B56,Dados!$C:$C,INDEX(Q$3,1,1),Dados!$A:$A,INDEX($D:$E,MATCH("A",$D:$D,0),2))/COUNTIFS(Dados!$E:$E,$B56,Dados!$C:$C,INDEX(Q$3,1,1),Dados!$A:$A,INDEX($D:$E,MATCH("A",$D:$D,0),2)))</f>
        <v/>
      </c>
      <c r="R56" s="68" t="str">
        <f>IF(COUNTIFS(Dados!$E:$E,$B56,Dados!$C:$C,INDEX(R$3,1,1),Dados!$A:$A,INDEX($D:$E,MATCH("A",$D:$D,0),2))=0,"",SUMIFS(Dados!$G:$G,Dados!$E:$E,$B56,Dados!$C:$C,INDEX(R$3,1,1),Dados!$A:$A,INDEX($D:$E,MATCH("A",$D:$D,0),2))/COUNTIFS(Dados!$E:$E,$B56,Dados!$C:$C,INDEX(R$3,1,1),Dados!$A:$A,INDEX($D:$E,MATCH("A",$D:$D,0),2)))</f>
        <v/>
      </c>
      <c r="S56" s="68" t="str">
        <f>IF(COUNTIFS(Dados!$E:$E,$B56,Dados!$C:$C,INDEX(S$3,1,1),Dados!$A:$A,INDEX($D:$E,MATCH("A",$D:$D,0),2))=0,"",SUMIFS(Dados!$G:$G,Dados!$E:$E,$B56,Dados!$C:$C,INDEX(S$3,1,1),Dados!$A:$A,INDEX($D:$E,MATCH("A",$D:$D,0),2))/COUNTIFS(Dados!$E:$E,$B56,Dados!$C:$C,INDEX(S$3,1,1),Dados!$A:$A,INDEX($D:$E,MATCH("A",$D:$D,0),2)))</f>
        <v/>
      </c>
      <c r="T56" s="68" t="str">
        <f>IF(COUNTIFS(Dados!$E:$E,$B56,Dados!$C:$C,INDEX(T$3,1,1),Dados!$A:$A,INDEX($D:$E,MATCH("A",$D:$D,0),2))=0,"",SUMIFS(Dados!$G:$G,Dados!$E:$E,$B56,Dados!$C:$C,INDEX(T$3,1,1),Dados!$A:$A,INDEX($D:$E,MATCH("A",$D:$D,0),2))/COUNTIFS(Dados!$E:$E,$B56,Dados!$C:$C,INDEX(T$3,1,1),Dados!$A:$A,INDEX($D:$E,MATCH("A",$D:$D,0),2)))</f>
        <v/>
      </c>
      <c r="U56" s="68" t="str">
        <f>IF(COUNTIFS(Dados!$E:$E,$B56,Dados!$C:$C,INDEX(U$3,1,1),Dados!$A:$A,INDEX($D:$E,MATCH("A",$D:$D,0),2))=0,"",SUMIFS(Dados!$G:$G,Dados!$E:$E,$B56,Dados!$C:$C,INDEX(U$3,1,1),Dados!$A:$A,INDEX($D:$E,MATCH("A",$D:$D,0),2))/COUNTIFS(Dados!$E:$E,$B56,Dados!$C:$C,INDEX(U$3,1,1),Dados!$A:$A,INDEX($D:$E,MATCH("A",$D:$D,0),2)))</f>
        <v/>
      </c>
      <c r="V56" s="68" t="str">
        <f>IF(COUNTIFS(Dados!$E:$E,$B56,Dados!$C:$C,INDEX(V$3,1,1),Dados!$A:$A,INDEX($D:$E,MATCH("A",$D:$D,0),2))=0,"",SUMIFS(Dados!$G:$G,Dados!$E:$E,$B56,Dados!$C:$C,INDEX(V$3,1,1),Dados!$A:$A,INDEX($D:$E,MATCH("A",$D:$D,0),2))/COUNTIFS(Dados!$E:$E,$B56,Dados!$C:$C,INDEX(V$3,1,1),Dados!$A:$A,INDEX($D:$E,MATCH("A",$D:$D,0),2)))</f>
        <v/>
      </c>
    </row>
    <row r="57" spans="2:22" x14ac:dyDescent="0.25">
      <c r="B57" s="65" t="s">
        <v>1301</v>
      </c>
      <c r="C57" s="72">
        <f>VLOOKUP(B57,B4:C22,2,0)</f>
        <v>12</v>
      </c>
      <c r="D57" s="66" t="str">
        <f>IF(COUNTIFS(Dados!$E:$E,$B57,Dados!$C:$C,INDEX(D$3,1,1),Dados!$A:$A,INDEX($D:$E,MATCH("A",$D:$D,0),2))=0,"",SUMIFS(Dados!$G:$G,Dados!$E:$E,$B57,Dados!$C:$C,INDEX(D$3,1,1),Dados!$A:$A,INDEX($D:$E,MATCH("A",$D:$D,0),2))/COUNTIFS(Dados!$E:$E,$B57,Dados!$C:$C,INDEX(D$3,1,1),Dados!$A:$A,INDEX($D:$E,MATCH("A",$D:$D,0),2)))</f>
        <v/>
      </c>
      <c r="E57" s="66" t="str">
        <f>IF(COUNTIFS(Dados!$E:$E,$B57,Dados!$C:$C,INDEX(E$3,1,1),Dados!$A:$A,INDEX($D:$E,MATCH("A",$D:$D,0),2))=0,"",SUMIFS(Dados!$G:$G,Dados!$E:$E,$B57,Dados!$C:$C,INDEX(E$3,1,1),Dados!$A:$A,INDEX($D:$E,MATCH("A",$D:$D,0),2))/COUNTIFS(Dados!$E:$E,$B57,Dados!$C:$C,INDEX(E$3,1,1),Dados!$A:$A,INDEX($D:$E,MATCH("A",$D:$D,0),2)))</f>
        <v/>
      </c>
      <c r="F57" s="66" t="str">
        <f>IF(COUNTIFS(Dados!$E:$E,$B57,Dados!$C:$C,INDEX(F$3,1,1),Dados!$A:$A,INDEX($D:$E,MATCH("A",$D:$D,0),2))=0,"",SUMIFS(Dados!$G:$G,Dados!$E:$E,$B57,Dados!$C:$C,INDEX(F$3,1,1),Dados!$A:$A,INDEX($D:$E,MATCH("A",$D:$D,0),2))/COUNTIFS(Dados!$E:$E,$B57,Dados!$C:$C,INDEX(F$3,1,1),Dados!$A:$A,INDEX($D:$E,MATCH("A",$D:$D,0),2)))</f>
        <v/>
      </c>
      <c r="G57" s="66" t="str">
        <f>IF(COUNTIFS(Dados!$E:$E,$B57,Dados!$C:$C,INDEX(G$3,1,1),Dados!$A:$A,INDEX($D:$E,MATCH("A",$D:$D,0),2))=0,"",SUMIFS(Dados!$G:$G,Dados!$E:$E,$B57,Dados!$C:$C,INDEX(G$3,1,1),Dados!$A:$A,INDEX($D:$E,MATCH("A",$D:$D,0),2))/COUNTIFS(Dados!$E:$E,$B57,Dados!$C:$C,INDEX(G$3,1,1),Dados!$A:$A,INDEX($D:$E,MATCH("A",$D:$D,0),2)))</f>
        <v/>
      </c>
      <c r="H57" s="66" t="str">
        <f>IF(COUNTIFS(Dados!$E:$E,$B57,Dados!$C:$C,INDEX(H$3,1,1),Dados!$A:$A,INDEX($D:$E,MATCH("A",$D:$D,0),2))=0,"",SUMIFS(Dados!$G:$G,Dados!$E:$E,$B57,Dados!$C:$C,INDEX(H$3,1,1),Dados!$A:$A,INDEX($D:$E,MATCH("A",$D:$D,0),2))/COUNTIFS(Dados!$E:$E,$B57,Dados!$C:$C,INDEX(H$3,1,1),Dados!$A:$A,INDEX($D:$E,MATCH("A",$D:$D,0),2)))</f>
        <v/>
      </c>
      <c r="I57" s="66" t="str">
        <f>IF(COUNTIFS(Dados!$E:$E,$B57,Dados!$C:$C,INDEX(I$3,1,1),Dados!$A:$A,INDEX($D:$E,MATCH("A",$D:$D,0),2))=0,"",SUMIFS(Dados!$G:$G,Dados!$E:$E,$B57,Dados!$C:$C,INDEX(I$3,1,1),Dados!$A:$A,INDEX($D:$E,MATCH("A",$D:$D,0),2))/COUNTIFS(Dados!$E:$E,$B57,Dados!$C:$C,INDEX(I$3,1,1),Dados!$A:$A,INDEX($D:$E,MATCH("A",$D:$D,0),2)))</f>
        <v/>
      </c>
      <c r="J57" s="66" t="str">
        <f>IF(COUNTIFS(Dados!$E:$E,$B57,Dados!$C:$C,INDEX(J$3,1,1),Dados!$A:$A,INDEX($D:$E,MATCH("A",$D:$D,0),2))=0,"",SUMIFS(Dados!$G:$G,Dados!$E:$E,$B57,Dados!$C:$C,INDEX(J$3,1,1),Dados!$A:$A,INDEX($D:$E,MATCH("A",$D:$D,0),2))/COUNTIFS(Dados!$E:$E,$B57,Dados!$C:$C,INDEX(J$3,1,1),Dados!$A:$A,INDEX($D:$E,MATCH("A",$D:$D,0),2)))</f>
        <v/>
      </c>
      <c r="K57" s="66" t="str">
        <f>IF(COUNTIFS(Dados!$E:$E,$B57,Dados!$C:$C,INDEX(K$3,1,1),Dados!$A:$A,INDEX($D:$E,MATCH("A",$D:$D,0),2))=0,"",SUMIFS(Dados!$G:$G,Dados!$E:$E,$B57,Dados!$C:$C,INDEX(K$3,1,1),Dados!$A:$A,INDEX($D:$E,MATCH("A",$D:$D,0),2))/COUNTIFS(Dados!$E:$E,$B57,Dados!$C:$C,INDEX(K$3,1,1),Dados!$A:$A,INDEX($D:$E,MATCH("A",$D:$D,0),2)))</f>
        <v/>
      </c>
      <c r="L57" s="66" t="str">
        <f>IF(COUNTIFS(Dados!$E:$E,$B57,Dados!$C:$C,INDEX(L$3,1,1),Dados!$A:$A,INDEX($D:$E,MATCH("A",$D:$D,0),2))=0,"",SUMIFS(Dados!$G:$G,Dados!$E:$E,$B57,Dados!$C:$C,INDEX(L$3,1,1),Dados!$A:$A,INDEX($D:$E,MATCH("A",$D:$D,0),2))/COUNTIFS(Dados!$E:$E,$B57,Dados!$C:$C,INDEX(L$3,1,1),Dados!$A:$A,INDEX($D:$E,MATCH("A",$D:$D,0),2)))</f>
        <v/>
      </c>
      <c r="M57" s="66" t="str">
        <f>IF(COUNTIFS(Dados!$E:$E,$B57,Dados!$C:$C,INDEX(M$3,1,1),Dados!$A:$A,INDEX($D:$E,MATCH("A",$D:$D,0),2))=0,"",SUMIFS(Dados!$G:$G,Dados!$E:$E,$B57,Dados!$C:$C,INDEX(M$3,1,1),Dados!$A:$A,INDEX($D:$E,MATCH("A",$D:$D,0),2))/COUNTIFS(Dados!$E:$E,$B57,Dados!$C:$C,INDEX(M$3,1,1),Dados!$A:$A,INDEX($D:$E,MATCH("A",$D:$D,0),2)))</f>
        <v/>
      </c>
      <c r="N57" s="66" t="str">
        <f>IF(COUNTIFS(Dados!$E:$E,$B57,Dados!$C:$C,INDEX(N$3,1,1),Dados!$A:$A,INDEX($D:$E,MATCH("A",$D:$D,0),2))=0,"",SUMIFS(Dados!$G:$G,Dados!$E:$E,$B57,Dados!$C:$C,INDEX(N$3,1,1),Dados!$A:$A,INDEX($D:$E,MATCH("A",$D:$D,0),2))/COUNTIFS(Dados!$E:$E,$B57,Dados!$C:$C,INDEX(N$3,1,1),Dados!$A:$A,INDEX($D:$E,MATCH("A",$D:$D,0),2)))</f>
        <v/>
      </c>
      <c r="O57" s="66" t="str">
        <f>IF(COUNTIFS(Dados!$E:$E,$B57,Dados!$C:$C,INDEX(O$3,1,1),Dados!$A:$A,INDEX($D:$E,MATCH("A",$D:$D,0),2))=0,"",SUMIFS(Dados!$G:$G,Dados!$E:$E,$B57,Dados!$C:$C,INDEX(O$3,1,1),Dados!$A:$A,INDEX($D:$E,MATCH("A",$D:$D,0),2))/COUNTIFS(Dados!$E:$E,$B57,Dados!$C:$C,INDEX(O$3,1,1),Dados!$A:$A,INDEX($D:$E,MATCH("A",$D:$D,0),2)))</f>
        <v/>
      </c>
      <c r="P57" s="66" t="str">
        <f>IF(COUNTIFS(Dados!$E:$E,$B57,Dados!$C:$C,INDEX(P$3,1,1),Dados!$A:$A,INDEX($D:$E,MATCH("A",$D:$D,0),2))=0,"",SUMIFS(Dados!$G:$G,Dados!$E:$E,$B57,Dados!$C:$C,INDEX(P$3,1,1),Dados!$A:$A,INDEX($D:$E,MATCH("A",$D:$D,0),2))/COUNTIFS(Dados!$E:$E,$B57,Dados!$C:$C,INDEX(P$3,1,1),Dados!$A:$A,INDEX($D:$E,MATCH("A",$D:$D,0),2)))</f>
        <v/>
      </c>
      <c r="Q57" s="66" t="str">
        <f>IF(COUNTIFS(Dados!$E:$E,$B57,Dados!$C:$C,INDEX(Q$3,1,1),Dados!$A:$A,INDEX($D:$E,MATCH("A",$D:$D,0),2))=0,"",SUMIFS(Dados!$G:$G,Dados!$E:$E,$B57,Dados!$C:$C,INDEX(Q$3,1,1),Dados!$A:$A,INDEX($D:$E,MATCH("A",$D:$D,0),2))/COUNTIFS(Dados!$E:$E,$B57,Dados!$C:$C,INDEX(Q$3,1,1),Dados!$A:$A,INDEX($D:$E,MATCH("A",$D:$D,0),2)))</f>
        <v/>
      </c>
      <c r="R57" s="66" t="str">
        <f>IF(COUNTIFS(Dados!$E:$E,$B57,Dados!$C:$C,INDEX(R$3,1,1),Dados!$A:$A,INDEX($D:$E,MATCH("A",$D:$D,0),2))=0,"",SUMIFS(Dados!$G:$G,Dados!$E:$E,$B57,Dados!$C:$C,INDEX(R$3,1,1),Dados!$A:$A,INDEX($D:$E,MATCH("A",$D:$D,0),2))/COUNTIFS(Dados!$E:$E,$B57,Dados!$C:$C,INDEX(R$3,1,1),Dados!$A:$A,INDEX($D:$E,MATCH("A",$D:$D,0),2)))</f>
        <v/>
      </c>
      <c r="S57" s="66" t="str">
        <f>IF(COUNTIFS(Dados!$E:$E,$B57,Dados!$C:$C,INDEX(S$3,1,1),Dados!$A:$A,INDEX($D:$E,MATCH("A",$D:$D,0),2))=0,"",SUMIFS(Dados!$G:$G,Dados!$E:$E,$B57,Dados!$C:$C,INDEX(S$3,1,1),Dados!$A:$A,INDEX($D:$E,MATCH("A",$D:$D,0),2))/COUNTIFS(Dados!$E:$E,$B57,Dados!$C:$C,INDEX(S$3,1,1),Dados!$A:$A,INDEX($D:$E,MATCH("A",$D:$D,0),2)))</f>
        <v/>
      </c>
      <c r="T57" s="66" t="str">
        <f>IF(COUNTIFS(Dados!$E:$E,$B57,Dados!$C:$C,INDEX(T$3,1,1),Dados!$A:$A,INDEX($D:$E,MATCH("A",$D:$D,0),2))=0,"",SUMIFS(Dados!$G:$G,Dados!$E:$E,$B57,Dados!$C:$C,INDEX(T$3,1,1),Dados!$A:$A,INDEX($D:$E,MATCH("A",$D:$D,0),2))/COUNTIFS(Dados!$E:$E,$B57,Dados!$C:$C,INDEX(T$3,1,1),Dados!$A:$A,INDEX($D:$E,MATCH("A",$D:$D,0),2)))</f>
        <v/>
      </c>
      <c r="U57" s="66" t="str">
        <f>IF(COUNTIFS(Dados!$E:$E,$B57,Dados!$C:$C,INDEX(U$3,1,1),Dados!$A:$A,INDEX($D:$E,MATCH("A",$D:$D,0),2))=0,"",SUMIFS(Dados!$G:$G,Dados!$E:$E,$B57,Dados!$C:$C,INDEX(U$3,1,1),Dados!$A:$A,INDEX($D:$E,MATCH("A",$D:$D,0),2))/COUNTIFS(Dados!$E:$E,$B57,Dados!$C:$C,INDEX(U$3,1,1),Dados!$A:$A,INDEX($D:$E,MATCH("A",$D:$D,0),2)))</f>
        <v/>
      </c>
      <c r="V57" s="66" t="str">
        <f>IF(COUNTIFS(Dados!$E:$E,$B57,Dados!$C:$C,INDEX(V$3,1,1),Dados!$A:$A,INDEX($D:$E,MATCH("A",$D:$D,0),2))=0,"",SUMIFS(Dados!$G:$G,Dados!$E:$E,$B57,Dados!$C:$C,INDEX(V$3,1,1),Dados!$A:$A,INDEX($D:$E,MATCH("A",$D:$D,0),2))/COUNTIFS(Dados!$E:$E,$B57,Dados!$C:$C,INDEX(V$3,1,1),Dados!$A:$A,INDEX($D:$E,MATCH("A",$D:$D,0),2)))</f>
        <v/>
      </c>
    </row>
    <row r="58" spans="2:22" x14ac:dyDescent="0.25">
      <c r="B58" s="67" t="s">
        <v>1302</v>
      </c>
      <c r="C58" s="71">
        <f>VLOOKUP(B58,B4:C22,2,0)</f>
        <v>13</v>
      </c>
      <c r="D58" s="68" t="str">
        <f>IF(COUNTIFS(Dados!$E:$E,$B58,Dados!$C:$C,INDEX(D$3,1,1),Dados!$A:$A,INDEX($D:$E,MATCH("A",$D:$D,0),2))=0,"",SUMIFS(Dados!$G:$G,Dados!$E:$E,$B58,Dados!$C:$C,INDEX(D$3,1,1),Dados!$A:$A,INDEX($D:$E,MATCH("A",$D:$D,0),2))/COUNTIFS(Dados!$E:$E,$B58,Dados!$C:$C,INDEX(D$3,1,1),Dados!$A:$A,INDEX($D:$E,MATCH("A",$D:$D,0),2)))</f>
        <v/>
      </c>
      <c r="E58" s="68" t="str">
        <f>IF(COUNTIFS(Dados!$E:$E,$B58,Dados!$C:$C,INDEX(E$3,1,1),Dados!$A:$A,INDEX($D:$E,MATCH("A",$D:$D,0),2))=0,"",SUMIFS(Dados!$G:$G,Dados!$E:$E,$B58,Dados!$C:$C,INDEX(E$3,1,1),Dados!$A:$A,INDEX($D:$E,MATCH("A",$D:$D,0),2))/COUNTIFS(Dados!$E:$E,$B58,Dados!$C:$C,INDEX(E$3,1,1),Dados!$A:$A,INDEX($D:$E,MATCH("A",$D:$D,0),2)))</f>
        <v/>
      </c>
      <c r="F58" s="68" t="str">
        <f>IF(COUNTIFS(Dados!$E:$E,$B58,Dados!$C:$C,INDEX(F$3,1,1),Dados!$A:$A,INDEX($D:$E,MATCH("A",$D:$D,0),2))=0,"",SUMIFS(Dados!$G:$G,Dados!$E:$E,$B58,Dados!$C:$C,INDEX(F$3,1,1),Dados!$A:$A,INDEX($D:$E,MATCH("A",$D:$D,0),2))/COUNTIFS(Dados!$E:$E,$B58,Dados!$C:$C,INDEX(F$3,1,1),Dados!$A:$A,INDEX($D:$E,MATCH("A",$D:$D,0),2)))</f>
        <v/>
      </c>
      <c r="G58" s="68" t="str">
        <f>IF(COUNTIFS(Dados!$E:$E,$B58,Dados!$C:$C,INDEX(G$3,1,1),Dados!$A:$A,INDEX($D:$E,MATCH("A",$D:$D,0),2))=0,"",SUMIFS(Dados!$G:$G,Dados!$E:$E,$B58,Dados!$C:$C,INDEX(G$3,1,1),Dados!$A:$A,INDEX($D:$E,MATCH("A",$D:$D,0),2))/COUNTIFS(Dados!$E:$E,$B58,Dados!$C:$C,INDEX(G$3,1,1),Dados!$A:$A,INDEX($D:$E,MATCH("A",$D:$D,0),2)))</f>
        <v/>
      </c>
      <c r="H58" s="68" t="str">
        <f>IF(COUNTIFS(Dados!$E:$E,$B58,Dados!$C:$C,INDEX(H$3,1,1),Dados!$A:$A,INDEX($D:$E,MATCH("A",$D:$D,0),2))=0,"",SUMIFS(Dados!$G:$G,Dados!$E:$E,$B58,Dados!$C:$C,INDEX(H$3,1,1),Dados!$A:$A,INDEX($D:$E,MATCH("A",$D:$D,0),2))/COUNTIFS(Dados!$E:$E,$B58,Dados!$C:$C,INDEX(H$3,1,1),Dados!$A:$A,INDEX($D:$E,MATCH("A",$D:$D,0),2)))</f>
        <v/>
      </c>
      <c r="I58" s="68" t="str">
        <f>IF(COUNTIFS(Dados!$E:$E,$B58,Dados!$C:$C,INDEX(I$3,1,1),Dados!$A:$A,INDEX($D:$E,MATCH("A",$D:$D,0),2))=0,"",SUMIFS(Dados!$G:$G,Dados!$E:$E,$B58,Dados!$C:$C,INDEX(I$3,1,1),Dados!$A:$A,INDEX($D:$E,MATCH("A",$D:$D,0),2))/COUNTIFS(Dados!$E:$E,$B58,Dados!$C:$C,INDEX(I$3,1,1),Dados!$A:$A,INDEX($D:$E,MATCH("A",$D:$D,0),2)))</f>
        <v/>
      </c>
      <c r="J58" s="68" t="str">
        <f>IF(COUNTIFS(Dados!$E:$E,$B58,Dados!$C:$C,INDEX(J$3,1,1),Dados!$A:$A,INDEX($D:$E,MATCH("A",$D:$D,0),2))=0,"",SUMIFS(Dados!$G:$G,Dados!$E:$E,$B58,Dados!$C:$C,INDEX(J$3,1,1),Dados!$A:$A,INDEX($D:$E,MATCH("A",$D:$D,0),2))/COUNTIFS(Dados!$E:$E,$B58,Dados!$C:$C,INDEX(J$3,1,1),Dados!$A:$A,INDEX($D:$E,MATCH("A",$D:$D,0),2)))</f>
        <v/>
      </c>
      <c r="K58" s="68" t="str">
        <f>IF(COUNTIFS(Dados!$E:$E,$B58,Dados!$C:$C,INDEX(K$3,1,1),Dados!$A:$A,INDEX($D:$E,MATCH("A",$D:$D,0),2))=0,"",SUMIFS(Dados!$G:$G,Dados!$E:$E,$B58,Dados!$C:$C,INDEX(K$3,1,1),Dados!$A:$A,INDEX($D:$E,MATCH("A",$D:$D,0),2))/COUNTIFS(Dados!$E:$E,$B58,Dados!$C:$C,INDEX(K$3,1,1),Dados!$A:$A,INDEX($D:$E,MATCH("A",$D:$D,0),2)))</f>
        <v/>
      </c>
      <c r="L58" s="68" t="str">
        <f>IF(COUNTIFS(Dados!$E:$E,$B58,Dados!$C:$C,INDEX(L$3,1,1),Dados!$A:$A,INDEX($D:$E,MATCH("A",$D:$D,0),2))=0,"",SUMIFS(Dados!$G:$G,Dados!$E:$E,$B58,Dados!$C:$C,INDEX(L$3,1,1),Dados!$A:$A,INDEX($D:$E,MATCH("A",$D:$D,0),2))/COUNTIFS(Dados!$E:$E,$B58,Dados!$C:$C,INDEX(L$3,1,1),Dados!$A:$A,INDEX($D:$E,MATCH("A",$D:$D,0),2)))</f>
        <v/>
      </c>
      <c r="M58" s="68" t="str">
        <f>IF(COUNTIFS(Dados!$E:$E,$B58,Dados!$C:$C,INDEX(M$3,1,1),Dados!$A:$A,INDEX($D:$E,MATCH("A",$D:$D,0),2))=0,"",SUMIFS(Dados!$G:$G,Dados!$E:$E,$B58,Dados!$C:$C,INDEX(M$3,1,1),Dados!$A:$A,INDEX($D:$E,MATCH("A",$D:$D,0),2))/COUNTIFS(Dados!$E:$E,$B58,Dados!$C:$C,INDEX(M$3,1,1),Dados!$A:$A,INDEX($D:$E,MATCH("A",$D:$D,0),2)))</f>
        <v/>
      </c>
      <c r="N58" s="68" t="str">
        <f>IF(COUNTIFS(Dados!$E:$E,$B58,Dados!$C:$C,INDEX(N$3,1,1),Dados!$A:$A,INDEX($D:$E,MATCH("A",$D:$D,0),2))=0,"",SUMIFS(Dados!$G:$G,Dados!$E:$E,$B58,Dados!$C:$C,INDEX(N$3,1,1),Dados!$A:$A,INDEX($D:$E,MATCH("A",$D:$D,0),2))/COUNTIFS(Dados!$E:$E,$B58,Dados!$C:$C,INDEX(N$3,1,1),Dados!$A:$A,INDEX($D:$E,MATCH("A",$D:$D,0),2)))</f>
        <v/>
      </c>
      <c r="O58" s="68" t="str">
        <f>IF(COUNTIFS(Dados!$E:$E,$B58,Dados!$C:$C,INDEX(O$3,1,1),Dados!$A:$A,INDEX($D:$E,MATCH("A",$D:$D,0),2))=0,"",SUMIFS(Dados!$G:$G,Dados!$E:$E,$B58,Dados!$C:$C,INDEX(O$3,1,1),Dados!$A:$A,INDEX($D:$E,MATCH("A",$D:$D,0),2))/COUNTIFS(Dados!$E:$E,$B58,Dados!$C:$C,INDEX(O$3,1,1),Dados!$A:$A,INDEX($D:$E,MATCH("A",$D:$D,0),2)))</f>
        <v/>
      </c>
      <c r="P58" s="68" t="str">
        <f>IF(COUNTIFS(Dados!$E:$E,$B58,Dados!$C:$C,INDEX(P$3,1,1),Dados!$A:$A,INDEX($D:$E,MATCH("A",$D:$D,0),2))=0,"",SUMIFS(Dados!$G:$G,Dados!$E:$E,$B58,Dados!$C:$C,INDEX(P$3,1,1),Dados!$A:$A,INDEX($D:$E,MATCH("A",$D:$D,0),2))/COUNTIFS(Dados!$E:$E,$B58,Dados!$C:$C,INDEX(P$3,1,1),Dados!$A:$A,INDEX($D:$E,MATCH("A",$D:$D,0),2)))</f>
        <v/>
      </c>
      <c r="Q58" s="68" t="str">
        <f>IF(COUNTIFS(Dados!$E:$E,$B58,Dados!$C:$C,INDEX(Q$3,1,1),Dados!$A:$A,INDEX($D:$E,MATCH("A",$D:$D,0),2))=0,"",SUMIFS(Dados!$G:$G,Dados!$E:$E,$B58,Dados!$C:$C,INDEX(Q$3,1,1),Dados!$A:$A,INDEX($D:$E,MATCH("A",$D:$D,0),2))/COUNTIFS(Dados!$E:$E,$B58,Dados!$C:$C,INDEX(Q$3,1,1),Dados!$A:$A,INDEX($D:$E,MATCH("A",$D:$D,0),2)))</f>
        <v/>
      </c>
      <c r="R58" s="68" t="str">
        <f>IF(COUNTIFS(Dados!$E:$E,$B58,Dados!$C:$C,INDEX(R$3,1,1),Dados!$A:$A,INDEX($D:$E,MATCH("A",$D:$D,0),2))=0,"",SUMIFS(Dados!$G:$G,Dados!$E:$E,$B58,Dados!$C:$C,INDEX(R$3,1,1),Dados!$A:$A,INDEX($D:$E,MATCH("A",$D:$D,0),2))/COUNTIFS(Dados!$E:$E,$B58,Dados!$C:$C,INDEX(R$3,1,1),Dados!$A:$A,INDEX($D:$E,MATCH("A",$D:$D,0),2)))</f>
        <v/>
      </c>
      <c r="S58" s="68" t="str">
        <f>IF(COUNTIFS(Dados!$E:$E,$B58,Dados!$C:$C,INDEX(S$3,1,1),Dados!$A:$A,INDEX($D:$E,MATCH("A",$D:$D,0),2))=0,"",SUMIFS(Dados!$G:$G,Dados!$E:$E,$B58,Dados!$C:$C,INDEX(S$3,1,1),Dados!$A:$A,INDEX($D:$E,MATCH("A",$D:$D,0),2))/COUNTIFS(Dados!$E:$E,$B58,Dados!$C:$C,INDEX(S$3,1,1),Dados!$A:$A,INDEX($D:$E,MATCH("A",$D:$D,0),2)))</f>
        <v/>
      </c>
      <c r="T58" s="68" t="str">
        <f>IF(COUNTIFS(Dados!$E:$E,$B58,Dados!$C:$C,INDEX(T$3,1,1),Dados!$A:$A,INDEX($D:$E,MATCH("A",$D:$D,0),2))=0,"",SUMIFS(Dados!$G:$G,Dados!$E:$E,$B58,Dados!$C:$C,INDEX(T$3,1,1),Dados!$A:$A,INDEX($D:$E,MATCH("A",$D:$D,0),2))/COUNTIFS(Dados!$E:$E,$B58,Dados!$C:$C,INDEX(T$3,1,1),Dados!$A:$A,INDEX($D:$E,MATCH("A",$D:$D,0),2)))</f>
        <v/>
      </c>
      <c r="U58" s="68" t="str">
        <f>IF(COUNTIFS(Dados!$E:$E,$B58,Dados!$C:$C,INDEX(U$3,1,1),Dados!$A:$A,INDEX($D:$E,MATCH("A",$D:$D,0),2))=0,"",SUMIFS(Dados!$G:$G,Dados!$E:$E,$B58,Dados!$C:$C,INDEX(U$3,1,1),Dados!$A:$A,INDEX($D:$E,MATCH("A",$D:$D,0),2))/COUNTIFS(Dados!$E:$E,$B58,Dados!$C:$C,INDEX(U$3,1,1),Dados!$A:$A,INDEX($D:$E,MATCH("A",$D:$D,0),2)))</f>
        <v/>
      </c>
      <c r="V58" s="68" t="str">
        <f>IF(COUNTIFS(Dados!$E:$E,$B58,Dados!$C:$C,INDEX(V$3,1,1),Dados!$A:$A,INDEX($D:$E,MATCH("A",$D:$D,0),2))=0,"",SUMIFS(Dados!$G:$G,Dados!$E:$E,$B58,Dados!$C:$C,INDEX(V$3,1,1),Dados!$A:$A,INDEX($D:$E,MATCH("A",$D:$D,0),2))/COUNTIFS(Dados!$E:$E,$B58,Dados!$C:$C,INDEX(V$3,1,1),Dados!$A:$A,INDEX($D:$E,MATCH("A",$D:$D,0),2)))</f>
        <v/>
      </c>
    </row>
    <row r="59" spans="2:22" x14ac:dyDescent="0.25">
      <c r="B59" s="65" t="s">
        <v>1296</v>
      </c>
      <c r="C59" s="72">
        <f>VLOOKUP(B59,B4:C22,2,0)</f>
        <v>14</v>
      </c>
      <c r="D59" s="66">
        <f>IF(COUNTIFS(Dados!$E:$E,$B59,Dados!$C:$C,INDEX(D$3,1,1),Dados!$A:$A,INDEX($D:$E,MATCH("A",$D:$D,0),2))=0,"",SUMIFS(Dados!$G:$G,Dados!$E:$E,$B59,Dados!$C:$C,INDEX(D$3,1,1),Dados!$A:$A,INDEX($D:$E,MATCH("A",$D:$D,0),2))/COUNTIFS(Dados!$E:$E,$B59,Dados!$C:$C,INDEX(D$3,1,1),Dados!$A:$A,INDEX($D:$E,MATCH("A",$D:$D,0),2)))</f>
        <v>0.85126955282047545</v>
      </c>
      <c r="E59" s="66">
        <f>IF(COUNTIFS(Dados!$E:$E,$B59,Dados!$C:$C,INDEX(E$3,1,1),Dados!$A:$A,INDEX($D:$E,MATCH("A",$D:$D,0),2))=0,"",SUMIFS(Dados!$G:$G,Dados!$E:$E,$B59,Dados!$C:$C,INDEX(E$3,1,1),Dados!$A:$A,INDEX($D:$E,MATCH("A",$D:$D,0),2))/COUNTIFS(Dados!$E:$E,$B59,Dados!$C:$C,INDEX(E$3,1,1),Dados!$A:$A,INDEX($D:$E,MATCH("A",$D:$D,0),2)))</f>
        <v>0.65473496937437625</v>
      </c>
      <c r="F59" s="66">
        <f>IF(COUNTIFS(Dados!$E:$E,$B59,Dados!$C:$C,INDEX(F$3,1,1),Dados!$A:$A,INDEX($D:$E,MATCH("A",$D:$D,0),2))=0,"",SUMIFS(Dados!$G:$G,Dados!$E:$E,$B59,Dados!$C:$C,INDEX(F$3,1,1),Dados!$A:$A,INDEX($D:$E,MATCH("A",$D:$D,0),2))/COUNTIFS(Dados!$E:$E,$B59,Dados!$C:$C,INDEX(F$3,1,1),Dados!$A:$A,INDEX($D:$E,MATCH("A",$D:$D,0),2)))</f>
        <v>0.75168035596068372</v>
      </c>
      <c r="G59" s="66" t="str">
        <f>IF(COUNTIFS(Dados!$E:$E,$B59,Dados!$C:$C,INDEX(G$3,1,1),Dados!$A:$A,INDEX($D:$E,MATCH("A",$D:$D,0),2))=0,"",SUMIFS(Dados!$G:$G,Dados!$E:$E,$B59,Dados!$C:$C,INDEX(G$3,1,1),Dados!$A:$A,INDEX($D:$E,MATCH("A",$D:$D,0),2))/COUNTIFS(Dados!$E:$E,$B59,Dados!$C:$C,INDEX(G$3,1,1),Dados!$A:$A,INDEX($D:$E,MATCH("A",$D:$D,0),2)))</f>
        <v/>
      </c>
      <c r="H59" s="66">
        <f>IF(COUNTIFS(Dados!$E:$E,$B59,Dados!$C:$C,INDEX(H$3,1,1),Dados!$A:$A,INDEX($D:$E,MATCH("A",$D:$D,0),2))=0,"",SUMIFS(Dados!$G:$G,Dados!$E:$E,$B59,Dados!$C:$C,INDEX(H$3,1,1),Dados!$A:$A,INDEX($D:$E,MATCH("A",$D:$D,0),2))/COUNTIFS(Dados!$E:$E,$B59,Dados!$C:$C,INDEX(H$3,1,1),Dados!$A:$A,INDEX($D:$E,MATCH("A",$D:$D,0),2)))</f>
        <v>0.69309198260727001</v>
      </c>
      <c r="I59" s="66" t="str">
        <f>IF(COUNTIFS(Dados!$E:$E,$B59,Dados!$C:$C,INDEX(I$3,1,1),Dados!$A:$A,INDEX($D:$E,MATCH("A",$D:$D,0),2))=0,"",SUMIFS(Dados!$G:$G,Dados!$E:$E,$B59,Dados!$C:$C,INDEX(I$3,1,1),Dados!$A:$A,INDEX($D:$E,MATCH("A",$D:$D,0),2))/COUNTIFS(Dados!$E:$E,$B59,Dados!$C:$C,INDEX(I$3,1,1),Dados!$A:$A,INDEX($D:$E,MATCH("A",$D:$D,0),2)))</f>
        <v/>
      </c>
      <c r="J59" s="66">
        <f>IF(COUNTIFS(Dados!$E:$E,$B59,Dados!$C:$C,INDEX(J$3,1,1),Dados!$A:$A,INDEX($D:$E,MATCH("A",$D:$D,0),2))=0,"",SUMIFS(Dados!$G:$G,Dados!$E:$E,$B59,Dados!$C:$C,INDEX(J$3,1,1),Dados!$A:$A,INDEX($D:$E,MATCH("A",$D:$D,0),2))/COUNTIFS(Dados!$E:$E,$B59,Dados!$C:$C,INDEX(J$3,1,1),Dados!$A:$A,INDEX($D:$E,MATCH("A",$D:$D,0),2)))</f>
        <v>0.78008887374957103</v>
      </c>
      <c r="K59" s="66" t="str">
        <f>IF(COUNTIFS(Dados!$E:$E,$B59,Dados!$C:$C,INDEX(K$3,1,1),Dados!$A:$A,INDEX($D:$E,MATCH("A",$D:$D,0),2))=0,"",SUMIFS(Dados!$G:$G,Dados!$E:$E,$B59,Dados!$C:$C,INDEX(K$3,1,1),Dados!$A:$A,INDEX($D:$E,MATCH("A",$D:$D,0),2))/COUNTIFS(Dados!$E:$E,$B59,Dados!$C:$C,INDEX(K$3,1,1),Dados!$A:$A,INDEX($D:$E,MATCH("A",$D:$D,0),2)))</f>
        <v/>
      </c>
      <c r="L59" s="66" t="str">
        <f>IF(COUNTIFS(Dados!$E:$E,$B59,Dados!$C:$C,INDEX(L$3,1,1),Dados!$A:$A,INDEX($D:$E,MATCH("A",$D:$D,0),2))=0,"",SUMIFS(Dados!$G:$G,Dados!$E:$E,$B59,Dados!$C:$C,INDEX(L$3,1,1),Dados!$A:$A,INDEX($D:$E,MATCH("A",$D:$D,0),2))/COUNTIFS(Dados!$E:$E,$B59,Dados!$C:$C,INDEX(L$3,1,1),Dados!$A:$A,INDEX($D:$E,MATCH("A",$D:$D,0),2)))</f>
        <v/>
      </c>
      <c r="M59" s="66" t="str">
        <f>IF(COUNTIFS(Dados!$E:$E,$B59,Dados!$C:$C,INDEX(M$3,1,1),Dados!$A:$A,INDEX($D:$E,MATCH("A",$D:$D,0),2))=0,"",SUMIFS(Dados!$G:$G,Dados!$E:$E,$B59,Dados!$C:$C,INDEX(M$3,1,1),Dados!$A:$A,INDEX($D:$E,MATCH("A",$D:$D,0),2))/COUNTIFS(Dados!$E:$E,$B59,Dados!$C:$C,INDEX(M$3,1,1),Dados!$A:$A,INDEX($D:$E,MATCH("A",$D:$D,0),2)))</f>
        <v/>
      </c>
      <c r="N59" s="66" t="str">
        <f>IF(COUNTIFS(Dados!$E:$E,$B59,Dados!$C:$C,INDEX(N$3,1,1),Dados!$A:$A,INDEX($D:$E,MATCH("A",$D:$D,0),2))=0,"",SUMIFS(Dados!$G:$G,Dados!$E:$E,$B59,Dados!$C:$C,INDEX(N$3,1,1),Dados!$A:$A,INDEX($D:$E,MATCH("A",$D:$D,0),2))/COUNTIFS(Dados!$E:$E,$B59,Dados!$C:$C,INDEX(N$3,1,1),Dados!$A:$A,INDEX($D:$E,MATCH("A",$D:$D,0),2)))</f>
        <v/>
      </c>
      <c r="O59" s="66" t="str">
        <f>IF(COUNTIFS(Dados!$E:$E,$B59,Dados!$C:$C,INDEX(O$3,1,1),Dados!$A:$A,INDEX($D:$E,MATCH("A",$D:$D,0),2))=0,"",SUMIFS(Dados!$G:$G,Dados!$E:$E,$B59,Dados!$C:$C,INDEX(O$3,1,1),Dados!$A:$A,INDEX($D:$E,MATCH("A",$D:$D,0),2))/COUNTIFS(Dados!$E:$E,$B59,Dados!$C:$C,INDEX(O$3,1,1),Dados!$A:$A,INDEX($D:$E,MATCH("A",$D:$D,0),2)))</f>
        <v/>
      </c>
      <c r="P59" s="66" t="str">
        <f>IF(COUNTIFS(Dados!$E:$E,$B59,Dados!$C:$C,INDEX(P$3,1,1),Dados!$A:$A,INDEX($D:$E,MATCH("A",$D:$D,0),2))=0,"",SUMIFS(Dados!$G:$G,Dados!$E:$E,$B59,Dados!$C:$C,INDEX(P$3,1,1),Dados!$A:$A,INDEX($D:$E,MATCH("A",$D:$D,0),2))/COUNTIFS(Dados!$E:$E,$B59,Dados!$C:$C,INDEX(P$3,1,1),Dados!$A:$A,INDEX($D:$E,MATCH("A",$D:$D,0),2)))</f>
        <v/>
      </c>
      <c r="Q59" s="66">
        <f>IF(COUNTIFS(Dados!$E:$E,$B59,Dados!$C:$C,INDEX(Q$3,1,1),Dados!$A:$A,INDEX($D:$E,MATCH("A",$D:$D,0),2))=0,"",SUMIFS(Dados!$G:$G,Dados!$E:$E,$B59,Dados!$C:$C,INDEX(Q$3,1,1),Dados!$A:$A,INDEX($D:$E,MATCH("A",$D:$D,0),2))/COUNTIFS(Dados!$E:$E,$B59,Dados!$C:$C,INDEX(Q$3,1,1),Dados!$A:$A,INDEX($D:$E,MATCH("A",$D:$D,0),2)))</f>
        <v>0.72934087943056791</v>
      </c>
      <c r="R59" s="66" t="str">
        <f>IF(COUNTIFS(Dados!$E:$E,$B59,Dados!$C:$C,INDEX(R$3,1,1),Dados!$A:$A,INDEX($D:$E,MATCH("A",$D:$D,0),2))=0,"",SUMIFS(Dados!$G:$G,Dados!$E:$E,$B59,Dados!$C:$C,INDEX(R$3,1,1),Dados!$A:$A,INDEX($D:$E,MATCH("A",$D:$D,0),2))/COUNTIFS(Dados!$E:$E,$B59,Dados!$C:$C,INDEX(R$3,1,1),Dados!$A:$A,INDEX($D:$E,MATCH("A",$D:$D,0),2)))</f>
        <v/>
      </c>
      <c r="S59" s="66" t="str">
        <f>IF(COUNTIFS(Dados!$E:$E,$B59,Dados!$C:$C,INDEX(S$3,1,1),Dados!$A:$A,INDEX($D:$E,MATCH("A",$D:$D,0),2))=0,"",SUMIFS(Dados!$G:$G,Dados!$E:$E,$B59,Dados!$C:$C,INDEX(S$3,1,1),Dados!$A:$A,INDEX($D:$E,MATCH("A",$D:$D,0),2))/COUNTIFS(Dados!$E:$E,$B59,Dados!$C:$C,INDEX(S$3,1,1),Dados!$A:$A,INDEX($D:$E,MATCH("A",$D:$D,0),2)))</f>
        <v/>
      </c>
      <c r="T59" s="66" t="str">
        <f>IF(COUNTIFS(Dados!$E:$E,$B59,Dados!$C:$C,INDEX(T$3,1,1),Dados!$A:$A,INDEX($D:$E,MATCH("A",$D:$D,0),2))=0,"",SUMIFS(Dados!$G:$G,Dados!$E:$E,$B59,Dados!$C:$C,INDEX(T$3,1,1),Dados!$A:$A,INDEX($D:$E,MATCH("A",$D:$D,0),2))/COUNTIFS(Dados!$E:$E,$B59,Dados!$C:$C,INDEX(T$3,1,1),Dados!$A:$A,INDEX($D:$E,MATCH("A",$D:$D,0),2)))</f>
        <v/>
      </c>
      <c r="U59" s="66" t="str">
        <f>IF(COUNTIFS(Dados!$E:$E,$B59,Dados!$C:$C,INDEX(U$3,1,1),Dados!$A:$A,INDEX($D:$E,MATCH("A",$D:$D,0),2))=0,"",SUMIFS(Dados!$G:$G,Dados!$E:$E,$B59,Dados!$C:$C,INDEX(U$3,1,1),Dados!$A:$A,INDEX($D:$E,MATCH("A",$D:$D,0),2))/COUNTIFS(Dados!$E:$E,$B59,Dados!$C:$C,INDEX(U$3,1,1),Dados!$A:$A,INDEX($D:$E,MATCH("A",$D:$D,0),2)))</f>
        <v/>
      </c>
      <c r="V59" s="66" t="str">
        <f>IF(COUNTIFS(Dados!$E:$E,$B59,Dados!$C:$C,INDEX(V$3,1,1),Dados!$A:$A,INDEX($D:$E,MATCH("A",$D:$D,0),2))=0,"",SUMIFS(Dados!$G:$G,Dados!$E:$E,$B59,Dados!$C:$C,INDEX(V$3,1,1),Dados!$A:$A,INDEX($D:$E,MATCH("A",$D:$D,0),2))/COUNTIFS(Dados!$E:$E,$B59,Dados!$C:$C,INDEX(V$3,1,1),Dados!$A:$A,INDEX($D:$E,MATCH("A",$D:$D,0),2)))</f>
        <v/>
      </c>
    </row>
    <row r="60" spans="2:22" x14ac:dyDescent="0.25">
      <c r="B60" s="67" t="s">
        <v>33</v>
      </c>
      <c r="C60" s="71">
        <f>VLOOKUP(B60,B4:C22,2,0)</f>
        <v>15</v>
      </c>
      <c r="D60" s="68" t="str">
        <f>IF(COUNTIFS(Dados!$E:$E,$B60,Dados!$C:$C,INDEX(D$3,1,1),Dados!$A:$A,INDEX($D:$E,MATCH("A",$D:$D,0),2))=0,"",SUMIFS(Dados!$G:$G,Dados!$E:$E,$B60,Dados!$C:$C,INDEX(D$3,1,1),Dados!$A:$A,INDEX($D:$E,MATCH("A",$D:$D,0),2))/COUNTIFS(Dados!$E:$E,$B60,Dados!$C:$C,INDEX(D$3,1,1),Dados!$A:$A,INDEX($D:$E,MATCH("A",$D:$D,0),2)))</f>
        <v/>
      </c>
      <c r="E60" s="68" t="str">
        <f>IF(COUNTIFS(Dados!$E:$E,$B60,Dados!$C:$C,INDEX(E$3,1,1),Dados!$A:$A,INDEX($D:$E,MATCH("A",$D:$D,0),2))=0,"",SUMIFS(Dados!$G:$G,Dados!$E:$E,$B60,Dados!$C:$C,INDEX(E$3,1,1),Dados!$A:$A,INDEX($D:$E,MATCH("A",$D:$D,0),2))/COUNTIFS(Dados!$E:$E,$B60,Dados!$C:$C,INDEX(E$3,1,1),Dados!$A:$A,INDEX($D:$E,MATCH("A",$D:$D,0),2)))</f>
        <v/>
      </c>
      <c r="F60" s="68" t="str">
        <f>IF(COUNTIFS(Dados!$E:$E,$B60,Dados!$C:$C,INDEX(F$3,1,1),Dados!$A:$A,INDEX($D:$E,MATCH("A",$D:$D,0),2))=0,"",SUMIFS(Dados!$G:$G,Dados!$E:$E,$B60,Dados!$C:$C,INDEX(F$3,1,1),Dados!$A:$A,INDEX($D:$E,MATCH("A",$D:$D,0),2))/COUNTIFS(Dados!$E:$E,$B60,Dados!$C:$C,INDEX(F$3,1,1),Dados!$A:$A,INDEX($D:$E,MATCH("A",$D:$D,0),2)))</f>
        <v/>
      </c>
      <c r="G60" s="68" t="str">
        <f>IF(COUNTIFS(Dados!$E:$E,$B60,Dados!$C:$C,INDEX(G$3,1,1),Dados!$A:$A,INDEX($D:$E,MATCH("A",$D:$D,0),2))=0,"",SUMIFS(Dados!$G:$G,Dados!$E:$E,$B60,Dados!$C:$C,INDEX(G$3,1,1),Dados!$A:$A,INDEX($D:$E,MATCH("A",$D:$D,0),2))/COUNTIFS(Dados!$E:$E,$B60,Dados!$C:$C,INDEX(G$3,1,1),Dados!$A:$A,INDEX($D:$E,MATCH("A",$D:$D,0),2)))</f>
        <v/>
      </c>
      <c r="H60" s="68" t="str">
        <f>IF(COUNTIFS(Dados!$E:$E,$B60,Dados!$C:$C,INDEX(H$3,1,1),Dados!$A:$A,INDEX($D:$E,MATCH("A",$D:$D,0),2))=0,"",SUMIFS(Dados!$G:$G,Dados!$E:$E,$B60,Dados!$C:$C,INDEX(H$3,1,1),Dados!$A:$A,INDEX($D:$E,MATCH("A",$D:$D,0),2))/COUNTIFS(Dados!$E:$E,$B60,Dados!$C:$C,INDEX(H$3,1,1),Dados!$A:$A,INDEX($D:$E,MATCH("A",$D:$D,0),2)))</f>
        <v/>
      </c>
      <c r="I60" s="68" t="str">
        <f>IF(COUNTIFS(Dados!$E:$E,$B60,Dados!$C:$C,INDEX(I$3,1,1),Dados!$A:$A,INDEX($D:$E,MATCH("A",$D:$D,0),2))=0,"",SUMIFS(Dados!$G:$G,Dados!$E:$E,$B60,Dados!$C:$C,INDEX(I$3,1,1),Dados!$A:$A,INDEX($D:$E,MATCH("A",$D:$D,0),2))/COUNTIFS(Dados!$E:$E,$B60,Dados!$C:$C,INDEX(I$3,1,1),Dados!$A:$A,INDEX($D:$E,MATCH("A",$D:$D,0),2)))</f>
        <v/>
      </c>
      <c r="J60" s="68" t="str">
        <f>IF(COUNTIFS(Dados!$E:$E,$B60,Dados!$C:$C,INDEX(J$3,1,1),Dados!$A:$A,INDEX($D:$E,MATCH("A",$D:$D,0),2))=0,"",SUMIFS(Dados!$G:$G,Dados!$E:$E,$B60,Dados!$C:$C,INDEX(J$3,1,1),Dados!$A:$A,INDEX($D:$E,MATCH("A",$D:$D,0),2))/COUNTIFS(Dados!$E:$E,$B60,Dados!$C:$C,INDEX(J$3,1,1),Dados!$A:$A,INDEX($D:$E,MATCH("A",$D:$D,0),2)))</f>
        <v/>
      </c>
      <c r="K60" s="68" t="str">
        <f>IF(COUNTIFS(Dados!$E:$E,$B60,Dados!$C:$C,INDEX(K$3,1,1),Dados!$A:$A,INDEX($D:$E,MATCH("A",$D:$D,0),2))=0,"",SUMIFS(Dados!$G:$G,Dados!$E:$E,$B60,Dados!$C:$C,INDEX(K$3,1,1),Dados!$A:$A,INDEX($D:$E,MATCH("A",$D:$D,0),2))/COUNTIFS(Dados!$E:$E,$B60,Dados!$C:$C,INDEX(K$3,1,1),Dados!$A:$A,INDEX($D:$E,MATCH("A",$D:$D,0),2)))</f>
        <v/>
      </c>
      <c r="L60" s="68" t="str">
        <f>IF(COUNTIFS(Dados!$E:$E,$B60,Dados!$C:$C,INDEX(L$3,1,1),Dados!$A:$A,INDEX($D:$E,MATCH("A",$D:$D,0),2))=0,"",SUMIFS(Dados!$G:$G,Dados!$E:$E,$B60,Dados!$C:$C,INDEX(L$3,1,1),Dados!$A:$A,INDEX($D:$E,MATCH("A",$D:$D,0),2))/COUNTIFS(Dados!$E:$E,$B60,Dados!$C:$C,INDEX(L$3,1,1),Dados!$A:$A,INDEX($D:$E,MATCH("A",$D:$D,0),2)))</f>
        <v/>
      </c>
      <c r="M60" s="68" t="str">
        <f>IF(COUNTIFS(Dados!$E:$E,$B60,Dados!$C:$C,INDEX(M$3,1,1),Dados!$A:$A,INDEX($D:$E,MATCH("A",$D:$D,0),2))=0,"",SUMIFS(Dados!$G:$G,Dados!$E:$E,$B60,Dados!$C:$C,INDEX(M$3,1,1),Dados!$A:$A,INDEX($D:$E,MATCH("A",$D:$D,0),2))/COUNTIFS(Dados!$E:$E,$B60,Dados!$C:$C,INDEX(M$3,1,1),Dados!$A:$A,INDEX($D:$E,MATCH("A",$D:$D,0),2)))</f>
        <v/>
      </c>
      <c r="N60" s="68" t="str">
        <f>IF(COUNTIFS(Dados!$E:$E,$B60,Dados!$C:$C,INDEX(N$3,1,1),Dados!$A:$A,INDEX($D:$E,MATCH("A",$D:$D,0),2))=0,"",SUMIFS(Dados!$G:$G,Dados!$E:$E,$B60,Dados!$C:$C,INDEX(N$3,1,1),Dados!$A:$A,INDEX($D:$E,MATCH("A",$D:$D,0),2))/COUNTIFS(Dados!$E:$E,$B60,Dados!$C:$C,INDEX(N$3,1,1),Dados!$A:$A,INDEX($D:$E,MATCH("A",$D:$D,0),2)))</f>
        <v/>
      </c>
      <c r="O60" s="68" t="str">
        <f>IF(COUNTIFS(Dados!$E:$E,$B60,Dados!$C:$C,INDEX(O$3,1,1),Dados!$A:$A,INDEX($D:$E,MATCH("A",$D:$D,0),2))=0,"",SUMIFS(Dados!$G:$G,Dados!$E:$E,$B60,Dados!$C:$C,INDEX(O$3,1,1),Dados!$A:$A,INDEX($D:$E,MATCH("A",$D:$D,0),2))/COUNTIFS(Dados!$E:$E,$B60,Dados!$C:$C,INDEX(O$3,1,1),Dados!$A:$A,INDEX($D:$E,MATCH("A",$D:$D,0),2)))</f>
        <v/>
      </c>
      <c r="P60" s="68" t="str">
        <f>IF(COUNTIFS(Dados!$E:$E,$B60,Dados!$C:$C,INDEX(P$3,1,1),Dados!$A:$A,INDEX($D:$E,MATCH("A",$D:$D,0),2))=0,"",SUMIFS(Dados!$G:$G,Dados!$E:$E,$B60,Dados!$C:$C,INDEX(P$3,1,1),Dados!$A:$A,INDEX($D:$E,MATCH("A",$D:$D,0),2))/COUNTIFS(Dados!$E:$E,$B60,Dados!$C:$C,INDEX(P$3,1,1),Dados!$A:$A,INDEX($D:$E,MATCH("A",$D:$D,0),2)))</f>
        <v/>
      </c>
      <c r="Q60" s="68">
        <f>IF(COUNTIFS(Dados!$E:$E,$B60,Dados!$C:$C,INDEX(Q$3,1,1),Dados!$A:$A,INDEX($D:$E,MATCH("A",$D:$D,0),2))=0,"",SUMIFS(Dados!$G:$G,Dados!$E:$E,$B60,Dados!$C:$C,INDEX(Q$3,1,1),Dados!$A:$A,INDEX($D:$E,MATCH("A",$D:$D,0),2))/COUNTIFS(Dados!$E:$E,$B60,Dados!$C:$C,INDEX(Q$3,1,1),Dados!$A:$A,INDEX($D:$E,MATCH("A",$D:$D,0),2)))</f>
        <v>0.96036940211019095</v>
      </c>
      <c r="R60" s="68">
        <f>IF(COUNTIFS(Dados!$E:$E,$B60,Dados!$C:$C,INDEX(R$3,1,1),Dados!$A:$A,INDEX($D:$E,MATCH("A",$D:$D,0),2))=0,"",SUMIFS(Dados!$G:$G,Dados!$E:$E,$B60,Dados!$C:$C,INDEX(R$3,1,1),Dados!$A:$A,INDEX($D:$E,MATCH("A",$D:$D,0),2))/COUNTIFS(Dados!$E:$E,$B60,Dados!$C:$C,INDEX(R$3,1,1),Dados!$A:$A,INDEX($D:$E,MATCH("A",$D:$D,0),2)))</f>
        <v>0.86392002572012028</v>
      </c>
      <c r="S60" s="68" t="str">
        <f>IF(COUNTIFS(Dados!$E:$E,$B60,Dados!$C:$C,INDEX(S$3,1,1),Dados!$A:$A,INDEX($D:$E,MATCH("A",$D:$D,0),2))=0,"",SUMIFS(Dados!$G:$G,Dados!$E:$E,$B60,Dados!$C:$C,INDEX(S$3,1,1),Dados!$A:$A,INDEX($D:$E,MATCH("A",$D:$D,0),2))/COUNTIFS(Dados!$E:$E,$B60,Dados!$C:$C,INDEX(S$3,1,1),Dados!$A:$A,INDEX($D:$E,MATCH("A",$D:$D,0),2)))</f>
        <v/>
      </c>
      <c r="T60" s="68" t="str">
        <f>IF(COUNTIFS(Dados!$E:$E,$B60,Dados!$C:$C,INDEX(T$3,1,1),Dados!$A:$A,INDEX($D:$E,MATCH("A",$D:$D,0),2))=0,"",SUMIFS(Dados!$G:$G,Dados!$E:$E,$B60,Dados!$C:$C,INDEX(T$3,1,1),Dados!$A:$A,INDEX($D:$E,MATCH("A",$D:$D,0),2))/COUNTIFS(Dados!$E:$E,$B60,Dados!$C:$C,INDEX(T$3,1,1),Dados!$A:$A,INDEX($D:$E,MATCH("A",$D:$D,0),2)))</f>
        <v/>
      </c>
      <c r="U60" s="68" t="str">
        <f>IF(COUNTIFS(Dados!$E:$E,$B60,Dados!$C:$C,INDEX(U$3,1,1),Dados!$A:$A,INDEX($D:$E,MATCH("A",$D:$D,0),2))=0,"",SUMIFS(Dados!$G:$G,Dados!$E:$E,$B60,Dados!$C:$C,INDEX(U$3,1,1),Dados!$A:$A,INDEX($D:$E,MATCH("A",$D:$D,0),2))/COUNTIFS(Dados!$E:$E,$B60,Dados!$C:$C,INDEX(U$3,1,1),Dados!$A:$A,INDEX($D:$E,MATCH("A",$D:$D,0),2)))</f>
        <v/>
      </c>
      <c r="V60" s="68" t="str">
        <f>IF(COUNTIFS(Dados!$E:$E,$B60,Dados!$C:$C,INDEX(V$3,1,1),Dados!$A:$A,INDEX($D:$E,MATCH("A",$D:$D,0),2))=0,"",SUMIFS(Dados!$G:$G,Dados!$E:$E,$B60,Dados!$C:$C,INDEX(V$3,1,1),Dados!$A:$A,INDEX($D:$E,MATCH("A",$D:$D,0),2))/COUNTIFS(Dados!$E:$E,$B60,Dados!$C:$C,INDEX(V$3,1,1),Dados!$A:$A,INDEX($D:$E,MATCH("A",$D:$D,0),2)))</f>
        <v/>
      </c>
    </row>
    <row r="61" spans="2:22" x14ac:dyDescent="0.25">
      <c r="B61" s="65" t="s">
        <v>1299</v>
      </c>
      <c r="C61" s="72">
        <f>VLOOKUP(B61,B4:C22,2,0)</f>
        <v>16</v>
      </c>
      <c r="D61" s="66" t="str">
        <f>IF(COUNTIFS(Dados!$E:$E,$B61,Dados!$C:$C,INDEX(D$3,1,1),Dados!$A:$A,INDEX($D:$E,MATCH("A",$D:$D,0),2))=0,"",SUMIFS(Dados!$G:$G,Dados!$E:$E,$B61,Dados!$C:$C,INDEX(D$3,1,1),Dados!$A:$A,INDEX($D:$E,MATCH("A",$D:$D,0),2))/COUNTIFS(Dados!$E:$E,$B61,Dados!$C:$C,INDEX(D$3,1,1),Dados!$A:$A,INDEX($D:$E,MATCH("A",$D:$D,0),2)))</f>
        <v/>
      </c>
      <c r="E61" s="66" t="str">
        <f>IF(COUNTIFS(Dados!$E:$E,$B61,Dados!$C:$C,INDEX(E$3,1,1),Dados!$A:$A,INDEX($D:$E,MATCH("A",$D:$D,0),2))=0,"",SUMIFS(Dados!$G:$G,Dados!$E:$E,$B61,Dados!$C:$C,INDEX(E$3,1,1),Dados!$A:$A,INDEX($D:$E,MATCH("A",$D:$D,0),2))/COUNTIFS(Dados!$E:$E,$B61,Dados!$C:$C,INDEX(E$3,1,1),Dados!$A:$A,INDEX($D:$E,MATCH("A",$D:$D,0),2)))</f>
        <v/>
      </c>
      <c r="F61" s="66" t="str">
        <f>IF(COUNTIFS(Dados!$E:$E,$B61,Dados!$C:$C,INDEX(F$3,1,1),Dados!$A:$A,INDEX($D:$E,MATCH("A",$D:$D,0),2))=0,"",SUMIFS(Dados!$G:$G,Dados!$E:$E,$B61,Dados!$C:$C,INDEX(F$3,1,1),Dados!$A:$A,INDEX($D:$E,MATCH("A",$D:$D,0),2))/COUNTIFS(Dados!$E:$E,$B61,Dados!$C:$C,INDEX(F$3,1,1),Dados!$A:$A,INDEX($D:$E,MATCH("A",$D:$D,0),2)))</f>
        <v/>
      </c>
      <c r="G61" s="66" t="str">
        <f>IF(COUNTIFS(Dados!$E:$E,$B61,Dados!$C:$C,INDEX(G$3,1,1),Dados!$A:$A,INDEX($D:$E,MATCH("A",$D:$D,0),2))=0,"",SUMIFS(Dados!$G:$G,Dados!$E:$E,$B61,Dados!$C:$C,INDEX(G$3,1,1),Dados!$A:$A,INDEX($D:$E,MATCH("A",$D:$D,0),2))/COUNTIFS(Dados!$E:$E,$B61,Dados!$C:$C,INDEX(G$3,1,1),Dados!$A:$A,INDEX($D:$E,MATCH("A",$D:$D,0),2)))</f>
        <v/>
      </c>
      <c r="H61" s="66" t="str">
        <f>IF(COUNTIFS(Dados!$E:$E,$B61,Dados!$C:$C,INDEX(H$3,1,1),Dados!$A:$A,INDEX($D:$E,MATCH("A",$D:$D,0),2))=0,"",SUMIFS(Dados!$G:$G,Dados!$E:$E,$B61,Dados!$C:$C,INDEX(H$3,1,1),Dados!$A:$A,INDEX($D:$E,MATCH("A",$D:$D,0),2))/COUNTIFS(Dados!$E:$E,$B61,Dados!$C:$C,INDEX(H$3,1,1),Dados!$A:$A,INDEX($D:$E,MATCH("A",$D:$D,0),2)))</f>
        <v/>
      </c>
      <c r="I61" s="66" t="str">
        <f>IF(COUNTIFS(Dados!$E:$E,$B61,Dados!$C:$C,INDEX(I$3,1,1),Dados!$A:$A,INDEX($D:$E,MATCH("A",$D:$D,0),2))=0,"",SUMIFS(Dados!$G:$G,Dados!$E:$E,$B61,Dados!$C:$C,INDEX(I$3,1,1),Dados!$A:$A,INDEX($D:$E,MATCH("A",$D:$D,0),2))/COUNTIFS(Dados!$E:$E,$B61,Dados!$C:$C,INDEX(I$3,1,1),Dados!$A:$A,INDEX($D:$E,MATCH("A",$D:$D,0),2)))</f>
        <v/>
      </c>
      <c r="J61" s="66" t="str">
        <f>IF(COUNTIFS(Dados!$E:$E,$B61,Dados!$C:$C,INDEX(J$3,1,1),Dados!$A:$A,INDEX($D:$E,MATCH("A",$D:$D,0),2))=0,"",SUMIFS(Dados!$G:$G,Dados!$E:$E,$B61,Dados!$C:$C,INDEX(J$3,1,1),Dados!$A:$A,INDEX($D:$E,MATCH("A",$D:$D,0),2))/COUNTIFS(Dados!$E:$E,$B61,Dados!$C:$C,INDEX(J$3,1,1),Dados!$A:$A,INDEX($D:$E,MATCH("A",$D:$D,0),2)))</f>
        <v/>
      </c>
      <c r="K61" s="66" t="str">
        <f>IF(COUNTIFS(Dados!$E:$E,$B61,Dados!$C:$C,INDEX(K$3,1,1),Dados!$A:$A,INDEX($D:$E,MATCH("A",$D:$D,0),2))=0,"",SUMIFS(Dados!$G:$G,Dados!$E:$E,$B61,Dados!$C:$C,INDEX(K$3,1,1),Dados!$A:$A,INDEX($D:$E,MATCH("A",$D:$D,0),2))/COUNTIFS(Dados!$E:$E,$B61,Dados!$C:$C,INDEX(K$3,1,1),Dados!$A:$A,INDEX($D:$E,MATCH("A",$D:$D,0),2)))</f>
        <v/>
      </c>
      <c r="L61" s="66" t="str">
        <f>IF(COUNTIFS(Dados!$E:$E,$B61,Dados!$C:$C,INDEX(L$3,1,1),Dados!$A:$A,INDEX($D:$E,MATCH("A",$D:$D,0),2))=0,"",SUMIFS(Dados!$G:$G,Dados!$E:$E,$B61,Dados!$C:$C,INDEX(L$3,1,1),Dados!$A:$A,INDEX($D:$E,MATCH("A",$D:$D,0),2))/COUNTIFS(Dados!$E:$E,$B61,Dados!$C:$C,INDEX(L$3,1,1),Dados!$A:$A,INDEX($D:$E,MATCH("A",$D:$D,0),2)))</f>
        <v/>
      </c>
      <c r="M61" s="66" t="str">
        <f>IF(COUNTIFS(Dados!$E:$E,$B61,Dados!$C:$C,INDEX(M$3,1,1),Dados!$A:$A,INDEX($D:$E,MATCH("A",$D:$D,0),2))=0,"",SUMIFS(Dados!$G:$G,Dados!$E:$E,$B61,Dados!$C:$C,INDEX(M$3,1,1),Dados!$A:$A,INDEX($D:$E,MATCH("A",$D:$D,0),2))/COUNTIFS(Dados!$E:$E,$B61,Dados!$C:$C,INDEX(M$3,1,1),Dados!$A:$A,INDEX($D:$E,MATCH("A",$D:$D,0),2)))</f>
        <v/>
      </c>
      <c r="N61" s="66" t="str">
        <f>IF(COUNTIFS(Dados!$E:$E,$B61,Dados!$C:$C,INDEX(N$3,1,1),Dados!$A:$A,INDEX($D:$E,MATCH("A",$D:$D,0),2))=0,"",SUMIFS(Dados!$G:$G,Dados!$E:$E,$B61,Dados!$C:$C,INDEX(N$3,1,1),Dados!$A:$A,INDEX($D:$E,MATCH("A",$D:$D,0),2))/COUNTIFS(Dados!$E:$E,$B61,Dados!$C:$C,INDEX(N$3,1,1),Dados!$A:$A,INDEX($D:$E,MATCH("A",$D:$D,0),2)))</f>
        <v/>
      </c>
      <c r="O61" s="66" t="str">
        <f>IF(COUNTIFS(Dados!$E:$E,$B61,Dados!$C:$C,INDEX(O$3,1,1),Dados!$A:$A,INDEX($D:$E,MATCH("A",$D:$D,0),2))=0,"",SUMIFS(Dados!$G:$G,Dados!$E:$E,$B61,Dados!$C:$C,INDEX(O$3,1,1),Dados!$A:$A,INDEX($D:$E,MATCH("A",$D:$D,0),2))/COUNTIFS(Dados!$E:$E,$B61,Dados!$C:$C,INDEX(O$3,1,1),Dados!$A:$A,INDEX($D:$E,MATCH("A",$D:$D,0),2)))</f>
        <v/>
      </c>
      <c r="P61" s="66" t="str">
        <f>IF(COUNTIFS(Dados!$E:$E,$B61,Dados!$C:$C,INDEX(P$3,1,1),Dados!$A:$A,INDEX($D:$E,MATCH("A",$D:$D,0),2))=0,"",SUMIFS(Dados!$G:$G,Dados!$E:$E,$B61,Dados!$C:$C,INDEX(P$3,1,1),Dados!$A:$A,INDEX($D:$E,MATCH("A",$D:$D,0),2))/COUNTIFS(Dados!$E:$E,$B61,Dados!$C:$C,INDEX(P$3,1,1),Dados!$A:$A,INDEX($D:$E,MATCH("A",$D:$D,0),2)))</f>
        <v/>
      </c>
      <c r="Q61" s="66" t="str">
        <f>IF(COUNTIFS(Dados!$E:$E,$B61,Dados!$C:$C,INDEX(Q$3,1,1),Dados!$A:$A,INDEX($D:$E,MATCH("A",$D:$D,0),2))=0,"",SUMIFS(Dados!$G:$G,Dados!$E:$E,$B61,Dados!$C:$C,INDEX(Q$3,1,1),Dados!$A:$A,INDEX($D:$E,MATCH("A",$D:$D,0),2))/COUNTIFS(Dados!$E:$E,$B61,Dados!$C:$C,INDEX(Q$3,1,1),Dados!$A:$A,INDEX($D:$E,MATCH("A",$D:$D,0),2)))</f>
        <v/>
      </c>
      <c r="R61" s="66" t="str">
        <f>IF(COUNTIFS(Dados!$E:$E,$B61,Dados!$C:$C,INDEX(R$3,1,1),Dados!$A:$A,INDEX($D:$E,MATCH("A",$D:$D,0),2))=0,"",SUMIFS(Dados!$G:$G,Dados!$E:$E,$B61,Dados!$C:$C,INDEX(R$3,1,1),Dados!$A:$A,INDEX($D:$E,MATCH("A",$D:$D,0),2))/COUNTIFS(Dados!$E:$E,$B61,Dados!$C:$C,INDEX(R$3,1,1),Dados!$A:$A,INDEX($D:$E,MATCH("A",$D:$D,0),2)))</f>
        <v/>
      </c>
      <c r="S61" s="66" t="str">
        <f>IF(COUNTIFS(Dados!$E:$E,$B61,Dados!$C:$C,INDEX(S$3,1,1),Dados!$A:$A,INDEX($D:$E,MATCH("A",$D:$D,0),2))=0,"",SUMIFS(Dados!$G:$G,Dados!$E:$E,$B61,Dados!$C:$C,INDEX(S$3,1,1),Dados!$A:$A,INDEX($D:$E,MATCH("A",$D:$D,0),2))/COUNTIFS(Dados!$E:$E,$B61,Dados!$C:$C,INDEX(S$3,1,1),Dados!$A:$A,INDEX($D:$E,MATCH("A",$D:$D,0),2)))</f>
        <v/>
      </c>
      <c r="T61" s="66" t="str">
        <f>IF(COUNTIFS(Dados!$E:$E,$B61,Dados!$C:$C,INDEX(T$3,1,1),Dados!$A:$A,INDEX($D:$E,MATCH("A",$D:$D,0),2))=0,"",SUMIFS(Dados!$G:$G,Dados!$E:$E,$B61,Dados!$C:$C,INDEX(T$3,1,1),Dados!$A:$A,INDEX($D:$E,MATCH("A",$D:$D,0),2))/COUNTIFS(Dados!$E:$E,$B61,Dados!$C:$C,INDEX(T$3,1,1),Dados!$A:$A,INDEX($D:$E,MATCH("A",$D:$D,0),2)))</f>
        <v/>
      </c>
      <c r="U61" s="66" t="str">
        <f>IF(COUNTIFS(Dados!$E:$E,$B61,Dados!$C:$C,INDEX(U$3,1,1),Dados!$A:$A,INDEX($D:$E,MATCH("A",$D:$D,0),2))=0,"",SUMIFS(Dados!$G:$G,Dados!$E:$E,$B61,Dados!$C:$C,INDEX(U$3,1,1),Dados!$A:$A,INDEX($D:$E,MATCH("A",$D:$D,0),2))/COUNTIFS(Dados!$E:$E,$B61,Dados!$C:$C,INDEX(U$3,1,1),Dados!$A:$A,INDEX($D:$E,MATCH("A",$D:$D,0),2)))</f>
        <v/>
      </c>
      <c r="V61" s="66" t="str">
        <f>IF(COUNTIFS(Dados!$E:$E,$B61,Dados!$C:$C,INDEX(V$3,1,1),Dados!$A:$A,INDEX($D:$E,MATCH("A",$D:$D,0),2))=0,"",SUMIFS(Dados!$G:$G,Dados!$E:$E,$B61,Dados!$C:$C,INDEX(V$3,1,1),Dados!$A:$A,INDEX($D:$E,MATCH("A",$D:$D,0),2))/COUNTIFS(Dados!$E:$E,$B61,Dados!$C:$C,INDEX(V$3,1,1),Dados!$A:$A,INDEX($D:$E,MATCH("A",$D:$D,0),2)))</f>
        <v/>
      </c>
    </row>
    <row r="62" spans="2:22" x14ac:dyDescent="0.25">
      <c r="B62" s="67" t="s">
        <v>374</v>
      </c>
      <c r="C62" s="71">
        <f>VLOOKUP(B62,B4:C22,2,0)</f>
        <v>17</v>
      </c>
      <c r="D62" s="68">
        <f>IF(COUNTIFS(Dados!$E:$E,$B62,Dados!$C:$C,INDEX(D$3,1,1),Dados!$A:$A,INDEX($D:$E,MATCH("A",$D:$D,0),2))=0,"",SUMIFS(Dados!$G:$G,Dados!$E:$E,$B62,Dados!$C:$C,INDEX(D$3,1,1),Dados!$A:$A,INDEX($D:$E,MATCH("A",$D:$D,0),2))/COUNTIFS(Dados!$E:$E,$B62,Dados!$C:$C,INDEX(D$3,1,1),Dados!$A:$A,INDEX($D:$E,MATCH("A",$D:$D,0),2)))</f>
        <v>0.68455622226690871</v>
      </c>
      <c r="E62" s="68" t="str">
        <f>IF(COUNTIFS(Dados!$E:$E,$B62,Dados!$C:$C,INDEX(E$3,1,1),Dados!$A:$A,INDEX($D:$E,MATCH("A",$D:$D,0),2))=0,"",SUMIFS(Dados!$G:$G,Dados!$E:$E,$B62,Dados!$C:$C,INDEX(E$3,1,1),Dados!$A:$A,INDEX($D:$E,MATCH("A",$D:$D,0),2))/COUNTIFS(Dados!$E:$E,$B62,Dados!$C:$C,INDEX(E$3,1,1),Dados!$A:$A,INDEX($D:$E,MATCH("A",$D:$D,0),2)))</f>
        <v/>
      </c>
      <c r="F62" s="68">
        <f>IF(COUNTIFS(Dados!$E:$E,$B62,Dados!$C:$C,INDEX(F$3,1,1),Dados!$A:$A,INDEX($D:$E,MATCH("A",$D:$D,0),2))=0,"",SUMIFS(Dados!$G:$G,Dados!$E:$E,$B62,Dados!$C:$C,INDEX(F$3,1,1),Dados!$A:$A,INDEX($D:$E,MATCH("A",$D:$D,0),2))/COUNTIFS(Dados!$E:$E,$B62,Dados!$C:$C,INDEX(F$3,1,1),Dados!$A:$A,INDEX($D:$E,MATCH("A",$D:$D,0),2)))</f>
        <v>0.72391169654346443</v>
      </c>
      <c r="G62" s="68">
        <f>IF(COUNTIFS(Dados!$E:$E,$B62,Dados!$C:$C,INDEX(G$3,1,1),Dados!$A:$A,INDEX($D:$E,MATCH("A",$D:$D,0),2))=0,"",SUMIFS(Dados!$G:$G,Dados!$E:$E,$B62,Dados!$C:$C,INDEX(G$3,1,1),Dados!$A:$A,INDEX($D:$E,MATCH("A",$D:$D,0),2))/COUNTIFS(Dados!$E:$E,$B62,Dados!$C:$C,INDEX(G$3,1,1),Dados!$A:$A,INDEX($D:$E,MATCH("A",$D:$D,0),2)))</f>
        <v>0.49511079249326606</v>
      </c>
      <c r="H62" s="68" t="str">
        <f>IF(COUNTIFS(Dados!$E:$E,$B62,Dados!$C:$C,INDEX(H$3,1,1),Dados!$A:$A,INDEX($D:$E,MATCH("A",$D:$D,0),2))=0,"",SUMIFS(Dados!$G:$G,Dados!$E:$E,$B62,Dados!$C:$C,INDEX(H$3,1,1),Dados!$A:$A,INDEX($D:$E,MATCH("A",$D:$D,0),2))/COUNTIFS(Dados!$E:$E,$B62,Dados!$C:$C,INDEX(H$3,1,1),Dados!$A:$A,INDEX($D:$E,MATCH("A",$D:$D,0),2)))</f>
        <v/>
      </c>
      <c r="I62" s="68" t="str">
        <f>IF(COUNTIFS(Dados!$E:$E,$B62,Dados!$C:$C,INDEX(I$3,1,1),Dados!$A:$A,INDEX($D:$E,MATCH("A",$D:$D,0),2))=0,"",SUMIFS(Dados!$G:$G,Dados!$E:$E,$B62,Dados!$C:$C,INDEX(I$3,1,1),Dados!$A:$A,INDEX($D:$E,MATCH("A",$D:$D,0),2))/COUNTIFS(Dados!$E:$E,$B62,Dados!$C:$C,INDEX(I$3,1,1),Dados!$A:$A,INDEX($D:$E,MATCH("A",$D:$D,0),2)))</f>
        <v/>
      </c>
      <c r="J62" s="68" t="str">
        <f>IF(COUNTIFS(Dados!$E:$E,$B62,Dados!$C:$C,INDEX(J$3,1,1),Dados!$A:$A,INDEX($D:$E,MATCH("A",$D:$D,0),2))=0,"",SUMIFS(Dados!$G:$G,Dados!$E:$E,$B62,Dados!$C:$C,INDEX(J$3,1,1),Dados!$A:$A,INDEX($D:$E,MATCH("A",$D:$D,0),2))/COUNTIFS(Dados!$E:$E,$B62,Dados!$C:$C,INDEX(J$3,1,1),Dados!$A:$A,INDEX($D:$E,MATCH("A",$D:$D,0),2)))</f>
        <v/>
      </c>
      <c r="K62" s="68" t="str">
        <f>IF(COUNTIFS(Dados!$E:$E,$B62,Dados!$C:$C,INDEX(K$3,1,1),Dados!$A:$A,INDEX($D:$E,MATCH("A",$D:$D,0),2))=0,"",SUMIFS(Dados!$G:$G,Dados!$E:$E,$B62,Dados!$C:$C,INDEX(K$3,1,1),Dados!$A:$A,INDEX($D:$E,MATCH("A",$D:$D,0),2))/COUNTIFS(Dados!$E:$E,$B62,Dados!$C:$C,INDEX(K$3,1,1),Dados!$A:$A,INDEX($D:$E,MATCH("A",$D:$D,0),2)))</f>
        <v/>
      </c>
      <c r="L62" s="68" t="str">
        <f>IF(COUNTIFS(Dados!$E:$E,$B62,Dados!$C:$C,INDEX(L$3,1,1),Dados!$A:$A,INDEX($D:$E,MATCH("A",$D:$D,0),2))=0,"",SUMIFS(Dados!$G:$G,Dados!$E:$E,$B62,Dados!$C:$C,INDEX(L$3,1,1),Dados!$A:$A,INDEX($D:$E,MATCH("A",$D:$D,0),2))/COUNTIFS(Dados!$E:$E,$B62,Dados!$C:$C,INDEX(L$3,1,1),Dados!$A:$A,INDEX($D:$E,MATCH("A",$D:$D,0),2)))</f>
        <v/>
      </c>
      <c r="M62" s="68" t="str">
        <f>IF(COUNTIFS(Dados!$E:$E,$B62,Dados!$C:$C,INDEX(M$3,1,1),Dados!$A:$A,INDEX($D:$E,MATCH("A",$D:$D,0),2))=0,"",SUMIFS(Dados!$G:$G,Dados!$E:$E,$B62,Dados!$C:$C,INDEX(M$3,1,1),Dados!$A:$A,INDEX($D:$E,MATCH("A",$D:$D,0),2))/COUNTIFS(Dados!$E:$E,$B62,Dados!$C:$C,INDEX(M$3,1,1),Dados!$A:$A,INDEX($D:$E,MATCH("A",$D:$D,0),2)))</f>
        <v/>
      </c>
      <c r="N62" s="68" t="str">
        <f>IF(COUNTIFS(Dados!$E:$E,$B62,Dados!$C:$C,INDEX(N$3,1,1),Dados!$A:$A,INDEX($D:$E,MATCH("A",$D:$D,0),2))=0,"",SUMIFS(Dados!$G:$G,Dados!$E:$E,$B62,Dados!$C:$C,INDEX(N$3,1,1),Dados!$A:$A,INDEX($D:$E,MATCH("A",$D:$D,0),2))/COUNTIFS(Dados!$E:$E,$B62,Dados!$C:$C,INDEX(N$3,1,1),Dados!$A:$A,INDEX($D:$E,MATCH("A",$D:$D,0),2)))</f>
        <v/>
      </c>
      <c r="O62" s="68" t="str">
        <f>IF(COUNTIFS(Dados!$E:$E,$B62,Dados!$C:$C,INDEX(O$3,1,1),Dados!$A:$A,INDEX($D:$E,MATCH("A",$D:$D,0),2))=0,"",SUMIFS(Dados!$G:$G,Dados!$E:$E,$B62,Dados!$C:$C,INDEX(O$3,1,1),Dados!$A:$A,INDEX($D:$E,MATCH("A",$D:$D,0),2))/COUNTIFS(Dados!$E:$E,$B62,Dados!$C:$C,INDEX(O$3,1,1),Dados!$A:$A,INDEX($D:$E,MATCH("A",$D:$D,0),2)))</f>
        <v/>
      </c>
      <c r="P62" s="68" t="str">
        <f>IF(COUNTIFS(Dados!$E:$E,$B62,Dados!$C:$C,INDEX(P$3,1,1),Dados!$A:$A,INDEX($D:$E,MATCH("A",$D:$D,0),2))=0,"",SUMIFS(Dados!$G:$G,Dados!$E:$E,$B62,Dados!$C:$C,INDEX(P$3,1,1),Dados!$A:$A,INDEX($D:$E,MATCH("A",$D:$D,0),2))/COUNTIFS(Dados!$E:$E,$B62,Dados!$C:$C,INDEX(P$3,1,1),Dados!$A:$A,INDEX($D:$E,MATCH("A",$D:$D,0),2)))</f>
        <v/>
      </c>
      <c r="Q62" s="68" t="str">
        <f>IF(COUNTIFS(Dados!$E:$E,$B62,Dados!$C:$C,INDEX(Q$3,1,1),Dados!$A:$A,INDEX($D:$E,MATCH("A",$D:$D,0),2))=0,"",SUMIFS(Dados!$G:$G,Dados!$E:$E,$B62,Dados!$C:$C,INDEX(Q$3,1,1),Dados!$A:$A,INDEX($D:$E,MATCH("A",$D:$D,0),2))/COUNTIFS(Dados!$E:$E,$B62,Dados!$C:$C,INDEX(Q$3,1,1),Dados!$A:$A,INDEX($D:$E,MATCH("A",$D:$D,0),2)))</f>
        <v/>
      </c>
      <c r="R62" s="68" t="str">
        <f>IF(COUNTIFS(Dados!$E:$E,$B62,Dados!$C:$C,INDEX(R$3,1,1),Dados!$A:$A,INDEX($D:$E,MATCH("A",$D:$D,0),2))=0,"",SUMIFS(Dados!$G:$G,Dados!$E:$E,$B62,Dados!$C:$C,INDEX(R$3,1,1),Dados!$A:$A,INDEX($D:$E,MATCH("A",$D:$D,0),2))/COUNTIFS(Dados!$E:$E,$B62,Dados!$C:$C,INDEX(R$3,1,1),Dados!$A:$A,INDEX($D:$E,MATCH("A",$D:$D,0),2)))</f>
        <v/>
      </c>
      <c r="S62" s="68" t="str">
        <f>IF(COUNTIFS(Dados!$E:$E,$B62,Dados!$C:$C,INDEX(S$3,1,1),Dados!$A:$A,INDEX($D:$E,MATCH("A",$D:$D,0),2))=0,"",SUMIFS(Dados!$G:$G,Dados!$E:$E,$B62,Dados!$C:$C,INDEX(S$3,1,1),Dados!$A:$A,INDEX($D:$E,MATCH("A",$D:$D,0),2))/COUNTIFS(Dados!$E:$E,$B62,Dados!$C:$C,INDEX(S$3,1,1),Dados!$A:$A,INDEX($D:$E,MATCH("A",$D:$D,0),2)))</f>
        <v/>
      </c>
      <c r="T62" s="68" t="str">
        <f>IF(COUNTIFS(Dados!$E:$E,$B62,Dados!$C:$C,INDEX(T$3,1,1),Dados!$A:$A,INDEX($D:$E,MATCH("A",$D:$D,0),2))=0,"",SUMIFS(Dados!$G:$G,Dados!$E:$E,$B62,Dados!$C:$C,INDEX(T$3,1,1),Dados!$A:$A,INDEX($D:$E,MATCH("A",$D:$D,0),2))/COUNTIFS(Dados!$E:$E,$B62,Dados!$C:$C,INDEX(T$3,1,1),Dados!$A:$A,INDEX($D:$E,MATCH("A",$D:$D,0),2)))</f>
        <v/>
      </c>
      <c r="U62" s="68" t="str">
        <f>IF(COUNTIFS(Dados!$E:$E,$B62,Dados!$C:$C,INDEX(U$3,1,1),Dados!$A:$A,INDEX($D:$E,MATCH("A",$D:$D,0),2))=0,"",SUMIFS(Dados!$G:$G,Dados!$E:$E,$B62,Dados!$C:$C,INDEX(U$3,1,1),Dados!$A:$A,INDEX($D:$E,MATCH("A",$D:$D,0),2))/COUNTIFS(Dados!$E:$E,$B62,Dados!$C:$C,INDEX(U$3,1,1),Dados!$A:$A,INDEX($D:$E,MATCH("A",$D:$D,0),2)))</f>
        <v/>
      </c>
      <c r="V62" s="68" t="str">
        <f>IF(COUNTIFS(Dados!$E:$E,$B62,Dados!$C:$C,INDEX(V$3,1,1),Dados!$A:$A,INDEX($D:$E,MATCH("A",$D:$D,0),2))=0,"",SUMIFS(Dados!$G:$G,Dados!$E:$E,$B62,Dados!$C:$C,INDEX(V$3,1,1),Dados!$A:$A,INDEX($D:$E,MATCH("A",$D:$D,0),2))/COUNTIFS(Dados!$E:$E,$B62,Dados!$C:$C,INDEX(V$3,1,1),Dados!$A:$A,INDEX($D:$E,MATCH("A",$D:$D,0),2)))</f>
        <v/>
      </c>
    </row>
    <row r="63" spans="2:22" x14ac:dyDescent="0.25">
      <c r="B63" s="65" t="s">
        <v>375</v>
      </c>
      <c r="C63" s="72">
        <f>VLOOKUP(B63,B4:C22,2,0)</f>
        <v>18</v>
      </c>
      <c r="D63" s="66" t="str">
        <f>IF(COUNTIFS(Dados!$E:$E,$B63,Dados!$C:$C,INDEX(D$3,1,1),Dados!$A:$A,INDEX($D:$E,MATCH("A",$D:$D,0),2))=0,"",SUMIFS(Dados!$G:$G,Dados!$E:$E,$B63,Dados!$C:$C,INDEX(D$3,1,1),Dados!$A:$A,INDEX($D:$E,MATCH("A",$D:$D,0),2))/COUNTIFS(Dados!$E:$E,$B63,Dados!$C:$C,INDEX(D$3,1,1),Dados!$A:$A,INDEX($D:$E,MATCH("A",$D:$D,0),2)))</f>
        <v/>
      </c>
      <c r="E63" s="66" t="str">
        <f>IF(COUNTIFS(Dados!$E:$E,$B63,Dados!$C:$C,INDEX(E$3,1,1),Dados!$A:$A,INDEX($D:$E,MATCH("A",$D:$D,0),2))=0,"",SUMIFS(Dados!$G:$G,Dados!$E:$E,$B63,Dados!$C:$C,INDEX(E$3,1,1),Dados!$A:$A,INDEX($D:$E,MATCH("A",$D:$D,0),2))/COUNTIFS(Dados!$E:$E,$B63,Dados!$C:$C,INDEX(E$3,1,1),Dados!$A:$A,INDEX($D:$E,MATCH("A",$D:$D,0),2)))</f>
        <v/>
      </c>
      <c r="F63" s="66" t="str">
        <f>IF(COUNTIFS(Dados!$E:$E,$B63,Dados!$C:$C,INDEX(F$3,1,1),Dados!$A:$A,INDEX($D:$E,MATCH("A",$D:$D,0),2))=0,"",SUMIFS(Dados!$G:$G,Dados!$E:$E,$B63,Dados!$C:$C,INDEX(F$3,1,1),Dados!$A:$A,INDEX($D:$E,MATCH("A",$D:$D,0),2))/COUNTIFS(Dados!$E:$E,$B63,Dados!$C:$C,INDEX(F$3,1,1),Dados!$A:$A,INDEX($D:$E,MATCH("A",$D:$D,0),2)))</f>
        <v/>
      </c>
      <c r="G63" s="66" t="str">
        <f>IF(COUNTIFS(Dados!$E:$E,$B63,Dados!$C:$C,INDEX(G$3,1,1),Dados!$A:$A,INDEX($D:$E,MATCH("A",$D:$D,0),2))=0,"",SUMIFS(Dados!$G:$G,Dados!$E:$E,$B63,Dados!$C:$C,INDEX(G$3,1,1),Dados!$A:$A,INDEX($D:$E,MATCH("A",$D:$D,0),2))/COUNTIFS(Dados!$E:$E,$B63,Dados!$C:$C,INDEX(G$3,1,1),Dados!$A:$A,INDEX($D:$E,MATCH("A",$D:$D,0),2)))</f>
        <v/>
      </c>
      <c r="H63" s="66" t="str">
        <f>IF(COUNTIFS(Dados!$E:$E,$B63,Dados!$C:$C,INDEX(H$3,1,1),Dados!$A:$A,INDEX($D:$E,MATCH("A",$D:$D,0),2))=0,"",SUMIFS(Dados!$G:$G,Dados!$E:$E,$B63,Dados!$C:$C,INDEX(H$3,1,1),Dados!$A:$A,INDEX($D:$E,MATCH("A",$D:$D,0),2))/COUNTIFS(Dados!$E:$E,$B63,Dados!$C:$C,INDEX(H$3,1,1),Dados!$A:$A,INDEX($D:$E,MATCH("A",$D:$D,0),2)))</f>
        <v/>
      </c>
      <c r="I63" s="66" t="str">
        <f>IF(COUNTIFS(Dados!$E:$E,$B63,Dados!$C:$C,INDEX(I$3,1,1),Dados!$A:$A,INDEX($D:$E,MATCH("A",$D:$D,0),2))=0,"",SUMIFS(Dados!$G:$G,Dados!$E:$E,$B63,Dados!$C:$C,INDEX(I$3,1,1),Dados!$A:$A,INDEX($D:$E,MATCH("A",$D:$D,0),2))/COUNTIFS(Dados!$E:$E,$B63,Dados!$C:$C,INDEX(I$3,1,1),Dados!$A:$A,INDEX($D:$E,MATCH("A",$D:$D,0),2)))</f>
        <v/>
      </c>
      <c r="J63" s="66" t="str">
        <f>IF(COUNTIFS(Dados!$E:$E,$B63,Dados!$C:$C,INDEX(J$3,1,1),Dados!$A:$A,INDEX($D:$E,MATCH("A",$D:$D,0),2))=0,"",SUMIFS(Dados!$G:$G,Dados!$E:$E,$B63,Dados!$C:$C,INDEX(J$3,1,1),Dados!$A:$A,INDEX($D:$E,MATCH("A",$D:$D,0),2))/COUNTIFS(Dados!$E:$E,$B63,Dados!$C:$C,INDEX(J$3,1,1),Dados!$A:$A,INDEX($D:$E,MATCH("A",$D:$D,0),2)))</f>
        <v/>
      </c>
      <c r="K63" s="66" t="str">
        <f>IF(COUNTIFS(Dados!$E:$E,$B63,Dados!$C:$C,INDEX(K$3,1,1),Dados!$A:$A,INDEX($D:$E,MATCH("A",$D:$D,0),2))=0,"",SUMIFS(Dados!$G:$G,Dados!$E:$E,$B63,Dados!$C:$C,INDEX(K$3,1,1),Dados!$A:$A,INDEX($D:$E,MATCH("A",$D:$D,0),2))/COUNTIFS(Dados!$E:$E,$B63,Dados!$C:$C,INDEX(K$3,1,1),Dados!$A:$A,INDEX($D:$E,MATCH("A",$D:$D,0),2)))</f>
        <v/>
      </c>
      <c r="L63" s="66" t="str">
        <f>IF(COUNTIFS(Dados!$E:$E,$B63,Dados!$C:$C,INDEX(L$3,1,1),Dados!$A:$A,INDEX($D:$E,MATCH("A",$D:$D,0),2))=0,"",SUMIFS(Dados!$G:$G,Dados!$E:$E,$B63,Dados!$C:$C,INDEX(L$3,1,1),Dados!$A:$A,INDEX($D:$E,MATCH("A",$D:$D,0),2))/COUNTIFS(Dados!$E:$E,$B63,Dados!$C:$C,INDEX(L$3,1,1),Dados!$A:$A,INDEX($D:$E,MATCH("A",$D:$D,0),2)))</f>
        <v/>
      </c>
      <c r="M63" s="66" t="str">
        <f>IF(COUNTIFS(Dados!$E:$E,$B63,Dados!$C:$C,INDEX(M$3,1,1),Dados!$A:$A,INDEX($D:$E,MATCH("A",$D:$D,0),2))=0,"",SUMIFS(Dados!$G:$G,Dados!$E:$E,$B63,Dados!$C:$C,INDEX(M$3,1,1),Dados!$A:$A,INDEX($D:$E,MATCH("A",$D:$D,0),2))/COUNTIFS(Dados!$E:$E,$B63,Dados!$C:$C,INDEX(M$3,1,1),Dados!$A:$A,INDEX($D:$E,MATCH("A",$D:$D,0),2)))</f>
        <v/>
      </c>
      <c r="N63" s="66" t="str">
        <f>IF(COUNTIFS(Dados!$E:$E,$B63,Dados!$C:$C,INDEX(N$3,1,1),Dados!$A:$A,INDEX($D:$E,MATCH("A",$D:$D,0),2))=0,"",SUMIFS(Dados!$G:$G,Dados!$E:$E,$B63,Dados!$C:$C,INDEX(N$3,1,1),Dados!$A:$A,INDEX($D:$E,MATCH("A",$D:$D,0),2))/COUNTIFS(Dados!$E:$E,$B63,Dados!$C:$C,INDEX(N$3,1,1),Dados!$A:$A,INDEX($D:$E,MATCH("A",$D:$D,0),2)))</f>
        <v/>
      </c>
      <c r="O63" s="66" t="str">
        <f>IF(COUNTIFS(Dados!$E:$E,$B63,Dados!$C:$C,INDEX(O$3,1,1),Dados!$A:$A,INDEX($D:$E,MATCH("A",$D:$D,0),2))=0,"",SUMIFS(Dados!$G:$G,Dados!$E:$E,$B63,Dados!$C:$C,INDEX(O$3,1,1),Dados!$A:$A,INDEX($D:$E,MATCH("A",$D:$D,0),2))/COUNTIFS(Dados!$E:$E,$B63,Dados!$C:$C,INDEX(O$3,1,1),Dados!$A:$A,INDEX($D:$E,MATCH("A",$D:$D,0),2)))</f>
        <v/>
      </c>
      <c r="P63" s="66" t="str">
        <f>IF(COUNTIFS(Dados!$E:$E,$B63,Dados!$C:$C,INDEX(P$3,1,1),Dados!$A:$A,INDEX($D:$E,MATCH("A",$D:$D,0),2))=0,"",SUMIFS(Dados!$G:$G,Dados!$E:$E,$B63,Dados!$C:$C,INDEX(P$3,1,1),Dados!$A:$A,INDEX($D:$E,MATCH("A",$D:$D,0),2))/COUNTIFS(Dados!$E:$E,$B63,Dados!$C:$C,INDEX(P$3,1,1),Dados!$A:$A,INDEX($D:$E,MATCH("A",$D:$D,0),2)))</f>
        <v/>
      </c>
      <c r="Q63" s="66" t="str">
        <f>IF(COUNTIFS(Dados!$E:$E,$B63,Dados!$C:$C,INDEX(Q$3,1,1),Dados!$A:$A,INDEX($D:$E,MATCH("A",$D:$D,0),2))=0,"",SUMIFS(Dados!$G:$G,Dados!$E:$E,$B63,Dados!$C:$C,INDEX(Q$3,1,1),Dados!$A:$A,INDEX($D:$E,MATCH("A",$D:$D,0),2))/COUNTIFS(Dados!$E:$E,$B63,Dados!$C:$C,INDEX(Q$3,1,1),Dados!$A:$A,INDEX($D:$E,MATCH("A",$D:$D,0),2)))</f>
        <v/>
      </c>
      <c r="R63" s="66" t="str">
        <f>IF(COUNTIFS(Dados!$E:$E,$B63,Dados!$C:$C,INDEX(R$3,1,1),Dados!$A:$A,INDEX($D:$E,MATCH("A",$D:$D,0),2))=0,"",SUMIFS(Dados!$G:$G,Dados!$E:$E,$B63,Dados!$C:$C,INDEX(R$3,1,1),Dados!$A:$A,INDEX($D:$E,MATCH("A",$D:$D,0),2))/COUNTIFS(Dados!$E:$E,$B63,Dados!$C:$C,INDEX(R$3,1,1),Dados!$A:$A,INDEX($D:$E,MATCH("A",$D:$D,0),2)))</f>
        <v/>
      </c>
      <c r="S63" s="66" t="str">
        <f>IF(COUNTIFS(Dados!$E:$E,$B63,Dados!$C:$C,INDEX(S$3,1,1),Dados!$A:$A,INDEX($D:$E,MATCH("A",$D:$D,0),2))=0,"",SUMIFS(Dados!$G:$G,Dados!$E:$E,$B63,Dados!$C:$C,INDEX(S$3,1,1),Dados!$A:$A,INDEX($D:$E,MATCH("A",$D:$D,0),2))/COUNTIFS(Dados!$E:$E,$B63,Dados!$C:$C,INDEX(S$3,1,1),Dados!$A:$A,INDEX($D:$E,MATCH("A",$D:$D,0),2)))</f>
        <v/>
      </c>
      <c r="T63" s="66" t="str">
        <f>IF(COUNTIFS(Dados!$E:$E,$B63,Dados!$C:$C,INDEX(T$3,1,1),Dados!$A:$A,INDEX($D:$E,MATCH("A",$D:$D,0),2))=0,"",SUMIFS(Dados!$G:$G,Dados!$E:$E,$B63,Dados!$C:$C,INDEX(T$3,1,1),Dados!$A:$A,INDEX($D:$E,MATCH("A",$D:$D,0),2))/COUNTIFS(Dados!$E:$E,$B63,Dados!$C:$C,INDEX(T$3,1,1),Dados!$A:$A,INDEX($D:$E,MATCH("A",$D:$D,0),2)))</f>
        <v/>
      </c>
      <c r="U63" s="66" t="str">
        <f>IF(COUNTIFS(Dados!$E:$E,$B63,Dados!$C:$C,INDEX(U$3,1,1),Dados!$A:$A,INDEX($D:$E,MATCH("A",$D:$D,0),2))=0,"",SUMIFS(Dados!$G:$G,Dados!$E:$E,$B63,Dados!$C:$C,INDEX(U$3,1,1),Dados!$A:$A,INDEX($D:$E,MATCH("A",$D:$D,0),2))/COUNTIFS(Dados!$E:$E,$B63,Dados!$C:$C,INDEX(U$3,1,1),Dados!$A:$A,INDEX($D:$E,MATCH("A",$D:$D,0),2)))</f>
        <v/>
      </c>
      <c r="V63" s="66" t="str">
        <f>IF(COUNTIFS(Dados!$E:$E,$B63,Dados!$C:$C,INDEX(V$3,1,1),Dados!$A:$A,INDEX($D:$E,MATCH("A",$D:$D,0),2))=0,"",SUMIFS(Dados!$G:$G,Dados!$E:$E,$B63,Dados!$C:$C,INDEX(V$3,1,1),Dados!$A:$A,INDEX($D:$E,MATCH("A",$D:$D,0),2))/COUNTIFS(Dados!$E:$E,$B63,Dados!$C:$C,INDEX(V$3,1,1),Dados!$A:$A,INDEX($D:$E,MATCH("A",$D:$D,0),2)))</f>
        <v/>
      </c>
    </row>
    <row r="64" spans="2:22" x14ac:dyDescent="0.25">
      <c r="B64" s="67" t="s">
        <v>1300</v>
      </c>
      <c r="C64" s="71">
        <f>VLOOKUP(B64,B4:C22,2,0)</f>
        <v>19</v>
      </c>
      <c r="D64" s="68" t="str">
        <f>IF(COUNTIFS(Dados!$E:$E,$B64,Dados!$C:$C,INDEX(D$3,1,1),Dados!$A:$A,INDEX($D:$E,MATCH("A",$D:$D,0),2))=0,"",SUMIFS(Dados!$G:$G,Dados!$E:$E,$B64,Dados!$C:$C,INDEX(D$3,1,1),Dados!$A:$A,INDEX($D:$E,MATCH("A",$D:$D,0),2))/COUNTIFS(Dados!$E:$E,$B64,Dados!$C:$C,INDEX(D$3,1,1),Dados!$A:$A,INDEX($D:$E,MATCH("A",$D:$D,0),2)))</f>
        <v/>
      </c>
      <c r="E64" s="68" t="str">
        <f>IF(COUNTIFS(Dados!$E:$E,$B64,Dados!$C:$C,INDEX(E$3,1,1),Dados!$A:$A,INDEX($D:$E,MATCH("A",$D:$D,0),2))=0,"",SUMIFS(Dados!$G:$G,Dados!$E:$E,$B64,Dados!$C:$C,INDEX(E$3,1,1),Dados!$A:$A,INDEX($D:$E,MATCH("A",$D:$D,0),2))/COUNTIFS(Dados!$E:$E,$B64,Dados!$C:$C,INDEX(E$3,1,1),Dados!$A:$A,INDEX($D:$E,MATCH("A",$D:$D,0),2)))</f>
        <v/>
      </c>
      <c r="F64" s="68" t="str">
        <f>IF(COUNTIFS(Dados!$E:$E,$B64,Dados!$C:$C,INDEX(F$3,1,1),Dados!$A:$A,INDEX($D:$E,MATCH("A",$D:$D,0),2))=0,"",SUMIFS(Dados!$G:$G,Dados!$E:$E,$B64,Dados!$C:$C,INDEX(F$3,1,1),Dados!$A:$A,INDEX($D:$E,MATCH("A",$D:$D,0),2))/COUNTIFS(Dados!$E:$E,$B64,Dados!$C:$C,INDEX(F$3,1,1),Dados!$A:$A,INDEX($D:$E,MATCH("A",$D:$D,0),2)))</f>
        <v/>
      </c>
      <c r="G64" s="68" t="str">
        <f>IF(COUNTIFS(Dados!$E:$E,$B64,Dados!$C:$C,INDEX(G$3,1,1),Dados!$A:$A,INDEX($D:$E,MATCH("A",$D:$D,0),2))=0,"",SUMIFS(Dados!$G:$G,Dados!$E:$E,$B64,Dados!$C:$C,INDEX(G$3,1,1),Dados!$A:$A,INDEX($D:$E,MATCH("A",$D:$D,0),2))/COUNTIFS(Dados!$E:$E,$B64,Dados!$C:$C,INDEX(G$3,1,1),Dados!$A:$A,INDEX($D:$E,MATCH("A",$D:$D,0),2)))</f>
        <v/>
      </c>
      <c r="H64" s="68" t="str">
        <f>IF(COUNTIFS(Dados!$E:$E,$B64,Dados!$C:$C,INDEX(H$3,1,1),Dados!$A:$A,INDEX($D:$E,MATCH("A",$D:$D,0),2))=0,"",SUMIFS(Dados!$G:$G,Dados!$E:$E,$B64,Dados!$C:$C,INDEX(H$3,1,1),Dados!$A:$A,INDEX($D:$E,MATCH("A",$D:$D,0),2))/COUNTIFS(Dados!$E:$E,$B64,Dados!$C:$C,INDEX(H$3,1,1),Dados!$A:$A,INDEX($D:$E,MATCH("A",$D:$D,0),2)))</f>
        <v/>
      </c>
      <c r="I64" s="68" t="str">
        <f>IF(COUNTIFS(Dados!$E:$E,$B64,Dados!$C:$C,INDEX(I$3,1,1),Dados!$A:$A,INDEX($D:$E,MATCH("A",$D:$D,0),2))=0,"",SUMIFS(Dados!$G:$G,Dados!$E:$E,$B64,Dados!$C:$C,INDEX(I$3,1,1),Dados!$A:$A,INDEX($D:$E,MATCH("A",$D:$D,0),2))/COUNTIFS(Dados!$E:$E,$B64,Dados!$C:$C,INDEX(I$3,1,1),Dados!$A:$A,INDEX($D:$E,MATCH("A",$D:$D,0),2)))</f>
        <v/>
      </c>
      <c r="J64" s="68" t="str">
        <f>IF(COUNTIFS(Dados!$E:$E,$B64,Dados!$C:$C,INDEX(J$3,1,1),Dados!$A:$A,INDEX($D:$E,MATCH("A",$D:$D,0),2))=0,"",SUMIFS(Dados!$G:$G,Dados!$E:$E,$B64,Dados!$C:$C,INDEX(J$3,1,1),Dados!$A:$A,INDEX($D:$E,MATCH("A",$D:$D,0),2))/COUNTIFS(Dados!$E:$E,$B64,Dados!$C:$C,INDEX(J$3,1,1),Dados!$A:$A,INDEX($D:$E,MATCH("A",$D:$D,0),2)))</f>
        <v/>
      </c>
      <c r="K64" s="68" t="str">
        <f>IF(COUNTIFS(Dados!$E:$E,$B64,Dados!$C:$C,INDEX(K$3,1,1),Dados!$A:$A,INDEX($D:$E,MATCH("A",$D:$D,0),2))=0,"",SUMIFS(Dados!$G:$G,Dados!$E:$E,$B64,Dados!$C:$C,INDEX(K$3,1,1),Dados!$A:$A,INDEX($D:$E,MATCH("A",$D:$D,0),2))/COUNTIFS(Dados!$E:$E,$B64,Dados!$C:$C,INDEX(K$3,1,1),Dados!$A:$A,INDEX($D:$E,MATCH("A",$D:$D,0),2)))</f>
        <v/>
      </c>
      <c r="L64" s="68" t="str">
        <f>IF(COUNTIFS(Dados!$E:$E,$B64,Dados!$C:$C,INDEX(L$3,1,1),Dados!$A:$A,INDEX($D:$E,MATCH("A",$D:$D,0),2))=0,"",SUMIFS(Dados!$G:$G,Dados!$E:$E,$B64,Dados!$C:$C,INDEX(L$3,1,1),Dados!$A:$A,INDEX($D:$E,MATCH("A",$D:$D,0),2))/COUNTIFS(Dados!$E:$E,$B64,Dados!$C:$C,INDEX(L$3,1,1),Dados!$A:$A,INDEX($D:$E,MATCH("A",$D:$D,0),2)))</f>
        <v/>
      </c>
      <c r="M64" s="68" t="str">
        <f>IF(COUNTIFS(Dados!$E:$E,$B64,Dados!$C:$C,INDEX(M$3,1,1),Dados!$A:$A,INDEX($D:$E,MATCH("A",$D:$D,0),2))=0,"",SUMIFS(Dados!$G:$G,Dados!$E:$E,$B64,Dados!$C:$C,INDEX(M$3,1,1),Dados!$A:$A,INDEX($D:$E,MATCH("A",$D:$D,0),2))/COUNTIFS(Dados!$E:$E,$B64,Dados!$C:$C,INDEX(M$3,1,1),Dados!$A:$A,INDEX($D:$E,MATCH("A",$D:$D,0),2)))</f>
        <v/>
      </c>
      <c r="N64" s="68" t="str">
        <f>IF(COUNTIFS(Dados!$E:$E,$B64,Dados!$C:$C,INDEX(N$3,1,1),Dados!$A:$A,INDEX($D:$E,MATCH("A",$D:$D,0),2))=0,"",SUMIFS(Dados!$G:$G,Dados!$E:$E,$B64,Dados!$C:$C,INDEX(N$3,1,1),Dados!$A:$A,INDEX($D:$E,MATCH("A",$D:$D,0),2))/COUNTIFS(Dados!$E:$E,$B64,Dados!$C:$C,INDEX(N$3,1,1),Dados!$A:$A,INDEX($D:$E,MATCH("A",$D:$D,0),2)))</f>
        <v/>
      </c>
      <c r="O64" s="68" t="str">
        <f>IF(COUNTIFS(Dados!$E:$E,$B64,Dados!$C:$C,INDEX(O$3,1,1),Dados!$A:$A,INDEX($D:$E,MATCH("A",$D:$D,0),2))=0,"",SUMIFS(Dados!$G:$G,Dados!$E:$E,$B64,Dados!$C:$C,INDEX(O$3,1,1),Dados!$A:$A,INDEX($D:$E,MATCH("A",$D:$D,0),2))/COUNTIFS(Dados!$E:$E,$B64,Dados!$C:$C,INDEX(O$3,1,1),Dados!$A:$A,INDEX($D:$E,MATCH("A",$D:$D,0),2)))</f>
        <v/>
      </c>
      <c r="P64" s="68" t="str">
        <f>IF(COUNTIFS(Dados!$E:$E,$B64,Dados!$C:$C,INDEX(P$3,1,1),Dados!$A:$A,INDEX($D:$E,MATCH("A",$D:$D,0),2))=0,"",SUMIFS(Dados!$G:$G,Dados!$E:$E,$B64,Dados!$C:$C,INDEX(P$3,1,1),Dados!$A:$A,INDEX($D:$E,MATCH("A",$D:$D,0),2))/COUNTIFS(Dados!$E:$E,$B64,Dados!$C:$C,INDEX(P$3,1,1),Dados!$A:$A,INDEX($D:$E,MATCH("A",$D:$D,0),2)))</f>
        <v/>
      </c>
      <c r="Q64" s="68" t="str">
        <f>IF(COUNTIFS(Dados!$E:$E,$B64,Dados!$C:$C,INDEX(Q$3,1,1),Dados!$A:$A,INDEX($D:$E,MATCH("A",$D:$D,0),2))=0,"",SUMIFS(Dados!$G:$G,Dados!$E:$E,$B64,Dados!$C:$C,INDEX(Q$3,1,1),Dados!$A:$A,INDEX($D:$E,MATCH("A",$D:$D,0),2))/COUNTIFS(Dados!$E:$E,$B64,Dados!$C:$C,INDEX(Q$3,1,1),Dados!$A:$A,INDEX($D:$E,MATCH("A",$D:$D,0),2)))</f>
        <v/>
      </c>
      <c r="R64" s="68" t="str">
        <f>IF(COUNTIFS(Dados!$E:$E,$B64,Dados!$C:$C,INDEX(R$3,1,1),Dados!$A:$A,INDEX($D:$E,MATCH("A",$D:$D,0),2))=0,"",SUMIFS(Dados!$G:$G,Dados!$E:$E,$B64,Dados!$C:$C,INDEX(R$3,1,1),Dados!$A:$A,INDEX($D:$E,MATCH("A",$D:$D,0),2))/COUNTIFS(Dados!$E:$E,$B64,Dados!$C:$C,INDEX(R$3,1,1),Dados!$A:$A,INDEX($D:$E,MATCH("A",$D:$D,0),2)))</f>
        <v/>
      </c>
      <c r="S64" s="68" t="str">
        <f>IF(COUNTIFS(Dados!$E:$E,$B64,Dados!$C:$C,INDEX(S$3,1,1),Dados!$A:$A,INDEX($D:$E,MATCH("A",$D:$D,0),2))=0,"",SUMIFS(Dados!$G:$G,Dados!$E:$E,$B64,Dados!$C:$C,INDEX(S$3,1,1),Dados!$A:$A,INDEX($D:$E,MATCH("A",$D:$D,0),2))/COUNTIFS(Dados!$E:$E,$B64,Dados!$C:$C,INDEX(S$3,1,1),Dados!$A:$A,INDEX($D:$E,MATCH("A",$D:$D,0),2)))</f>
        <v/>
      </c>
      <c r="T64" s="68" t="str">
        <f>IF(COUNTIFS(Dados!$E:$E,$B64,Dados!$C:$C,INDEX(T$3,1,1),Dados!$A:$A,INDEX($D:$E,MATCH("A",$D:$D,0),2))=0,"",SUMIFS(Dados!$G:$G,Dados!$E:$E,$B64,Dados!$C:$C,INDEX(T$3,1,1),Dados!$A:$A,INDEX($D:$E,MATCH("A",$D:$D,0),2))/COUNTIFS(Dados!$E:$E,$B64,Dados!$C:$C,INDEX(T$3,1,1),Dados!$A:$A,INDEX($D:$E,MATCH("A",$D:$D,0),2)))</f>
        <v/>
      </c>
      <c r="U64" s="68" t="str">
        <f>IF(COUNTIFS(Dados!$E:$E,$B64,Dados!$C:$C,INDEX(U$3,1,1),Dados!$A:$A,INDEX($D:$E,MATCH("A",$D:$D,0),2))=0,"",SUMIFS(Dados!$G:$G,Dados!$E:$E,$B64,Dados!$C:$C,INDEX(U$3,1,1),Dados!$A:$A,INDEX($D:$E,MATCH("A",$D:$D,0),2))/COUNTIFS(Dados!$E:$E,$B64,Dados!$C:$C,INDEX(U$3,1,1),Dados!$A:$A,INDEX($D:$E,MATCH("A",$D:$D,0),2)))</f>
        <v/>
      </c>
      <c r="V64" s="68" t="str">
        <f>IF(COUNTIFS(Dados!$E:$E,$B64,Dados!$C:$C,INDEX(V$3,1,1),Dados!$A:$A,INDEX($D:$E,MATCH("A",$D:$D,0),2))=0,"",SUMIFS(Dados!$G:$G,Dados!$E:$E,$B64,Dados!$C:$C,INDEX(V$3,1,1),Dados!$A:$A,INDEX($D:$E,MATCH("A",$D:$D,0),2))/COUNTIFS(Dados!$E:$E,$B64,Dados!$C:$C,INDEX(V$3,1,1),Dados!$A:$A,INDEX($D:$E,MATCH("A",$D:$D,0),2)))</f>
        <v/>
      </c>
    </row>
    <row r="65" spans="2:22" x14ac:dyDescent="0.25">
      <c r="B65" s="63" t="s">
        <v>983</v>
      </c>
      <c r="C65" s="63"/>
      <c r="D65" s="63" t="s">
        <v>979</v>
      </c>
      <c r="E65" s="73">
        <v>5</v>
      </c>
    </row>
    <row r="66" spans="2:22" x14ac:dyDescent="0.25">
      <c r="B66" s="69" t="s">
        <v>974</v>
      </c>
      <c r="C66" s="70" t="s">
        <v>1291</v>
      </c>
      <c r="D66" s="61">
        <v>1978</v>
      </c>
      <c r="E66" s="61">
        <v>1982</v>
      </c>
      <c r="F66" s="61">
        <v>1991</v>
      </c>
      <c r="G66" s="61">
        <v>1996</v>
      </c>
      <c r="H66" s="61">
        <v>1997</v>
      </c>
      <c r="I66" s="61">
        <v>1998</v>
      </c>
      <c r="J66" s="61">
        <v>1999</v>
      </c>
      <c r="K66" s="61">
        <v>2000</v>
      </c>
      <c r="L66" s="61">
        <v>2001</v>
      </c>
      <c r="M66" s="61">
        <v>2002</v>
      </c>
      <c r="N66" s="61">
        <v>2003</v>
      </c>
      <c r="O66" s="61">
        <v>2004</v>
      </c>
      <c r="P66" s="61">
        <v>2005</v>
      </c>
      <c r="Q66" s="61">
        <v>2006</v>
      </c>
      <c r="R66" s="61">
        <v>2007</v>
      </c>
      <c r="S66" s="61">
        <v>2008</v>
      </c>
      <c r="T66" s="61">
        <v>2010</v>
      </c>
      <c r="U66" s="61">
        <v>2011</v>
      </c>
      <c r="V66" s="61">
        <v>2012</v>
      </c>
    </row>
    <row r="67" spans="2:22" x14ac:dyDescent="0.25">
      <c r="B67" s="65" t="s">
        <v>107</v>
      </c>
      <c r="C67" s="72">
        <f>VLOOKUP(B67,B4:C22,2,0)</f>
        <v>1</v>
      </c>
      <c r="D67" s="66" t="str">
        <f>IF(COUNTIFS(Dados!$E:$E,$B67,Dados!$C:$C,INDEX(D$3,1,1),Dados!$A:$A,INDEX($D:$E,MATCH("B",$D:$D,0),2))=0,"",SUMIFS(Dados!$G:$G,Dados!$E:$E,$B67,Dados!$C:$C,INDEX(D$3,1,1),Dados!$A:$A,INDEX($D:$E,MATCH("B",$D:$D,0),2))/COUNTIFS(Dados!$E:$E,$B67,Dados!$C:$C,INDEX(D$3,1,1),Dados!$A:$A,INDEX($D:$E,MATCH("B",$D:$D,0),2)))</f>
        <v/>
      </c>
      <c r="E67" s="66" t="str">
        <f>IF(COUNTIFS(Dados!$E:$E,$B67,Dados!$C:$C,INDEX(E$3,1,1),Dados!$A:$A,INDEX($D:$E,MATCH("B",$D:$D,0),2))=0,"",SUMIFS(Dados!$G:$G,Dados!$E:$E,$B67,Dados!$C:$C,INDEX(E$3,1,1),Dados!$A:$A,INDEX($D:$E,MATCH("B",$D:$D,0),2))/COUNTIFS(Dados!$E:$E,$B67,Dados!$C:$C,INDEX(E$3,1,1),Dados!$A:$A,INDEX($D:$E,MATCH("B",$D:$D,0),2)))</f>
        <v/>
      </c>
      <c r="F67" s="66" t="str">
        <f>IF(COUNTIFS(Dados!$E:$E,$B67,Dados!$C:$C,INDEX(F$3,1,1),Dados!$A:$A,INDEX($D:$E,MATCH("B",$D:$D,0),2))=0,"",SUMIFS(Dados!$G:$G,Dados!$E:$E,$B67,Dados!$C:$C,INDEX(F$3,1,1),Dados!$A:$A,INDEX($D:$E,MATCH("B",$D:$D,0),2))/COUNTIFS(Dados!$E:$E,$B67,Dados!$C:$C,INDEX(F$3,1,1),Dados!$A:$A,INDEX($D:$E,MATCH("B",$D:$D,0),2)))</f>
        <v/>
      </c>
      <c r="G67" s="66" t="str">
        <f>IF(COUNTIFS(Dados!$E:$E,$B67,Dados!$C:$C,INDEX(G$3,1,1),Dados!$A:$A,INDEX($D:$E,MATCH("B",$D:$D,0),2))=0,"",SUMIFS(Dados!$G:$G,Dados!$E:$E,$B67,Dados!$C:$C,INDEX(G$3,1,1),Dados!$A:$A,INDEX($D:$E,MATCH("B",$D:$D,0),2))/COUNTIFS(Dados!$E:$E,$B67,Dados!$C:$C,INDEX(G$3,1,1),Dados!$A:$A,INDEX($D:$E,MATCH("B",$D:$D,0),2)))</f>
        <v/>
      </c>
      <c r="H67" s="66" t="str">
        <f>IF(COUNTIFS(Dados!$E:$E,$B67,Dados!$C:$C,INDEX(H$3,1,1),Dados!$A:$A,INDEX($D:$E,MATCH("B",$D:$D,0),2))=0,"",SUMIFS(Dados!$G:$G,Dados!$E:$E,$B67,Dados!$C:$C,INDEX(H$3,1,1),Dados!$A:$A,INDEX($D:$E,MATCH("B",$D:$D,0),2))/COUNTIFS(Dados!$E:$E,$B67,Dados!$C:$C,INDEX(H$3,1,1),Dados!$A:$A,INDEX($D:$E,MATCH("B",$D:$D,0),2)))</f>
        <v/>
      </c>
      <c r="I67" s="66" t="str">
        <f>IF(COUNTIFS(Dados!$E:$E,$B67,Dados!$C:$C,INDEX(I$3,1,1),Dados!$A:$A,INDEX($D:$E,MATCH("B",$D:$D,0),2))=0,"",SUMIFS(Dados!$G:$G,Dados!$E:$E,$B67,Dados!$C:$C,INDEX(I$3,1,1),Dados!$A:$A,INDEX($D:$E,MATCH("B",$D:$D,0),2))/COUNTIFS(Dados!$E:$E,$B67,Dados!$C:$C,INDEX(I$3,1,1),Dados!$A:$A,INDEX($D:$E,MATCH("B",$D:$D,0),2)))</f>
        <v/>
      </c>
      <c r="J67" s="66" t="str">
        <f>IF(COUNTIFS(Dados!$E:$E,$B67,Dados!$C:$C,INDEX(J$3,1,1),Dados!$A:$A,INDEX($D:$E,MATCH("B",$D:$D,0),2))=0,"",SUMIFS(Dados!$G:$G,Dados!$E:$E,$B67,Dados!$C:$C,INDEX(J$3,1,1),Dados!$A:$A,INDEX($D:$E,MATCH("B",$D:$D,0),2))/COUNTIFS(Dados!$E:$E,$B67,Dados!$C:$C,INDEX(J$3,1,1),Dados!$A:$A,INDEX($D:$E,MATCH("B",$D:$D,0),2)))</f>
        <v/>
      </c>
      <c r="K67" s="66" t="str">
        <f>IF(COUNTIFS(Dados!$E:$E,$B67,Dados!$C:$C,INDEX(K$3,1,1),Dados!$A:$A,INDEX($D:$E,MATCH("B",$D:$D,0),2))=0,"",SUMIFS(Dados!$G:$G,Dados!$E:$E,$B67,Dados!$C:$C,INDEX(K$3,1,1),Dados!$A:$A,INDEX($D:$E,MATCH("B",$D:$D,0),2))/COUNTIFS(Dados!$E:$E,$B67,Dados!$C:$C,INDEX(K$3,1,1),Dados!$A:$A,INDEX($D:$E,MATCH("B",$D:$D,0),2)))</f>
        <v/>
      </c>
      <c r="L67" s="66" t="str">
        <f>IF(COUNTIFS(Dados!$E:$E,$B67,Dados!$C:$C,INDEX(L$3,1,1),Dados!$A:$A,INDEX($D:$E,MATCH("B",$D:$D,0),2))=0,"",SUMIFS(Dados!$G:$G,Dados!$E:$E,$B67,Dados!$C:$C,INDEX(L$3,1,1),Dados!$A:$A,INDEX($D:$E,MATCH("B",$D:$D,0),2))/COUNTIFS(Dados!$E:$E,$B67,Dados!$C:$C,INDEX(L$3,1,1),Dados!$A:$A,INDEX($D:$E,MATCH("B",$D:$D,0),2)))</f>
        <v/>
      </c>
      <c r="M67" s="66" t="str">
        <f>IF(COUNTIFS(Dados!$E:$E,$B67,Dados!$C:$C,INDEX(M$3,1,1),Dados!$A:$A,INDEX($D:$E,MATCH("B",$D:$D,0),2))=0,"",SUMIFS(Dados!$G:$G,Dados!$E:$E,$B67,Dados!$C:$C,INDEX(M$3,1,1),Dados!$A:$A,INDEX($D:$E,MATCH("B",$D:$D,0),2))/COUNTIFS(Dados!$E:$E,$B67,Dados!$C:$C,INDEX(M$3,1,1),Dados!$A:$A,INDEX($D:$E,MATCH("B",$D:$D,0),2)))</f>
        <v/>
      </c>
      <c r="N67" s="66" t="str">
        <f>IF(COUNTIFS(Dados!$E:$E,$B67,Dados!$C:$C,INDEX(N$3,1,1),Dados!$A:$A,INDEX($D:$E,MATCH("B",$D:$D,0),2))=0,"",SUMIFS(Dados!$G:$G,Dados!$E:$E,$B67,Dados!$C:$C,INDEX(N$3,1,1),Dados!$A:$A,INDEX($D:$E,MATCH("B",$D:$D,0),2))/COUNTIFS(Dados!$E:$E,$B67,Dados!$C:$C,INDEX(N$3,1,1),Dados!$A:$A,INDEX($D:$E,MATCH("B",$D:$D,0),2)))</f>
        <v/>
      </c>
      <c r="O67" s="66" t="str">
        <f>IF(COUNTIFS(Dados!$E:$E,$B67,Dados!$C:$C,INDEX(O$3,1,1),Dados!$A:$A,INDEX($D:$E,MATCH("B",$D:$D,0),2))=0,"",SUMIFS(Dados!$G:$G,Dados!$E:$E,$B67,Dados!$C:$C,INDEX(O$3,1,1),Dados!$A:$A,INDEX($D:$E,MATCH("B",$D:$D,0),2))/COUNTIFS(Dados!$E:$E,$B67,Dados!$C:$C,INDEX(O$3,1,1),Dados!$A:$A,INDEX($D:$E,MATCH("B",$D:$D,0),2)))</f>
        <v/>
      </c>
      <c r="P67" s="66" t="str">
        <f>IF(COUNTIFS(Dados!$E:$E,$B67,Dados!$C:$C,INDEX(P$3,1,1),Dados!$A:$A,INDEX($D:$E,MATCH("B",$D:$D,0),2))=0,"",SUMIFS(Dados!$G:$G,Dados!$E:$E,$B67,Dados!$C:$C,INDEX(P$3,1,1),Dados!$A:$A,INDEX($D:$E,MATCH("B",$D:$D,0),2))/COUNTIFS(Dados!$E:$E,$B67,Dados!$C:$C,INDEX(P$3,1,1),Dados!$A:$A,INDEX($D:$E,MATCH("B",$D:$D,0),2)))</f>
        <v/>
      </c>
      <c r="Q67" s="66" t="str">
        <f>IF(COUNTIFS(Dados!$E:$E,$B67,Dados!$C:$C,INDEX(Q$3,1,1),Dados!$A:$A,INDEX($D:$E,MATCH("B",$D:$D,0),2))=0,"",SUMIFS(Dados!$G:$G,Dados!$E:$E,$B67,Dados!$C:$C,INDEX(Q$3,1,1),Dados!$A:$A,INDEX($D:$E,MATCH("B",$D:$D,0),2))/COUNTIFS(Dados!$E:$E,$B67,Dados!$C:$C,INDEX(Q$3,1,1),Dados!$A:$A,INDEX($D:$E,MATCH("B",$D:$D,0),2)))</f>
        <v/>
      </c>
      <c r="R67" s="66" t="str">
        <f>IF(COUNTIFS(Dados!$E:$E,$B67,Dados!$C:$C,INDEX(R$3,1,1),Dados!$A:$A,INDEX($D:$E,MATCH("B",$D:$D,0),2))=0,"",SUMIFS(Dados!$G:$G,Dados!$E:$E,$B67,Dados!$C:$C,INDEX(R$3,1,1),Dados!$A:$A,INDEX($D:$E,MATCH("B",$D:$D,0),2))/COUNTIFS(Dados!$E:$E,$B67,Dados!$C:$C,INDEX(R$3,1,1),Dados!$A:$A,INDEX($D:$E,MATCH("B",$D:$D,0),2)))</f>
        <v/>
      </c>
      <c r="S67" s="66" t="str">
        <f>IF(COUNTIFS(Dados!$E:$E,$B67,Dados!$C:$C,INDEX(S$3,1,1),Dados!$A:$A,INDEX($D:$E,MATCH("B",$D:$D,0),2))=0,"",SUMIFS(Dados!$G:$G,Dados!$E:$E,$B67,Dados!$C:$C,INDEX(S$3,1,1),Dados!$A:$A,INDEX($D:$E,MATCH("B",$D:$D,0),2))/COUNTIFS(Dados!$E:$E,$B67,Dados!$C:$C,INDEX(S$3,1,1),Dados!$A:$A,INDEX($D:$E,MATCH("B",$D:$D,0),2)))</f>
        <v/>
      </c>
      <c r="T67" s="66" t="str">
        <f>IF(COUNTIFS(Dados!$E:$E,$B67,Dados!$C:$C,INDEX(T$3,1,1),Dados!$A:$A,INDEX($D:$E,MATCH("B",$D:$D,0),2))=0,"",SUMIFS(Dados!$G:$G,Dados!$E:$E,$B67,Dados!$C:$C,INDEX(T$3,1,1),Dados!$A:$A,INDEX($D:$E,MATCH("B",$D:$D,0),2))/COUNTIFS(Dados!$E:$E,$B67,Dados!$C:$C,INDEX(T$3,1,1),Dados!$A:$A,INDEX($D:$E,MATCH("B",$D:$D,0),2)))</f>
        <v/>
      </c>
      <c r="U67" s="66" t="str">
        <f>IF(COUNTIFS(Dados!$E:$E,$B67,Dados!$C:$C,INDEX(U$3,1,1),Dados!$A:$A,INDEX($D:$E,MATCH("B",$D:$D,0),2))=0,"",SUMIFS(Dados!$G:$G,Dados!$E:$E,$B67,Dados!$C:$C,INDEX(U$3,1,1),Dados!$A:$A,INDEX($D:$E,MATCH("B",$D:$D,0),2))/COUNTIFS(Dados!$E:$E,$B67,Dados!$C:$C,INDEX(U$3,1,1),Dados!$A:$A,INDEX($D:$E,MATCH("B",$D:$D,0),2)))</f>
        <v/>
      </c>
      <c r="V67" s="66" t="str">
        <f>IF(COUNTIFS(Dados!$E:$E,$B67,Dados!$C:$C,INDEX(V$3,1,1),Dados!$A:$A,INDEX($D:$E,MATCH("B",$D:$D,0),2))=0,"",SUMIFS(Dados!$G:$G,Dados!$E:$E,$B67,Dados!$C:$C,INDEX(V$3,1,1),Dados!$A:$A,INDEX($D:$E,MATCH("B",$D:$D,0),2))/COUNTIFS(Dados!$E:$E,$B67,Dados!$C:$C,INDEX(V$3,1,1),Dados!$A:$A,INDEX($D:$E,MATCH("B",$D:$D,0),2)))</f>
        <v/>
      </c>
    </row>
    <row r="68" spans="2:22" x14ac:dyDescent="0.25">
      <c r="B68" s="67" t="s">
        <v>96</v>
      </c>
      <c r="C68" s="71">
        <f>VLOOKUP(B68,B4:C22,2,0)</f>
        <v>2</v>
      </c>
      <c r="D68" s="68" t="str">
        <f>IF(COUNTIFS(Dados!$E:$E,$B68,Dados!$C:$C,INDEX(D$3,1,1),Dados!$A:$A,INDEX($D:$E,MATCH("B",$D:$D,0),2))=0,"",SUMIFS(Dados!$G:$G,Dados!$E:$E,$B68,Dados!$C:$C,INDEX(D$3,1,1),Dados!$A:$A,INDEX($D:$E,MATCH("B",$D:$D,0),2))/COUNTIFS(Dados!$E:$E,$B68,Dados!$C:$C,INDEX(D$3,1,1),Dados!$A:$A,INDEX($D:$E,MATCH("B",$D:$D,0),2)))</f>
        <v/>
      </c>
      <c r="E68" s="68" t="str">
        <f>IF(COUNTIFS(Dados!$E:$E,$B68,Dados!$C:$C,INDEX(E$3,1,1),Dados!$A:$A,INDEX($D:$E,MATCH("B",$D:$D,0),2))=0,"",SUMIFS(Dados!$G:$G,Dados!$E:$E,$B68,Dados!$C:$C,INDEX(E$3,1,1),Dados!$A:$A,INDEX($D:$E,MATCH("B",$D:$D,0),2))/COUNTIFS(Dados!$E:$E,$B68,Dados!$C:$C,INDEX(E$3,1,1),Dados!$A:$A,INDEX($D:$E,MATCH("B",$D:$D,0),2)))</f>
        <v/>
      </c>
      <c r="F68" s="68" t="str">
        <f>IF(COUNTIFS(Dados!$E:$E,$B68,Dados!$C:$C,INDEX(F$3,1,1),Dados!$A:$A,INDEX($D:$E,MATCH("B",$D:$D,0),2))=0,"",SUMIFS(Dados!$G:$G,Dados!$E:$E,$B68,Dados!$C:$C,INDEX(F$3,1,1),Dados!$A:$A,INDEX($D:$E,MATCH("B",$D:$D,0),2))/COUNTIFS(Dados!$E:$E,$B68,Dados!$C:$C,INDEX(F$3,1,1),Dados!$A:$A,INDEX($D:$E,MATCH("B",$D:$D,0),2)))</f>
        <v/>
      </c>
      <c r="G68" s="68" t="str">
        <f>IF(COUNTIFS(Dados!$E:$E,$B68,Dados!$C:$C,INDEX(G$3,1,1),Dados!$A:$A,INDEX($D:$E,MATCH("B",$D:$D,0),2))=0,"",SUMIFS(Dados!$G:$G,Dados!$E:$E,$B68,Dados!$C:$C,INDEX(G$3,1,1),Dados!$A:$A,INDEX($D:$E,MATCH("B",$D:$D,0),2))/COUNTIFS(Dados!$E:$E,$B68,Dados!$C:$C,INDEX(G$3,1,1),Dados!$A:$A,INDEX($D:$E,MATCH("B",$D:$D,0),2)))</f>
        <v/>
      </c>
      <c r="H68" s="68" t="str">
        <f>IF(COUNTIFS(Dados!$E:$E,$B68,Dados!$C:$C,INDEX(H$3,1,1),Dados!$A:$A,INDEX($D:$E,MATCH("B",$D:$D,0),2))=0,"",SUMIFS(Dados!$G:$G,Dados!$E:$E,$B68,Dados!$C:$C,INDEX(H$3,1,1),Dados!$A:$A,INDEX($D:$E,MATCH("B",$D:$D,0),2))/COUNTIFS(Dados!$E:$E,$B68,Dados!$C:$C,INDEX(H$3,1,1),Dados!$A:$A,INDEX($D:$E,MATCH("B",$D:$D,0),2)))</f>
        <v/>
      </c>
      <c r="I68" s="68" t="str">
        <f>IF(COUNTIFS(Dados!$E:$E,$B68,Dados!$C:$C,INDEX(I$3,1,1),Dados!$A:$A,INDEX($D:$E,MATCH("B",$D:$D,0),2))=0,"",SUMIFS(Dados!$G:$G,Dados!$E:$E,$B68,Dados!$C:$C,INDEX(I$3,1,1),Dados!$A:$A,INDEX($D:$E,MATCH("B",$D:$D,0),2))/COUNTIFS(Dados!$E:$E,$B68,Dados!$C:$C,INDEX(I$3,1,1),Dados!$A:$A,INDEX($D:$E,MATCH("B",$D:$D,0),2)))</f>
        <v/>
      </c>
      <c r="J68" s="68" t="str">
        <f>IF(COUNTIFS(Dados!$E:$E,$B68,Dados!$C:$C,INDEX(J$3,1,1),Dados!$A:$A,INDEX($D:$E,MATCH("B",$D:$D,0),2))=0,"",SUMIFS(Dados!$G:$G,Dados!$E:$E,$B68,Dados!$C:$C,INDEX(J$3,1,1),Dados!$A:$A,INDEX($D:$E,MATCH("B",$D:$D,0),2))/COUNTIFS(Dados!$E:$E,$B68,Dados!$C:$C,INDEX(J$3,1,1),Dados!$A:$A,INDEX($D:$E,MATCH("B",$D:$D,0),2)))</f>
        <v/>
      </c>
      <c r="K68" s="68" t="str">
        <f>IF(COUNTIFS(Dados!$E:$E,$B68,Dados!$C:$C,INDEX(K$3,1,1),Dados!$A:$A,INDEX($D:$E,MATCH("B",$D:$D,0),2))=0,"",SUMIFS(Dados!$G:$G,Dados!$E:$E,$B68,Dados!$C:$C,INDEX(K$3,1,1),Dados!$A:$A,INDEX($D:$E,MATCH("B",$D:$D,0),2))/COUNTIFS(Dados!$E:$E,$B68,Dados!$C:$C,INDEX(K$3,1,1),Dados!$A:$A,INDEX($D:$E,MATCH("B",$D:$D,0),2)))</f>
        <v/>
      </c>
      <c r="L68" s="68" t="str">
        <f>IF(COUNTIFS(Dados!$E:$E,$B68,Dados!$C:$C,INDEX(L$3,1,1),Dados!$A:$A,INDEX($D:$E,MATCH("B",$D:$D,0),2))=0,"",SUMIFS(Dados!$G:$G,Dados!$E:$E,$B68,Dados!$C:$C,INDEX(L$3,1,1),Dados!$A:$A,INDEX($D:$E,MATCH("B",$D:$D,0),2))/COUNTIFS(Dados!$E:$E,$B68,Dados!$C:$C,INDEX(L$3,1,1),Dados!$A:$A,INDEX($D:$E,MATCH("B",$D:$D,0),2)))</f>
        <v/>
      </c>
      <c r="M68" s="68" t="str">
        <f>IF(COUNTIFS(Dados!$E:$E,$B68,Dados!$C:$C,INDEX(M$3,1,1),Dados!$A:$A,INDEX($D:$E,MATCH("B",$D:$D,0),2))=0,"",SUMIFS(Dados!$G:$G,Dados!$E:$E,$B68,Dados!$C:$C,INDEX(M$3,1,1),Dados!$A:$A,INDEX($D:$E,MATCH("B",$D:$D,0),2))/COUNTIFS(Dados!$E:$E,$B68,Dados!$C:$C,INDEX(M$3,1,1),Dados!$A:$A,INDEX($D:$E,MATCH("B",$D:$D,0),2)))</f>
        <v/>
      </c>
      <c r="N68" s="68" t="str">
        <f>IF(COUNTIFS(Dados!$E:$E,$B68,Dados!$C:$C,INDEX(N$3,1,1),Dados!$A:$A,INDEX($D:$E,MATCH("B",$D:$D,0),2))=0,"",SUMIFS(Dados!$G:$G,Dados!$E:$E,$B68,Dados!$C:$C,INDEX(N$3,1,1),Dados!$A:$A,INDEX($D:$E,MATCH("B",$D:$D,0),2))/COUNTIFS(Dados!$E:$E,$B68,Dados!$C:$C,INDEX(N$3,1,1),Dados!$A:$A,INDEX($D:$E,MATCH("B",$D:$D,0),2)))</f>
        <v/>
      </c>
      <c r="O68" s="68" t="str">
        <f>IF(COUNTIFS(Dados!$E:$E,$B68,Dados!$C:$C,INDEX(O$3,1,1),Dados!$A:$A,INDEX($D:$E,MATCH("B",$D:$D,0),2))=0,"",SUMIFS(Dados!$G:$G,Dados!$E:$E,$B68,Dados!$C:$C,INDEX(O$3,1,1),Dados!$A:$A,INDEX($D:$E,MATCH("B",$D:$D,0),2))/COUNTIFS(Dados!$E:$E,$B68,Dados!$C:$C,INDEX(O$3,1,1),Dados!$A:$A,INDEX($D:$E,MATCH("B",$D:$D,0),2)))</f>
        <v/>
      </c>
      <c r="P68" s="68" t="str">
        <f>IF(COUNTIFS(Dados!$E:$E,$B68,Dados!$C:$C,INDEX(P$3,1,1),Dados!$A:$A,INDEX($D:$E,MATCH("B",$D:$D,0),2))=0,"",SUMIFS(Dados!$G:$G,Dados!$E:$E,$B68,Dados!$C:$C,INDEX(P$3,1,1),Dados!$A:$A,INDEX($D:$E,MATCH("B",$D:$D,0),2))/COUNTIFS(Dados!$E:$E,$B68,Dados!$C:$C,INDEX(P$3,1,1),Dados!$A:$A,INDEX($D:$E,MATCH("B",$D:$D,0),2)))</f>
        <v/>
      </c>
      <c r="Q68" s="68" t="str">
        <f>IF(COUNTIFS(Dados!$E:$E,$B68,Dados!$C:$C,INDEX(Q$3,1,1),Dados!$A:$A,INDEX($D:$E,MATCH("B",$D:$D,0),2))=0,"",SUMIFS(Dados!$G:$G,Dados!$E:$E,$B68,Dados!$C:$C,INDEX(Q$3,1,1),Dados!$A:$A,INDEX($D:$E,MATCH("B",$D:$D,0),2))/COUNTIFS(Dados!$E:$E,$B68,Dados!$C:$C,INDEX(Q$3,1,1),Dados!$A:$A,INDEX($D:$E,MATCH("B",$D:$D,0),2)))</f>
        <v/>
      </c>
      <c r="R68" s="68" t="str">
        <f>IF(COUNTIFS(Dados!$E:$E,$B68,Dados!$C:$C,INDEX(R$3,1,1),Dados!$A:$A,INDEX($D:$E,MATCH("B",$D:$D,0),2))=0,"",SUMIFS(Dados!$G:$G,Dados!$E:$E,$B68,Dados!$C:$C,INDEX(R$3,1,1),Dados!$A:$A,INDEX($D:$E,MATCH("B",$D:$D,0),2))/COUNTIFS(Dados!$E:$E,$B68,Dados!$C:$C,INDEX(R$3,1,1),Dados!$A:$A,INDEX($D:$E,MATCH("B",$D:$D,0),2)))</f>
        <v/>
      </c>
      <c r="S68" s="68" t="str">
        <f>IF(COUNTIFS(Dados!$E:$E,$B68,Dados!$C:$C,INDEX(S$3,1,1),Dados!$A:$A,INDEX($D:$E,MATCH("B",$D:$D,0),2))=0,"",SUMIFS(Dados!$G:$G,Dados!$E:$E,$B68,Dados!$C:$C,INDEX(S$3,1,1),Dados!$A:$A,INDEX($D:$E,MATCH("B",$D:$D,0),2))/COUNTIFS(Dados!$E:$E,$B68,Dados!$C:$C,INDEX(S$3,1,1),Dados!$A:$A,INDEX($D:$E,MATCH("B",$D:$D,0),2)))</f>
        <v/>
      </c>
      <c r="T68" s="68" t="str">
        <f>IF(COUNTIFS(Dados!$E:$E,$B68,Dados!$C:$C,INDEX(T$3,1,1),Dados!$A:$A,INDEX($D:$E,MATCH("B",$D:$D,0),2))=0,"",SUMIFS(Dados!$G:$G,Dados!$E:$E,$B68,Dados!$C:$C,INDEX(T$3,1,1),Dados!$A:$A,INDEX($D:$E,MATCH("B",$D:$D,0),2))/COUNTIFS(Dados!$E:$E,$B68,Dados!$C:$C,INDEX(T$3,1,1),Dados!$A:$A,INDEX($D:$E,MATCH("B",$D:$D,0),2)))</f>
        <v/>
      </c>
      <c r="U68" s="68" t="str">
        <f>IF(COUNTIFS(Dados!$E:$E,$B68,Dados!$C:$C,INDEX(U$3,1,1),Dados!$A:$A,INDEX($D:$E,MATCH("B",$D:$D,0),2))=0,"",SUMIFS(Dados!$G:$G,Dados!$E:$E,$B68,Dados!$C:$C,INDEX(U$3,1,1),Dados!$A:$A,INDEX($D:$E,MATCH("B",$D:$D,0),2))/COUNTIFS(Dados!$E:$E,$B68,Dados!$C:$C,INDEX(U$3,1,1),Dados!$A:$A,INDEX($D:$E,MATCH("B",$D:$D,0),2)))</f>
        <v/>
      </c>
      <c r="V68" s="68" t="str">
        <f>IF(COUNTIFS(Dados!$E:$E,$B68,Dados!$C:$C,INDEX(V$3,1,1),Dados!$A:$A,INDEX($D:$E,MATCH("B",$D:$D,0),2))=0,"",SUMIFS(Dados!$G:$G,Dados!$E:$E,$B68,Dados!$C:$C,INDEX(V$3,1,1),Dados!$A:$A,INDEX($D:$E,MATCH("B",$D:$D,0),2))/COUNTIFS(Dados!$E:$E,$B68,Dados!$C:$C,INDEX(V$3,1,1),Dados!$A:$A,INDEX($D:$E,MATCH("B",$D:$D,0),2)))</f>
        <v/>
      </c>
    </row>
    <row r="69" spans="2:22" x14ac:dyDescent="0.25">
      <c r="B69" s="65" t="s">
        <v>1297</v>
      </c>
      <c r="C69" s="72">
        <f>VLOOKUP(B69,B4:C22,2,0)</f>
        <v>3</v>
      </c>
      <c r="D69" s="66" t="str">
        <f>IF(COUNTIFS(Dados!$E:$E,$B69,Dados!$C:$C,INDEX(D$3,1,1),Dados!$A:$A,INDEX($D:$E,MATCH("B",$D:$D,0),2))=0,"",SUMIFS(Dados!$G:$G,Dados!$E:$E,$B69,Dados!$C:$C,INDEX(D$3,1,1),Dados!$A:$A,INDEX($D:$E,MATCH("B",$D:$D,0),2))/COUNTIFS(Dados!$E:$E,$B69,Dados!$C:$C,INDEX(D$3,1,1),Dados!$A:$A,INDEX($D:$E,MATCH("B",$D:$D,0),2)))</f>
        <v/>
      </c>
      <c r="E69" s="66" t="str">
        <f>IF(COUNTIFS(Dados!$E:$E,$B69,Dados!$C:$C,INDEX(E$3,1,1),Dados!$A:$A,INDEX($D:$E,MATCH("B",$D:$D,0),2))=0,"",SUMIFS(Dados!$G:$G,Dados!$E:$E,$B69,Dados!$C:$C,INDEX(E$3,1,1),Dados!$A:$A,INDEX($D:$E,MATCH("B",$D:$D,0),2))/COUNTIFS(Dados!$E:$E,$B69,Dados!$C:$C,INDEX(E$3,1,1),Dados!$A:$A,INDEX($D:$E,MATCH("B",$D:$D,0),2)))</f>
        <v/>
      </c>
      <c r="F69" s="66" t="str">
        <f>IF(COUNTIFS(Dados!$E:$E,$B69,Dados!$C:$C,INDEX(F$3,1,1),Dados!$A:$A,INDEX($D:$E,MATCH("B",$D:$D,0),2))=0,"",SUMIFS(Dados!$G:$G,Dados!$E:$E,$B69,Dados!$C:$C,INDEX(F$3,1,1),Dados!$A:$A,INDEX($D:$E,MATCH("B",$D:$D,0),2))/COUNTIFS(Dados!$E:$E,$B69,Dados!$C:$C,INDEX(F$3,1,1),Dados!$A:$A,INDEX($D:$E,MATCH("B",$D:$D,0),2)))</f>
        <v/>
      </c>
      <c r="G69" s="66" t="str">
        <f>IF(COUNTIFS(Dados!$E:$E,$B69,Dados!$C:$C,INDEX(G$3,1,1),Dados!$A:$A,INDEX($D:$E,MATCH("B",$D:$D,0),2))=0,"",SUMIFS(Dados!$G:$G,Dados!$E:$E,$B69,Dados!$C:$C,INDEX(G$3,1,1),Dados!$A:$A,INDEX($D:$E,MATCH("B",$D:$D,0),2))/COUNTIFS(Dados!$E:$E,$B69,Dados!$C:$C,INDEX(G$3,1,1),Dados!$A:$A,INDEX($D:$E,MATCH("B",$D:$D,0),2)))</f>
        <v/>
      </c>
      <c r="H69" s="66" t="str">
        <f>IF(COUNTIFS(Dados!$E:$E,$B69,Dados!$C:$C,INDEX(H$3,1,1),Dados!$A:$A,INDEX($D:$E,MATCH("B",$D:$D,0),2))=0,"",SUMIFS(Dados!$G:$G,Dados!$E:$E,$B69,Dados!$C:$C,INDEX(H$3,1,1),Dados!$A:$A,INDEX($D:$E,MATCH("B",$D:$D,0),2))/COUNTIFS(Dados!$E:$E,$B69,Dados!$C:$C,INDEX(H$3,1,1),Dados!$A:$A,INDEX($D:$E,MATCH("B",$D:$D,0),2)))</f>
        <v/>
      </c>
      <c r="I69" s="66" t="str">
        <f>IF(COUNTIFS(Dados!$E:$E,$B69,Dados!$C:$C,INDEX(I$3,1,1),Dados!$A:$A,INDEX($D:$E,MATCH("B",$D:$D,0),2))=0,"",SUMIFS(Dados!$G:$G,Dados!$E:$E,$B69,Dados!$C:$C,INDEX(I$3,1,1),Dados!$A:$A,INDEX($D:$E,MATCH("B",$D:$D,0),2))/COUNTIFS(Dados!$E:$E,$B69,Dados!$C:$C,INDEX(I$3,1,1),Dados!$A:$A,INDEX($D:$E,MATCH("B",$D:$D,0),2)))</f>
        <v/>
      </c>
      <c r="J69" s="66" t="str">
        <f>IF(COUNTIFS(Dados!$E:$E,$B69,Dados!$C:$C,INDEX(J$3,1,1),Dados!$A:$A,INDEX($D:$E,MATCH("B",$D:$D,0),2))=0,"",SUMIFS(Dados!$G:$G,Dados!$E:$E,$B69,Dados!$C:$C,INDEX(J$3,1,1),Dados!$A:$A,INDEX($D:$E,MATCH("B",$D:$D,0),2))/COUNTIFS(Dados!$E:$E,$B69,Dados!$C:$C,INDEX(J$3,1,1),Dados!$A:$A,INDEX($D:$E,MATCH("B",$D:$D,0),2)))</f>
        <v/>
      </c>
      <c r="K69" s="66" t="str">
        <f>IF(COUNTIFS(Dados!$E:$E,$B69,Dados!$C:$C,INDEX(K$3,1,1),Dados!$A:$A,INDEX($D:$E,MATCH("B",$D:$D,0),2))=0,"",SUMIFS(Dados!$G:$G,Dados!$E:$E,$B69,Dados!$C:$C,INDEX(K$3,1,1),Dados!$A:$A,INDEX($D:$E,MATCH("B",$D:$D,0),2))/COUNTIFS(Dados!$E:$E,$B69,Dados!$C:$C,INDEX(K$3,1,1),Dados!$A:$A,INDEX($D:$E,MATCH("B",$D:$D,0),2)))</f>
        <v/>
      </c>
      <c r="L69" s="66" t="str">
        <f>IF(COUNTIFS(Dados!$E:$E,$B69,Dados!$C:$C,INDEX(L$3,1,1),Dados!$A:$A,INDEX($D:$E,MATCH("B",$D:$D,0),2))=0,"",SUMIFS(Dados!$G:$G,Dados!$E:$E,$B69,Dados!$C:$C,INDEX(L$3,1,1),Dados!$A:$A,INDEX($D:$E,MATCH("B",$D:$D,0),2))/COUNTIFS(Dados!$E:$E,$B69,Dados!$C:$C,INDEX(L$3,1,1),Dados!$A:$A,INDEX($D:$E,MATCH("B",$D:$D,0),2)))</f>
        <v/>
      </c>
      <c r="M69" s="66" t="str">
        <f>IF(COUNTIFS(Dados!$E:$E,$B69,Dados!$C:$C,INDEX(M$3,1,1),Dados!$A:$A,INDEX($D:$E,MATCH("B",$D:$D,0),2))=0,"",SUMIFS(Dados!$G:$G,Dados!$E:$E,$B69,Dados!$C:$C,INDEX(M$3,1,1),Dados!$A:$A,INDEX($D:$E,MATCH("B",$D:$D,0),2))/COUNTIFS(Dados!$E:$E,$B69,Dados!$C:$C,INDEX(M$3,1,1),Dados!$A:$A,INDEX($D:$E,MATCH("B",$D:$D,0),2)))</f>
        <v/>
      </c>
      <c r="N69" s="66" t="str">
        <f>IF(COUNTIFS(Dados!$E:$E,$B69,Dados!$C:$C,INDEX(N$3,1,1),Dados!$A:$A,INDEX($D:$E,MATCH("B",$D:$D,0),2))=0,"",SUMIFS(Dados!$G:$G,Dados!$E:$E,$B69,Dados!$C:$C,INDEX(N$3,1,1),Dados!$A:$A,INDEX($D:$E,MATCH("B",$D:$D,0),2))/COUNTIFS(Dados!$E:$E,$B69,Dados!$C:$C,INDEX(N$3,1,1),Dados!$A:$A,INDEX($D:$E,MATCH("B",$D:$D,0),2)))</f>
        <v/>
      </c>
      <c r="O69" s="66" t="str">
        <f>IF(COUNTIFS(Dados!$E:$E,$B69,Dados!$C:$C,INDEX(O$3,1,1),Dados!$A:$A,INDEX($D:$E,MATCH("B",$D:$D,0),2))=0,"",SUMIFS(Dados!$G:$G,Dados!$E:$E,$B69,Dados!$C:$C,INDEX(O$3,1,1),Dados!$A:$A,INDEX($D:$E,MATCH("B",$D:$D,0),2))/COUNTIFS(Dados!$E:$E,$B69,Dados!$C:$C,INDEX(O$3,1,1),Dados!$A:$A,INDEX($D:$E,MATCH("B",$D:$D,0),2)))</f>
        <v/>
      </c>
      <c r="P69" s="66" t="str">
        <f>IF(COUNTIFS(Dados!$E:$E,$B69,Dados!$C:$C,INDEX(P$3,1,1),Dados!$A:$A,INDEX($D:$E,MATCH("B",$D:$D,0),2))=0,"",SUMIFS(Dados!$G:$G,Dados!$E:$E,$B69,Dados!$C:$C,INDEX(P$3,1,1),Dados!$A:$A,INDEX($D:$E,MATCH("B",$D:$D,0),2))/COUNTIFS(Dados!$E:$E,$B69,Dados!$C:$C,INDEX(P$3,1,1),Dados!$A:$A,INDEX($D:$E,MATCH("B",$D:$D,0),2)))</f>
        <v/>
      </c>
      <c r="Q69" s="66" t="str">
        <f>IF(COUNTIFS(Dados!$E:$E,$B69,Dados!$C:$C,INDEX(Q$3,1,1),Dados!$A:$A,INDEX($D:$E,MATCH("B",$D:$D,0),2))=0,"",SUMIFS(Dados!$G:$G,Dados!$E:$E,$B69,Dados!$C:$C,INDEX(Q$3,1,1),Dados!$A:$A,INDEX($D:$E,MATCH("B",$D:$D,0),2))/COUNTIFS(Dados!$E:$E,$B69,Dados!$C:$C,INDEX(Q$3,1,1),Dados!$A:$A,INDEX($D:$E,MATCH("B",$D:$D,0),2)))</f>
        <v/>
      </c>
      <c r="R69" s="66" t="str">
        <f>IF(COUNTIFS(Dados!$E:$E,$B69,Dados!$C:$C,INDEX(R$3,1,1),Dados!$A:$A,INDEX($D:$E,MATCH("B",$D:$D,0),2))=0,"",SUMIFS(Dados!$G:$G,Dados!$E:$E,$B69,Dados!$C:$C,INDEX(R$3,1,1),Dados!$A:$A,INDEX($D:$E,MATCH("B",$D:$D,0),2))/COUNTIFS(Dados!$E:$E,$B69,Dados!$C:$C,INDEX(R$3,1,1),Dados!$A:$A,INDEX($D:$E,MATCH("B",$D:$D,0),2)))</f>
        <v/>
      </c>
      <c r="S69" s="66" t="str">
        <f>IF(COUNTIFS(Dados!$E:$E,$B69,Dados!$C:$C,INDEX(S$3,1,1),Dados!$A:$A,INDEX($D:$E,MATCH("B",$D:$D,0),2))=0,"",SUMIFS(Dados!$G:$G,Dados!$E:$E,$B69,Dados!$C:$C,INDEX(S$3,1,1),Dados!$A:$A,INDEX($D:$E,MATCH("B",$D:$D,0),2))/COUNTIFS(Dados!$E:$E,$B69,Dados!$C:$C,INDEX(S$3,1,1),Dados!$A:$A,INDEX($D:$E,MATCH("B",$D:$D,0),2)))</f>
        <v/>
      </c>
      <c r="T69" s="66" t="str">
        <f>IF(COUNTIFS(Dados!$E:$E,$B69,Dados!$C:$C,INDEX(T$3,1,1),Dados!$A:$A,INDEX($D:$E,MATCH("B",$D:$D,0),2))=0,"",SUMIFS(Dados!$G:$G,Dados!$E:$E,$B69,Dados!$C:$C,INDEX(T$3,1,1),Dados!$A:$A,INDEX($D:$E,MATCH("B",$D:$D,0),2))/COUNTIFS(Dados!$E:$E,$B69,Dados!$C:$C,INDEX(T$3,1,1),Dados!$A:$A,INDEX($D:$E,MATCH("B",$D:$D,0),2)))</f>
        <v/>
      </c>
      <c r="U69" s="66" t="str">
        <f>IF(COUNTIFS(Dados!$E:$E,$B69,Dados!$C:$C,INDEX(U$3,1,1),Dados!$A:$A,INDEX($D:$E,MATCH("B",$D:$D,0),2))=0,"",SUMIFS(Dados!$G:$G,Dados!$E:$E,$B69,Dados!$C:$C,INDEX(U$3,1,1),Dados!$A:$A,INDEX($D:$E,MATCH("B",$D:$D,0),2))/COUNTIFS(Dados!$E:$E,$B69,Dados!$C:$C,INDEX(U$3,1,1),Dados!$A:$A,INDEX($D:$E,MATCH("B",$D:$D,0),2)))</f>
        <v/>
      </c>
      <c r="V69" s="66" t="str">
        <f>IF(COUNTIFS(Dados!$E:$E,$B69,Dados!$C:$C,INDEX(V$3,1,1),Dados!$A:$A,INDEX($D:$E,MATCH("B",$D:$D,0),2))=0,"",SUMIFS(Dados!$G:$G,Dados!$E:$E,$B69,Dados!$C:$C,INDEX(V$3,1,1),Dados!$A:$A,INDEX($D:$E,MATCH("B",$D:$D,0),2))/COUNTIFS(Dados!$E:$E,$B69,Dados!$C:$C,INDEX(V$3,1,1),Dados!$A:$A,INDEX($D:$E,MATCH("B",$D:$D,0),2)))</f>
        <v/>
      </c>
    </row>
    <row r="70" spans="2:22" x14ac:dyDescent="0.25">
      <c r="B70" s="67" t="s">
        <v>1303</v>
      </c>
      <c r="C70" s="71">
        <f>VLOOKUP(B70,B4:C22,2,0)</f>
        <v>4</v>
      </c>
      <c r="D70" s="68" t="str">
        <f>IF(COUNTIFS(Dados!$E:$E,$B70,Dados!$C:$C,INDEX(D$3,1,1),Dados!$A:$A,INDEX($D:$E,MATCH("B",$D:$D,0),2))=0,"",SUMIFS(Dados!$G:$G,Dados!$E:$E,$B70,Dados!$C:$C,INDEX(D$3,1,1),Dados!$A:$A,INDEX($D:$E,MATCH("B",$D:$D,0),2))/COUNTIFS(Dados!$E:$E,$B70,Dados!$C:$C,INDEX(D$3,1,1),Dados!$A:$A,INDEX($D:$E,MATCH("B",$D:$D,0),2)))</f>
        <v/>
      </c>
      <c r="E70" s="68" t="str">
        <f>IF(COUNTIFS(Dados!$E:$E,$B70,Dados!$C:$C,INDEX(E$3,1,1),Dados!$A:$A,INDEX($D:$E,MATCH("B",$D:$D,0),2))=0,"",SUMIFS(Dados!$G:$G,Dados!$E:$E,$B70,Dados!$C:$C,INDEX(E$3,1,1),Dados!$A:$A,INDEX($D:$E,MATCH("B",$D:$D,0),2))/COUNTIFS(Dados!$E:$E,$B70,Dados!$C:$C,INDEX(E$3,1,1),Dados!$A:$A,INDEX($D:$E,MATCH("B",$D:$D,0),2)))</f>
        <v/>
      </c>
      <c r="F70" s="68" t="str">
        <f>IF(COUNTIFS(Dados!$E:$E,$B70,Dados!$C:$C,INDEX(F$3,1,1),Dados!$A:$A,INDEX($D:$E,MATCH("B",$D:$D,0),2))=0,"",SUMIFS(Dados!$G:$G,Dados!$E:$E,$B70,Dados!$C:$C,INDEX(F$3,1,1),Dados!$A:$A,INDEX($D:$E,MATCH("B",$D:$D,0),2))/COUNTIFS(Dados!$E:$E,$B70,Dados!$C:$C,INDEX(F$3,1,1),Dados!$A:$A,INDEX($D:$E,MATCH("B",$D:$D,0),2)))</f>
        <v/>
      </c>
      <c r="G70" s="68" t="str">
        <f>IF(COUNTIFS(Dados!$E:$E,$B70,Dados!$C:$C,INDEX(G$3,1,1),Dados!$A:$A,INDEX($D:$E,MATCH("B",$D:$D,0),2))=0,"",SUMIFS(Dados!$G:$G,Dados!$E:$E,$B70,Dados!$C:$C,INDEX(G$3,1,1),Dados!$A:$A,INDEX($D:$E,MATCH("B",$D:$D,0),2))/COUNTIFS(Dados!$E:$E,$B70,Dados!$C:$C,INDEX(G$3,1,1),Dados!$A:$A,INDEX($D:$E,MATCH("B",$D:$D,0),2)))</f>
        <v/>
      </c>
      <c r="H70" s="68" t="str">
        <f>IF(COUNTIFS(Dados!$E:$E,$B70,Dados!$C:$C,INDEX(H$3,1,1),Dados!$A:$A,INDEX($D:$E,MATCH("B",$D:$D,0),2))=0,"",SUMIFS(Dados!$G:$G,Dados!$E:$E,$B70,Dados!$C:$C,INDEX(H$3,1,1),Dados!$A:$A,INDEX($D:$E,MATCH("B",$D:$D,0),2))/COUNTIFS(Dados!$E:$E,$B70,Dados!$C:$C,INDEX(H$3,1,1),Dados!$A:$A,INDEX($D:$E,MATCH("B",$D:$D,0),2)))</f>
        <v/>
      </c>
      <c r="I70" s="68" t="str">
        <f>IF(COUNTIFS(Dados!$E:$E,$B70,Dados!$C:$C,INDEX(I$3,1,1),Dados!$A:$A,INDEX($D:$E,MATCH("B",$D:$D,0),2))=0,"",SUMIFS(Dados!$G:$G,Dados!$E:$E,$B70,Dados!$C:$C,INDEX(I$3,1,1),Dados!$A:$A,INDEX($D:$E,MATCH("B",$D:$D,0),2))/COUNTIFS(Dados!$E:$E,$B70,Dados!$C:$C,INDEX(I$3,1,1),Dados!$A:$A,INDEX($D:$E,MATCH("B",$D:$D,0),2)))</f>
        <v/>
      </c>
      <c r="J70" s="68" t="str">
        <f>IF(COUNTIFS(Dados!$E:$E,$B70,Dados!$C:$C,INDEX(J$3,1,1),Dados!$A:$A,INDEX($D:$E,MATCH("B",$D:$D,0),2))=0,"",SUMIFS(Dados!$G:$G,Dados!$E:$E,$B70,Dados!$C:$C,INDEX(J$3,1,1),Dados!$A:$A,INDEX($D:$E,MATCH("B",$D:$D,0),2))/COUNTIFS(Dados!$E:$E,$B70,Dados!$C:$C,INDEX(J$3,1,1),Dados!$A:$A,INDEX($D:$E,MATCH("B",$D:$D,0),2)))</f>
        <v/>
      </c>
      <c r="K70" s="68" t="str">
        <f>IF(COUNTIFS(Dados!$E:$E,$B70,Dados!$C:$C,INDEX(K$3,1,1),Dados!$A:$A,INDEX($D:$E,MATCH("B",$D:$D,0),2))=0,"",SUMIFS(Dados!$G:$G,Dados!$E:$E,$B70,Dados!$C:$C,INDEX(K$3,1,1),Dados!$A:$A,INDEX($D:$E,MATCH("B",$D:$D,0),2))/COUNTIFS(Dados!$E:$E,$B70,Dados!$C:$C,INDEX(K$3,1,1),Dados!$A:$A,INDEX($D:$E,MATCH("B",$D:$D,0),2)))</f>
        <v/>
      </c>
      <c r="L70" s="68" t="str">
        <f>IF(COUNTIFS(Dados!$E:$E,$B70,Dados!$C:$C,INDEX(L$3,1,1),Dados!$A:$A,INDEX($D:$E,MATCH("B",$D:$D,0),2))=0,"",SUMIFS(Dados!$G:$G,Dados!$E:$E,$B70,Dados!$C:$C,INDEX(L$3,1,1),Dados!$A:$A,INDEX($D:$E,MATCH("B",$D:$D,0),2))/COUNTIFS(Dados!$E:$E,$B70,Dados!$C:$C,INDEX(L$3,1,1),Dados!$A:$A,INDEX($D:$E,MATCH("B",$D:$D,0),2)))</f>
        <v/>
      </c>
      <c r="M70" s="68" t="str">
        <f>IF(COUNTIFS(Dados!$E:$E,$B70,Dados!$C:$C,INDEX(M$3,1,1),Dados!$A:$A,INDEX($D:$E,MATCH("B",$D:$D,0),2))=0,"",SUMIFS(Dados!$G:$G,Dados!$E:$E,$B70,Dados!$C:$C,INDEX(M$3,1,1),Dados!$A:$A,INDEX($D:$E,MATCH("B",$D:$D,0),2))/COUNTIFS(Dados!$E:$E,$B70,Dados!$C:$C,INDEX(M$3,1,1),Dados!$A:$A,INDEX($D:$E,MATCH("B",$D:$D,0),2)))</f>
        <v/>
      </c>
      <c r="N70" s="68" t="str">
        <f>IF(COUNTIFS(Dados!$E:$E,$B70,Dados!$C:$C,INDEX(N$3,1,1),Dados!$A:$A,INDEX($D:$E,MATCH("B",$D:$D,0),2))=0,"",SUMIFS(Dados!$G:$G,Dados!$E:$E,$B70,Dados!$C:$C,INDEX(N$3,1,1),Dados!$A:$A,INDEX($D:$E,MATCH("B",$D:$D,0),2))/COUNTIFS(Dados!$E:$E,$B70,Dados!$C:$C,INDEX(N$3,1,1),Dados!$A:$A,INDEX($D:$E,MATCH("B",$D:$D,0),2)))</f>
        <v/>
      </c>
      <c r="O70" s="68" t="str">
        <f>IF(COUNTIFS(Dados!$E:$E,$B70,Dados!$C:$C,INDEX(O$3,1,1),Dados!$A:$A,INDEX($D:$E,MATCH("B",$D:$D,0),2))=0,"",SUMIFS(Dados!$G:$G,Dados!$E:$E,$B70,Dados!$C:$C,INDEX(O$3,1,1),Dados!$A:$A,INDEX($D:$E,MATCH("B",$D:$D,0),2))/COUNTIFS(Dados!$E:$E,$B70,Dados!$C:$C,INDEX(O$3,1,1),Dados!$A:$A,INDEX($D:$E,MATCH("B",$D:$D,0),2)))</f>
        <v/>
      </c>
      <c r="P70" s="68" t="str">
        <f>IF(COUNTIFS(Dados!$E:$E,$B70,Dados!$C:$C,INDEX(P$3,1,1),Dados!$A:$A,INDEX($D:$E,MATCH("B",$D:$D,0),2))=0,"",SUMIFS(Dados!$G:$G,Dados!$E:$E,$B70,Dados!$C:$C,INDEX(P$3,1,1),Dados!$A:$A,INDEX($D:$E,MATCH("B",$D:$D,0),2))/COUNTIFS(Dados!$E:$E,$B70,Dados!$C:$C,INDEX(P$3,1,1),Dados!$A:$A,INDEX($D:$E,MATCH("B",$D:$D,0),2)))</f>
        <v/>
      </c>
      <c r="Q70" s="68" t="str">
        <f>IF(COUNTIFS(Dados!$E:$E,$B70,Dados!$C:$C,INDEX(Q$3,1,1),Dados!$A:$A,INDEX($D:$E,MATCH("B",$D:$D,0),2))=0,"",SUMIFS(Dados!$G:$G,Dados!$E:$E,$B70,Dados!$C:$C,INDEX(Q$3,1,1),Dados!$A:$A,INDEX($D:$E,MATCH("B",$D:$D,0),2))/COUNTIFS(Dados!$E:$E,$B70,Dados!$C:$C,INDEX(Q$3,1,1),Dados!$A:$A,INDEX($D:$E,MATCH("B",$D:$D,0),2)))</f>
        <v/>
      </c>
      <c r="R70" s="68" t="str">
        <f>IF(COUNTIFS(Dados!$E:$E,$B70,Dados!$C:$C,INDEX(R$3,1,1),Dados!$A:$A,INDEX($D:$E,MATCH("B",$D:$D,0),2))=0,"",SUMIFS(Dados!$G:$G,Dados!$E:$E,$B70,Dados!$C:$C,INDEX(R$3,1,1),Dados!$A:$A,INDEX($D:$E,MATCH("B",$D:$D,0),2))/COUNTIFS(Dados!$E:$E,$B70,Dados!$C:$C,INDEX(R$3,1,1),Dados!$A:$A,INDEX($D:$E,MATCH("B",$D:$D,0),2)))</f>
        <v/>
      </c>
      <c r="S70" s="68" t="str">
        <f>IF(COUNTIFS(Dados!$E:$E,$B70,Dados!$C:$C,INDEX(S$3,1,1),Dados!$A:$A,INDEX($D:$E,MATCH("B",$D:$D,0),2))=0,"",SUMIFS(Dados!$G:$G,Dados!$E:$E,$B70,Dados!$C:$C,INDEX(S$3,1,1),Dados!$A:$A,INDEX($D:$E,MATCH("B",$D:$D,0),2))/COUNTIFS(Dados!$E:$E,$B70,Dados!$C:$C,INDEX(S$3,1,1),Dados!$A:$A,INDEX($D:$E,MATCH("B",$D:$D,0),2)))</f>
        <v/>
      </c>
      <c r="T70" s="68" t="str">
        <f>IF(COUNTIFS(Dados!$E:$E,$B70,Dados!$C:$C,INDEX(T$3,1,1),Dados!$A:$A,INDEX($D:$E,MATCH("B",$D:$D,0),2))=0,"",SUMIFS(Dados!$G:$G,Dados!$E:$E,$B70,Dados!$C:$C,INDEX(T$3,1,1),Dados!$A:$A,INDEX($D:$E,MATCH("B",$D:$D,0),2))/COUNTIFS(Dados!$E:$E,$B70,Dados!$C:$C,INDEX(T$3,1,1),Dados!$A:$A,INDEX($D:$E,MATCH("B",$D:$D,0),2)))</f>
        <v/>
      </c>
      <c r="U70" s="68" t="str">
        <f>IF(COUNTIFS(Dados!$E:$E,$B70,Dados!$C:$C,INDEX(U$3,1,1),Dados!$A:$A,INDEX($D:$E,MATCH("B",$D:$D,0),2))=0,"",SUMIFS(Dados!$G:$G,Dados!$E:$E,$B70,Dados!$C:$C,INDEX(U$3,1,1),Dados!$A:$A,INDEX($D:$E,MATCH("B",$D:$D,0),2))/COUNTIFS(Dados!$E:$E,$B70,Dados!$C:$C,INDEX(U$3,1,1),Dados!$A:$A,INDEX($D:$E,MATCH("B",$D:$D,0),2)))</f>
        <v/>
      </c>
      <c r="V70" s="68" t="str">
        <f>IF(COUNTIFS(Dados!$E:$E,$B70,Dados!$C:$C,INDEX(V$3,1,1),Dados!$A:$A,INDEX($D:$E,MATCH("B",$D:$D,0),2))=0,"",SUMIFS(Dados!$G:$G,Dados!$E:$E,$B70,Dados!$C:$C,INDEX(V$3,1,1),Dados!$A:$A,INDEX($D:$E,MATCH("B",$D:$D,0),2))/COUNTIFS(Dados!$E:$E,$B70,Dados!$C:$C,INDEX(V$3,1,1),Dados!$A:$A,INDEX($D:$E,MATCH("B",$D:$D,0),2)))</f>
        <v/>
      </c>
    </row>
    <row r="71" spans="2:22" x14ac:dyDescent="0.25">
      <c r="B71" s="65" t="s">
        <v>1304</v>
      </c>
      <c r="C71" s="72">
        <f>VLOOKUP(B71,B4:C22,2,0)</f>
        <v>5</v>
      </c>
      <c r="D71" s="66" t="str">
        <f>IF(COUNTIFS(Dados!$E:$E,$B71,Dados!$C:$C,INDEX(D$3,1,1),Dados!$A:$A,INDEX($D:$E,MATCH("B",$D:$D,0),2))=0,"",SUMIFS(Dados!$G:$G,Dados!$E:$E,$B71,Dados!$C:$C,INDEX(D$3,1,1),Dados!$A:$A,INDEX($D:$E,MATCH("B",$D:$D,0),2))/COUNTIFS(Dados!$E:$E,$B71,Dados!$C:$C,INDEX(D$3,1,1),Dados!$A:$A,INDEX($D:$E,MATCH("B",$D:$D,0),2)))</f>
        <v/>
      </c>
      <c r="E71" s="66" t="str">
        <f>IF(COUNTIFS(Dados!$E:$E,$B71,Dados!$C:$C,INDEX(E$3,1,1),Dados!$A:$A,INDEX($D:$E,MATCH("B",$D:$D,0),2))=0,"",SUMIFS(Dados!$G:$G,Dados!$E:$E,$B71,Dados!$C:$C,INDEX(E$3,1,1),Dados!$A:$A,INDEX($D:$E,MATCH("B",$D:$D,0),2))/COUNTIFS(Dados!$E:$E,$B71,Dados!$C:$C,INDEX(E$3,1,1),Dados!$A:$A,INDEX($D:$E,MATCH("B",$D:$D,0),2)))</f>
        <v/>
      </c>
      <c r="F71" s="66" t="str">
        <f>IF(COUNTIFS(Dados!$E:$E,$B71,Dados!$C:$C,INDEX(F$3,1,1),Dados!$A:$A,INDEX($D:$E,MATCH("B",$D:$D,0),2))=0,"",SUMIFS(Dados!$G:$G,Dados!$E:$E,$B71,Dados!$C:$C,INDEX(F$3,1,1),Dados!$A:$A,INDEX($D:$E,MATCH("B",$D:$D,0),2))/COUNTIFS(Dados!$E:$E,$B71,Dados!$C:$C,INDEX(F$3,1,1),Dados!$A:$A,INDEX($D:$E,MATCH("B",$D:$D,0),2)))</f>
        <v/>
      </c>
      <c r="G71" s="66" t="str">
        <f>IF(COUNTIFS(Dados!$E:$E,$B71,Dados!$C:$C,INDEX(G$3,1,1),Dados!$A:$A,INDEX($D:$E,MATCH("B",$D:$D,0),2))=0,"",SUMIFS(Dados!$G:$G,Dados!$E:$E,$B71,Dados!$C:$C,INDEX(G$3,1,1),Dados!$A:$A,INDEX($D:$E,MATCH("B",$D:$D,0),2))/COUNTIFS(Dados!$E:$E,$B71,Dados!$C:$C,INDEX(G$3,1,1),Dados!$A:$A,INDEX($D:$E,MATCH("B",$D:$D,0),2)))</f>
        <v/>
      </c>
      <c r="H71" s="66" t="str">
        <f>IF(COUNTIFS(Dados!$E:$E,$B71,Dados!$C:$C,INDEX(H$3,1,1),Dados!$A:$A,INDEX($D:$E,MATCH("B",$D:$D,0),2))=0,"",SUMIFS(Dados!$G:$G,Dados!$E:$E,$B71,Dados!$C:$C,INDEX(H$3,1,1),Dados!$A:$A,INDEX($D:$E,MATCH("B",$D:$D,0),2))/COUNTIFS(Dados!$E:$E,$B71,Dados!$C:$C,INDEX(H$3,1,1),Dados!$A:$A,INDEX($D:$E,MATCH("B",$D:$D,0),2)))</f>
        <v/>
      </c>
      <c r="I71" s="66" t="str">
        <f>IF(COUNTIFS(Dados!$E:$E,$B71,Dados!$C:$C,INDEX(I$3,1,1),Dados!$A:$A,INDEX($D:$E,MATCH("B",$D:$D,0),2))=0,"",SUMIFS(Dados!$G:$G,Dados!$E:$E,$B71,Dados!$C:$C,INDEX(I$3,1,1),Dados!$A:$A,INDEX($D:$E,MATCH("B",$D:$D,0),2))/COUNTIFS(Dados!$E:$E,$B71,Dados!$C:$C,INDEX(I$3,1,1),Dados!$A:$A,INDEX($D:$E,MATCH("B",$D:$D,0),2)))</f>
        <v/>
      </c>
      <c r="J71" s="66" t="str">
        <f>IF(COUNTIFS(Dados!$E:$E,$B71,Dados!$C:$C,INDEX(J$3,1,1),Dados!$A:$A,INDEX($D:$E,MATCH("B",$D:$D,0),2))=0,"",SUMIFS(Dados!$G:$G,Dados!$E:$E,$B71,Dados!$C:$C,INDEX(J$3,1,1),Dados!$A:$A,INDEX($D:$E,MATCH("B",$D:$D,0),2))/COUNTIFS(Dados!$E:$E,$B71,Dados!$C:$C,INDEX(J$3,1,1),Dados!$A:$A,INDEX($D:$E,MATCH("B",$D:$D,0),2)))</f>
        <v/>
      </c>
      <c r="K71" s="66" t="str">
        <f>IF(COUNTIFS(Dados!$E:$E,$B71,Dados!$C:$C,INDEX(K$3,1,1),Dados!$A:$A,INDEX($D:$E,MATCH("B",$D:$D,0),2))=0,"",SUMIFS(Dados!$G:$G,Dados!$E:$E,$B71,Dados!$C:$C,INDEX(K$3,1,1),Dados!$A:$A,INDEX($D:$E,MATCH("B",$D:$D,0),2))/COUNTIFS(Dados!$E:$E,$B71,Dados!$C:$C,INDEX(K$3,1,1),Dados!$A:$A,INDEX($D:$E,MATCH("B",$D:$D,0),2)))</f>
        <v/>
      </c>
      <c r="L71" s="66" t="str">
        <f>IF(COUNTIFS(Dados!$E:$E,$B71,Dados!$C:$C,INDEX(L$3,1,1),Dados!$A:$A,INDEX($D:$E,MATCH("B",$D:$D,0),2))=0,"",SUMIFS(Dados!$G:$G,Dados!$E:$E,$B71,Dados!$C:$C,INDEX(L$3,1,1),Dados!$A:$A,INDEX($D:$E,MATCH("B",$D:$D,0),2))/COUNTIFS(Dados!$E:$E,$B71,Dados!$C:$C,INDEX(L$3,1,1),Dados!$A:$A,INDEX($D:$E,MATCH("B",$D:$D,0),2)))</f>
        <v/>
      </c>
      <c r="M71" s="66" t="str">
        <f>IF(COUNTIFS(Dados!$E:$E,$B71,Dados!$C:$C,INDEX(M$3,1,1),Dados!$A:$A,INDEX($D:$E,MATCH("B",$D:$D,0),2))=0,"",SUMIFS(Dados!$G:$G,Dados!$E:$E,$B71,Dados!$C:$C,INDEX(M$3,1,1),Dados!$A:$A,INDEX($D:$E,MATCH("B",$D:$D,0),2))/COUNTIFS(Dados!$E:$E,$B71,Dados!$C:$C,INDEX(M$3,1,1),Dados!$A:$A,INDEX($D:$E,MATCH("B",$D:$D,0),2)))</f>
        <v/>
      </c>
      <c r="N71" s="66" t="str">
        <f>IF(COUNTIFS(Dados!$E:$E,$B71,Dados!$C:$C,INDEX(N$3,1,1),Dados!$A:$A,INDEX($D:$E,MATCH("B",$D:$D,0),2))=0,"",SUMIFS(Dados!$G:$G,Dados!$E:$E,$B71,Dados!$C:$C,INDEX(N$3,1,1),Dados!$A:$A,INDEX($D:$E,MATCH("B",$D:$D,0),2))/COUNTIFS(Dados!$E:$E,$B71,Dados!$C:$C,INDEX(N$3,1,1),Dados!$A:$A,INDEX($D:$E,MATCH("B",$D:$D,0),2)))</f>
        <v/>
      </c>
      <c r="O71" s="66" t="str">
        <f>IF(COUNTIFS(Dados!$E:$E,$B71,Dados!$C:$C,INDEX(O$3,1,1),Dados!$A:$A,INDEX($D:$E,MATCH("B",$D:$D,0),2))=0,"",SUMIFS(Dados!$G:$G,Dados!$E:$E,$B71,Dados!$C:$C,INDEX(O$3,1,1),Dados!$A:$A,INDEX($D:$E,MATCH("B",$D:$D,0),2))/COUNTIFS(Dados!$E:$E,$B71,Dados!$C:$C,INDEX(O$3,1,1),Dados!$A:$A,INDEX($D:$E,MATCH("B",$D:$D,0),2)))</f>
        <v/>
      </c>
      <c r="P71" s="66" t="str">
        <f>IF(COUNTIFS(Dados!$E:$E,$B71,Dados!$C:$C,INDEX(P$3,1,1),Dados!$A:$A,INDEX($D:$E,MATCH("B",$D:$D,0),2))=0,"",SUMIFS(Dados!$G:$G,Dados!$E:$E,$B71,Dados!$C:$C,INDEX(P$3,1,1),Dados!$A:$A,INDEX($D:$E,MATCH("B",$D:$D,0),2))/COUNTIFS(Dados!$E:$E,$B71,Dados!$C:$C,INDEX(P$3,1,1),Dados!$A:$A,INDEX($D:$E,MATCH("B",$D:$D,0),2)))</f>
        <v/>
      </c>
      <c r="Q71" s="66" t="str">
        <f>IF(COUNTIFS(Dados!$E:$E,$B71,Dados!$C:$C,INDEX(Q$3,1,1),Dados!$A:$A,INDEX($D:$E,MATCH("B",$D:$D,0),2))=0,"",SUMIFS(Dados!$G:$G,Dados!$E:$E,$B71,Dados!$C:$C,INDEX(Q$3,1,1),Dados!$A:$A,INDEX($D:$E,MATCH("B",$D:$D,0),2))/COUNTIFS(Dados!$E:$E,$B71,Dados!$C:$C,INDEX(Q$3,1,1),Dados!$A:$A,INDEX($D:$E,MATCH("B",$D:$D,0),2)))</f>
        <v/>
      </c>
      <c r="R71" s="66" t="str">
        <f>IF(COUNTIFS(Dados!$E:$E,$B71,Dados!$C:$C,INDEX(R$3,1,1),Dados!$A:$A,INDEX($D:$E,MATCH("B",$D:$D,0),2))=0,"",SUMIFS(Dados!$G:$G,Dados!$E:$E,$B71,Dados!$C:$C,INDEX(R$3,1,1),Dados!$A:$A,INDEX($D:$E,MATCH("B",$D:$D,0),2))/COUNTIFS(Dados!$E:$E,$B71,Dados!$C:$C,INDEX(R$3,1,1),Dados!$A:$A,INDEX($D:$E,MATCH("B",$D:$D,0),2)))</f>
        <v/>
      </c>
      <c r="S71" s="66" t="str">
        <f>IF(COUNTIFS(Dados!$E:$E,$B71,Dados!$C:$C,INDEX(S$3,1,1),Dados!$A:$A,INDEX($D:$E,MATCH("B",$D:$D,0),2))=0,"",SUMIFS(Dados!$G:$G,Dados!$E:$E,$B71,Dados!$C:$C,INDEX(S$3,1,1),Dados!$A:$A,INDEX($D:$E,MATCH("B",$D:$D,0),2))/COUNTIFS(Dados!$E:$E,$B71,Dados!$C:$C,INDEX(S$3,1,1),Dados!$A:$A,INDEX($D:$E,MATCH("B",$D:$D,0),2)))</f>
        <v/>
      </c>
      <c r="T71" s="66" t="str">
        <f>IF(COUNTIFS(Dados!$E:$E,$B71,Dados!$C:$C,INDEX(T$3,1,1),Dados!$A:$A,INDEX($D:$E,MATCH("B",$D:$D,0),2))=0,"",SUMIFS(Dados!$G:$G,Dados!$E:$E,$B71,Dados!$C:$C,INDEX(T$3,1,1),Dados!$A:$A,INDEX($D:$E,MATCH("B",$D:$D,0),2))/COUNTIFS(Dados!$E:$E,$B71,Dados!$C:$C,INDEX(T$3,1,1),Dados!$A:$A,INDEX($D:$E,MATCH("B",$D:$D,0),2)))</f>
        <v/>
      </c>
      <c r="U71" s="66" t="str">
        <f>IF(COUNTIFS(Dados!$E:$E,$B71,Dados!$C:$C,INDEX(U$3,1,1),Dados!$A:$A,INDEX($D:$E,MATCH("B",$D:$D,0),2))=0,"",SUMIFS(Dados!$G:$G,Dados!$E:$E,$B71,Dados!$C:$C,INDEX(U$3,1,1),Dados!$A:$A,INDEX($D:$E,MATCH("B",$D:$D,0),2))/COUNTIFS(Dados!$E:$E,$B71,Dados!$C:$C,INDEX(U$3,1,1),Dados!$A:$A,INDEX($D:$E,MATCH("B",$D:$D,0),2)))</f>
        <v/>
      </c>
      <c r="V71" s="66" t="str">
        <f>IF(COUNTIFS(Dados!$E:$E,$B71,Dados!$C:$C,INDEX(V$3,1,1),Dados!$A:$A,INDEX($D:$E,MATCH("B",$D:$D,0),2))=0,"",SUMIFS(Dados!$G:$G,Dados!$E:$E,$B71,Dados!$C:$C,INDEX(V$3,1,1),Dados!$A:$A,INDEX($D:$E,MATCH("B",$D:$D,0),2))/COUNTIFS(Dados!$E:$E,$B71,Dados!$C:$C,INDEX(V$3,1,1),Dados!$A:$A,INDEX($D:$E,MATCH("B",$D:$D,0),2)))</f>
        <v/>
      </c>
    </row>
    <row r="72" spans="2:22" x14ac:dyDescent="0.25">
      <c r="B72" s="67" t="s">
        <v>1298</v>
      </c>
      <c r="C72" s="71">
        <f>VLOOKUP(B72,B4:C22,2,0)</f>
        <v>6</v>
      </c>
      <c r="D72" s="68" t="str">
        <f>IF(COUNTIFS(Dados!$E:$E,$B72,Dados!$C:$C,INDEX(D$3,1,1),Dados!$A:$A,INDEX($D:$E,MATCH("B",$D:$D,0),2))=0,"",SUMIFS(Dados!$G:$G,Dados!$E:$E,$B72,Dados!$C:$C,INDEX(D$3,1,1),Dados!$A:$A,INDEX($D:$E,MATCH("B",$D:$D,0),2))/COUNTIFS(Dados!$E:$E,$B72,Dados!$C:$C,INDEX(D$3,1,1),Dados!$A:$A,INDEX($D:$E,MATCH("B",$D:$D,0),2)))</f>
        <v/>
      </c>
      <c r="E72" s="68" t="str">
        <f>IF(COUNTIFS(Dados!$E:$E,$B72,Dados!$C:$C,INDEX(E$3,1,1),Dados!$A:$A,INDEX($D:$E,MATCH("B",$D:$D,0),2))=0,"",SUMIFS(Dados!$G:$G,Dados!$E:$E,$B72,Dados!$C:$C,INDEX(E$3,1,1),Dados!$A:$A,INDEX($D:$E,MATCH("B",$D:$D,0),2))/COUNTIFS(Dados!$E:$E,$B72,Dados!$C:$C,INDEX(E$3,1,1),Dados!$A:$A,INDEX($D:$E,MATCH("B",$D:$D,0),2)))</f>
        <v/>
      </c>
      <c r="F72" s="68" t="str">
        <f>IF(COUNTIFS(Dados!$E:$E,$B72,Dados!$C:$C,INDEX(F$3,1,1),Dados!$A:$A,INDEX($D:$E,MATCH("B",$D:$D,0),2))=0,"",SUMIFS(Dados!$G:$G,Dados!$E:$E,$B72,Dados!$C:$C,INDEX(F$3,1,1),Dados!$A:$A,INDEX($D:$E,MATCH("B",$D:$D,0),2))/COUNTIFS(Dados!$E:$E,$B72,Dados!$C:$C,INDEX(F$3,1,1),Dados!$A:$A,INDEX($D:$E,MATCH("B",$D:$D,0),2)))</f>
        <v/>
      </c>
      <c r="G72" s="68" t="str">
        <f>IF(COUNTIFS(Dados!$E:$E,$B72,Dados!$C:$C,INDEX(G$3,1,1),Dados!$A:$A,INDEX($D:$E,MATCH("B",$D:$D,0),2))=0,"",SUMIFS(Dados!$G:$G,Dados!$E:$E,$B72,Dados!$C:$C,INDEX(G$3,1,1),Dados!$A:$A,INDEX($D:$E,MATCH("B",$D:$D,0),2))/COUNTIFS(Dados!$E:$E,$B72,Dados!$C:$C,INDEX(G$3,1,1),Dados!$A:$A,INDEX($D:$E,MATCH("B",$D:$D,0),2)))</f>
        <v/>
      </c>
      <c r="H72" s="68" t="str">
        <f>IF(COUNTIFS(Dados!$E:$E,$B72,Dados!$C:$C,INDEX(H$3,1,1),Dados!$A:$A,INDEX($D:$E,MATCH("B",$D:$D,0),2))=0,"",SUMIFS(Dados!$G:$G,Dados!$E:$E,$B72,Dados!$C:$C,INDEX(H$3,1,1),Dados!$A:$A,INDEX($D:$E,MATCH("B",$D:$D,0),2))/COUNTIFS(Dados!$E:$E,$B72,Dados!$C:$C,INDEX(H$3,1,1),Dados!$A:$A,INDEX($D:$E,MATCH("B",$D:$D,0),2)))</f>
        <v/>
      </c>
      <c r="I72" s="68" t="str">
        <f>IF(COUNTIFS(Dados!$E:$E,$B72,Dados!$C:$C,INDEX(I$3,1,1),Dados!$A:$A,INDEX($D:$E,MATCH("B",$D:$D,0),2))=0,"",SUMIFS(Dados!$G:$G,Dados!$E:$E,$B72,Dados!$C:$C,INDEX(I$3,1,1),Dados!$A:$A,INDEX($D:$E,MATCH("B",$D:$D,0),2))/COUNTIFS(Dados!$E:$E,$B72,Dados!$C:$C,INDEX(I$3,1,1),Dados!$A:$A,INDEX($D:$E,MATCH("B",$D:$D,0),2)))</f>
        <v/>
      </c>
      <c r="J72" s="68" t="str">
        <f>IF(COUNTIFS(Dados!$E:$E,$B72,Dados!$C:$C,INDEX(J$3,1,1),Dados!$A:$A,INDEX($D:$E,MATCH("B",$D:$D,0),2))=0,"",SUMIFS(Dados!$G:$G,Dados!$E:$E,$B72,Dados!$C:$C,INDEX(J$3,1,1),Dados!$A:$A,INDEX($D:$E,MATCH("B",$D:$D,0),2))/COUNTIFS(Dados!$E:$E,$B72,Dados!$C:$C,INDEX(J$3,1,1),Dados!$A:$A,INDEX($D:$E,MATCH("B",$D:$D,0),2)))</f>
        <v/>
      </c>
      <c r="K72" s="68" t="str">
        <f>IF(COUNTIFS(Dados!$E:$E,$B72,Dados!$C:$C,INDEX(K$3,1,1),Dados!$A:$A,INDEX($D:$E,MATCH("B",$D:$D,0),2))=0,"",SUMIFS(Dados!$G:$G,Dados!$E:$E,$B72,Dados!$C:$C,INDEX(K$3,1,1),Dados!$A:$A,INDEX($D:$E,MATCH("B",$D:$D,0),2))/COUNTIFS(Dados!$E:$E,$B72,Dados!$C:$C,INDEX(K$3,1,1),Dados!$A:$A,INDEX($D:$E,MATCH("B",$D:$D,0),2)))</f>
        <v/>
      </c>
      <c r="L72" s="68" t="str">
        <f>IF(COUNTIFS(Dados!$E:$E,$B72,Dados!$C:$C,INDEX(L$3,1,1),Dados!$A:$A,INDEX($D:$E,MATCH("B",$D:$D,0),2))=0,"",SUMIFS(Dados!$G:$G,Dados!$E:$E,$B72,Dados!$C:$C,INDEX(L$3,1,1),Dados!$A:$A,INDEX($D:$E,MATCH("B",$D:$D,0),2))/COUNTIFS(Dados!$E:$E,$B72,Dados!$C:$C,INDEX(L$3,1,1),Dados!$A:$A,INDEX($D:$E,MATCH("B",$D:$D,0),2)))</f>
        <v/>
      </c>
      <c r="M72" s="68" t="str">
        <f>IF(COUNTIFS(Dados!$E:$E,$B72,Dados!$C:$C,INDEX(M$3,1,1),Dados!$A:$A,INDEX($D:$E,MATCH("B",$D:$D,0),2))=0,"",SUMIFS(Dados!$G:$G,Dados!$E:$E,$B72,Dados!$C:$C,INDEX(M$3,1,1),Dados!$A:$A,INDEX($D:$E,MATCH("B",$D:$D,0),2))/COUNTIFS(Dados!$E:$E,$B72,Dados!$C:$C,INDEX(M$3,1,1),Dados!$A:$A,INDEX($D:$E,MATCH("B",$D:$D,0),2)))</f>
        <v/>
      </c>
      <c r="N72" s="68" t="str">
        <f>IF(COUNTIFS(Dados!$E:$E,$B72,Dados!$C:$C,INDEX(N$3,1,1),Dados!$A:$A,INDEX($D:$E,MATCH("B",$D:$D,0),2))=0,"",SUMIFS(Dados!$G:$G,Dados!$E:$E,$B72,Dados!$C:$C,INDEX(N$3,1,1),Dados!$A:$A,INDEX($D:$E,MATCH("B",$D:$D,0),2))/COUNTIFS(Dados!$E:$E,$B72,Dados!$C:$C,INDEX(N$3,1,1),Dados!$A:$A,INDEX($D:$E,MATCH("B",$D:$D,0),2)))</f>
        <v/>
      </c>
      <c r="O72" s="68" t="str">
        <f>IF(COUNTIFS(Dados!$E:$E,$B72,Dados!$C:$C,INDEX(O$3,1,1),Dados!$A:$A,INDEX($D:$E,MATCH("B",$D:$D,0),2))=0,"",SUMIFS(Dados!$G:$G,Dados!$E:$E,$B72,Dados!$C:$C,INDEX(O$3,1,1),Dados!$A:$A,INDEX($D:$E,MATCH("B",$D:$D,0),2))/COUNTIFS(Dados!$E:$E,$B72,Dados!$C:$C,INDEX(O$3,1,1),Dados!$A:$A,INDEX($D:$E,MATCH("B",$D:$D,0),2)))</f>
        <v/>
      </c>
      <c r="P72" s="68" t="str">
        <f>IF(COUNTIFS(Dados!$E:$E,$B72,Dados!$C:$C,INDEX(P$3,1,1),Dados!$A:$A,INDEX($D:$E,MATCH("B",$D:$D,0),2))=0,"",SUMIFS(Dados!$G:$G,Dados!$E:$E,$B72,Dados!$C:$C,INDEX(P$3,1,1),Dados!$A:$A,INDEX($D:$E,MATCH("B",$D:$D,0),2))/COUNTIFS(Dados!$E:$E,$B72,Dados!$C:$C,INDEX(P$3,1,1),Dados!$A:$A,INDEX($D:$E,MATCH("B",$D:$D,0),2)))</f>
        <v/>
      </c>
      <c r="Q72" s="68" t="str">
        <f>IF(COUNTIFS(Dados!$E:$E,$B72,Dados!$C:$C,INDEX(Q$3,1,1),Dados!$A:$A,INDEX($D:$E,MATCH("B",$D:$D,0),2))=0,"",SUMIFS(Dados!$G:$G,Dados!$E:$E,$B72,Dados!$C:$C,INDEX(Q$3,1,1),Dados!$A:$A,INDEX($D:$E,MATCH("B",$D:$D,0),2))/COUNTIFS(Dados!$E:$E,$B72,Dados!$C:$C,INDEX(Q$3,1,1),Dados!$A:$A,INDEX($D:$E,MATCH("B",$D:$D,0),2)))</f>
        <v/>
      </c>
      <c r="R72" s="68" t="str">
        <f>IF(COUNTIFS(Dados!$E:$E,$B72,Dados!$C:$C,INDEX(R$3,1,1),Dados!$A:$A,INDEX($D:$E,MATCH("B",$D:$D,0),2))=0,"",SUMIFS(Dados!$G:$G,Dados!$E:$E,$B72,Dados!$C:$C,INDEX(R$3,1,1),Dados!$A:$A,INDEX($D:$E,MATCH("B",$D:$D,0),2))/COUNTIFS(Dados!$E:$E,$B72,Dados!$C:$C,INDEX(R$3,1,1),Dados!$A:$A,INDEX($D:$E,MATCH("B",$D:$D,0),2)))</f>
        <v/>
      </c>
      <c r="S72" s="68" t="str">
        <f>IF(COUNTIFS(Dados!$E:$E,$B72,Dados!$C:$C,INDEX(S$3,1,1),Dados!$A:$A,INDEX($D:$E,MATCH("B",$D:$D,0),2))=0,"",SUMIFS(Dados!$G:$G,Dados!$E:$E,$B72,Dados!$C:$C,INDEX(S$3,1,1),Dados!$A:$A,INDEX($D:$E,MATCH("B",$D:$D,0),2))/COUNTIFS(Dados!$E:$E,$B72,Dados!$C:$C,INDEX(S$3,1,1),Dados!$A:$A,INDEX($D:$E,MATCH("B",$D:$D,0),2)))</f>
        <v/>
      </c>
      <c r="T72" s="68" t="str">
        <f>IF(COUNTIFS(Dados!$E:$E,$B72,Dados!$C:$C,INDEX(T$3,1,1),Dados!$A:$A,INDEX($D:$E,MATCH("B",$D:$D,0),2))=0,"",SUMIFS(Dados!$G:$G,Dados!$E:$E,$B72,Dados!$C:$C,INDEX(T$3,1,1),Dados!$A:$A,INDEX($D:$E,MATCH("B",$D:$D,0),2))/COUNTIFS(Dados!$E:$E,$B72,Dados!$C:$C,INDEX(T$3,1,1),Dados!$A:$A,INDEX($D:$E,MATCH("B",$D:$D,0),2)))</f>
        <v/>
      </c>
      <c r="U72" s="68" t="str">
        <f>IF(COUNTIFS(Dados!$E:$E,$B72,Dados!$C:$C,INDEX(U$3,1,1),Dados!$A:$A,INDEX($D:$E,MATCH("B",$D:$D,0),2))=0,"",SUMIFS(Dados!$G:$G,Dados!$E:$E,$B72,Dados!$C:$C,INDEX(U$3,1,1),Dados!$A:$A,INDEX($D:$E,MATCH("B",$D:$D,0),2))/COUNTIFS(Dados!$E:$E,$B72,Dados!$C:$C,INDEX(U$3,1,1),Dados!$A:$A,INDEX($D:$E,MATCH("B",$D:$D,0),2)))</f>
        <v/>
      </c>
      <c r="V72" s="68" t="str">
        <f>IF(COUNTIFS(Dados!$E:$E,$B72,Dados!$C:$C,INDEX(V$3,1,1),Dados!$A:$A,INDEX($D:$E,MATCH("B",$D:$D,0),2))=0,"",SUMIFS(Dados!$G:$G,Dados!$E:$E,$B72,Dados!$C:$C,INDEX(V$3,1,1),Dados!$A:$A,INDEX($D:$E,MATCH("B",$D:$D,0),2))/COUNTIFS(Dados!$E:$E,$B72,Dados!$C:$C,INDEX(V$3,1,1),Dados!$A:$A,INDEX($D:$E,MATCH("B",$D:$D,0),2)))</f>
        <v/>
      </c>
    </row>
    <row r="73" spans="2:22" x14ac:dyDescent="0.25">
      <c r="B73" s="65" t="s">
        <v>65</v>
      </c>
      <c r="C73" s="72">
        <f>VLOOKUP(B73,B4:C22,2,0)</f>
        <v>7</v>
      </c>
      <c r="D73" s="66" t="str">
        <f>IF(COUNTIFS(Dados!$E:$E,$B73,Dados!$C:$C,INDEX(D$3,1,1),Dados!$A:$A,INDEX($D:$E,MATCH("B",$D:$D,0),2))=0,"",SUMIFS(Dados!$G:$G,Dados!$E:$E,$B73,Dados!$C:$C,INDEX(D$3,1,1),Dados!$A:$A,INDEX($D:$E,MATCH("B",$D:$D,0),2))/COUNTIFS(Dados!$E:$E,$B73,Dados!$C:$C,INDEX(D$3,1,1),Dados!$A:$A,INDEX($D:$E,MATCH("B",$D:$D,0),2)))</f>
        <v/>
      </c>
      <c r="E73" s="66" t="str">
        <f>IF(COUNTIFS(Dados!$E:$E,$B73,Dados!$C:$C,INDEX(E$3,1,1),Dados!$A:$A,INDEX($D:$E,MATCH("B",$D:$D,0),2))=0,"",SUMIFS(Dados!$G:$G,Dados!$E:$E,$B73,Dados!$C:$C,INDEX(E$3,1,1),Dados!$A:$A,INDEX($D:$E,MATCH("B",$D:$D,0),2))/COUNTIFS(Dados!$E:$E,$B73,Dados!$C:$C,INDEX(E$3,1,1),Dados!$A:$A,INDEX($D:$E,MATCH("B",$D:$D,0),2)))</f>
        <v/>
      </c>
      <c r="F73" s="66" t="str">
        <f>IF(COUNTIFS(Dados!$E:$E,$B73,Dados!$C:$C,INDEX(F$3,1,1),Dados!$A:$A,INDEX($D:$E,MATCH("B",$D:$D,0),2))=0,"",SUMIFS(Dados!$G:$G,Dados!$E:$E,$B73,Dados!$C:$C,INDEX(F$3,1,1),Dados!$A:$A,INDEX($D:$E,MATCH("B",$D:$D,0),2))/COUNTIFS(Dados!$E:$E,$B73,Dados!$C:$C,INDEX(F$3,1,1),Dados!$A:$A,INDEX($D:$E,MATCH("B",$D:$D,0),2)))</f>
        <v/>
      </c>
      <c r="G73" s="66" t="str">
        <f>IF(COUNTIFS(Dados!$E:$E,$B73,Dados!$C:$C,INDEX(G$3,1,1),Dados!$A:$A,INDEX($D:$E,MATCH("B",$D:$D,0),2))=0,"",SUMIFS(Dados!$G:$G,Dados!$E:$E,$B73,Dados!$C:$C,INDEX(G$3,1,1),Dados!$A:$A,INDEX($D:$E,MATCH("B",$D:$D,0),2))/COUNTIFS(Dados!$E:$E,$B73,Dados!$C:$C,INDEX(G$3,1,1),Dados!$A:$A,INDEX($D:$E,MATCH("B",$D:$D,0),2)))</f>
        <v/>
      </c>
      <c r="H73" s="66" t="str">
        <f>IF(COUNTIFS(Dados!$E:$E,$B73,Dados!$C:$C,INDEX(H$3,1,1),Dados!$A:$A,INDEX($D:$E,MATCH("B",$D:$D,0),2))=0,"",SUMIFS(Dados!$G:$G,Dados!$E:$E,$B73,Dados!$C:$C,INDEX(H$3,1,1),Dados!$A:$A,INDEX($D:$E,MATCH("B",$D:$D,0),2))/COUNTIFS(Dados!$E:$E,$B73,Dados!$C:$C,INDEX(H$3,1,1),Dados!$A:$A,INDEX($D:$E,MATCH("B",$D:$D,0),2)))</f>
        <v/>
      </c>
      <c r="I73" s="66" t="str">
        <f>IF(COUNTIFS(Dados!$E:$E,$B73,Dados!$C:$C,INDEX(I$3,1,1),Dados!$A:$A,INDEX($D:$E,MATCH("B",$D:$D,0),2))=0,"",SUMIFS(Dados!$G:$G,Dados!$E:$E,$B73,Dados!$C:$C,INDEX(I$3,1,1),Dados!$A:$A,INDEX($D:$E,MATCH("B",$D:$D,0),2))/COUNTIFS(Dados!$E:$E,$B73,Dados!$C:$C,INDEX(I$3,1,1),Dados!$A:$A,INDEX($D:$E,MATCH("B",$D:$D,0),2)))</f>
        <v/>
      </c>
      <c r="J73" s="66" t="str">
        <f>IF(COUNTIFS(Dados!$E:$E,$B73,Dados!$C:$C,INDEX(J$3,1,1),Dados!$A:$A,INDEX($D:$E,MATCH("B",$D:$D,0),2))=0,"",SUMIFS(Dados!$G:$G,Dados!$E:$E,$B73,Dados!$C:$C,INDEX(J$3,1,1),Dados!$A:$A,INDEX($D:$E,MATCH("B",$D:$D,0),2))/COUNTIFS(Dados!$E:$E,$B73,Dados!$C:$C,INDEX(J$3,1,1),Dados!$A:$A,INDEX($D:$E,MATCH("B",$D:$D,0),2)))</f>
        <v/>
      </c>
      <c r="K73" s="66" t="str">
        <f>IF(COUNTIFS(Dados!$E:$E,$B73,Dados!$C:$C,INDEX(K$3,1,1),Dados!$A:$A,INDEX($D:$E,MATCH("B",$D:$D,0),2))=0,"",SUMIFS(Dados!$G:$G,Dados!$E:$E,$B73,Dados!$C:$C,INDEX(K$3,1,1),Dados!$A:$A,INDEX($D:$E,MATCH("B",$D:$D,0),2))/COUNTIFS(Dados!$E:$E,$B73,Dados!$C:$C,INDEX(K$3,1,1),Dados!$A:$A,INDEX($D:$E,MATCH("B",$D:$D,0),2)))</f>
        <v/>
      </c>
      <c r="L73" s="66" t="str">
        <f>IF(COUNTIFS(Dados!$E:$E,$B73,Dados!$C:$C,INDEX(L$3,1,1),Dados!$A:$A,INDEX($D:$E,MATCH("B",$D:$D,0),2))=0,"",SUMIFS(Dados!$G:$G,Dados!$E:$E,$B73,Dados!$C:$C,INDEX(L$3,1,1),Dados!$A:$A,INDEX($D:$E,MATCH("B",$D:$D,0),2))/COUNTIFS(Dados!$E:$E,$B73,Dados!$C:$C,INDEX(L$3,1,1),Dados!$A:$A,INDEX($D:$E,MATCH("B",$D:$D,0),2)))</f>
        <v/>
      </c>
      <c r="M73" s="66" t="str">
        <f>IF(COUNTIFS(Dados!$E:$E,$B73,Dados!$C:$C,INDEX(M$3,1,1),Dados!$A:$A,INDEX($D:$E,MATCH("B",$D:$D,0),2))=0,"",SUMIFS(Dados!$G:$G,Dados!$E:$E,$B73,Dados!$C:$C,INDEX(M$3,1,1),Dados!$A:$A,INDEX($D:$E,MATCH("B",$D:$D,0),2))/COUNTIFS(Dados!$E:$E,$B73,Dados!$C:$C,INDEX(M$3,1,1),Dados!$A:$A,INDEX($D:$E,MATCH("B",$D:$D,0),2)))</f>
        <v/>
      </c>
      <c r="N73" s="66" t="str">
        <f>IF(COUNTIFS(Dados!$E:$E,$B73,Dados!$C:$C,INDEX(N$3,1,1),Dados!$A:$A,INDEX($D:$E,MATCH("B",$D:$D,0),2))=0,"",SUMIFS(Dados!$G:$G,Dados!$E:$E,$B73,Dados!$C:$C,INDEX(N$3,1,1),Dados!$A:$A,INDEX($D:$E,MATCH("B",$D:$D,0),2))/COUNTIFS(Dados!$E:$E,$B73,Dados!$C:$C,INDEX(N$3,1,1),Dados!$A:$A,INDEX($D:$E,MATCH("B",$D:$D,0),2)))</f>
        <v/>
      </c>
      <c r="O73" s="66" t="str">
        <f>IF(COUNTIFS(Dados!$E:$E,$B73,Dados!$C:$C,INDEX(O$3,1,1),Dados!$A:$A,INDEX($D:$E,MATCH("B",$D:$D,0),2))=0,"",SUMIFS(Dados!$G:$G,Dados!$E:$E,$B73,Dados!$C:$C,INDEX(O$3,1,1),Dados!$A:$A,INDEX($D:$E,MATCH("B",$D:$D,0),2))/COUNTIFS(Dados!$E:$E,$B73,Dados!$C:$C,INDEX(O$3,1,1),Dados!$A:$A,INDEX($D:$E,MATCH("B",$D:$D,0),2)))</f>
        <v/>
      </c>
      <c r="P73" s="66" t="str">
        <f>IF(COUNTIFS(Dados!$E:$E,$B73,Dados!$C:$C,INDEX(P$3,1,1),Dados!$A:$A,INDEX($D:$E,MATCH("B",$D:$D,0),2))=0,"",SUMIFS(Dados!$G:$G,Dados!$E:$E,$B73,Dados!$C:$C,INDEX(P$3,1,1),Dados!$A:$A,INDEX($D:$E,MATCH("B",$D:$D,0),2))/COUNTIFS(Dados!$E:$E,$B73,Dados!$C:$C,INDEX(P$3,1,1),Dados!$A:$A,INDEX($D:$E,MATCH("B",$D:$D,0),2)))</f>
        <v/>
      </c>
      <c r="Q73" s="66" t="str">
        <f>IF(COUNTIFS(Dados!$E:$E,$B73,Dados!$C:$C,INDEX(Q$3,1,1),Dados!$A:$A,INDEX($D:$E,MATCH("B",$D:$D,0),2))=0,"",SUMIFS(Dados!$G:$G,Dados!$E:$E,$B73,Dados!$C:$C,INDEX(Q$3,1,1),Dados!$A:$A,INDEX($D:$E,MATCH("B",$D:$D,0),2))/COUNTIFS(Dados!$E:$E,$B73,Dados!$C:$C,INDEX(Q$3,1,1),Dados!$A:$A,INDEX($D:$E,MATCH("B",$D:$D,0),2)))</f>
        <v/>
      </c>
      <c r="R73" s="66" t="str">
        <f>IF(COUNTIFS(Dados!$E:$E,$B73,Dados!$C:$C,INDEX(R$3,1,1),Dados!$A:$A,INDEX($D:$E,MATCH("B",$D:$D,0),2))=0,"",SUMIFS(Dados!$G:$G,Dados!$E:$E,$B73,Dados!$C:$C,INDEX(R$3,1,1),Dados!$A:$A,INDEX($D:$E,MATCH("B",$D:$D,0),2))/COUNTIFS(Dados!$E:$E,$B73,Dados!$C:$C,INDEX(R$3,1,1),Dados!$A:$A,INDEX($D:$E,MATCH("B",$D:$D,0),2)))</f>
        <v/>
      </c>
      <c r="S73" s="66" t="str">
        <f>IF(COUNTIFS(Dados!$E:$E,$B73,Dados!$C:$C,INDEX(S$3,1,1),Dados!$A:$A,INDEX($D:$E,MATCH("B",$D:$D,0),2))=0,"",SUMIFS(Dados!$G:$G,Dados!$E:$E,$B73,Dados!$C:$C,INDEX(S$3,1,1),Dados!$A:$A,INDEX($D:$E,MATCH("B",$D:$D,0),2))/COUNTIFS(Dados!$E:$E,$B73,Dados!$C:$C,INDEX(S$3,1,1),Dados!$A:$A,INDEX($D:$E,MATCH("B",$D:$D,0),2)))</f>
        <v/>
      </c>
      <c r="T73" s="66" t="str">
        <f>IF(COUNTIFS(Dados!$E:$E,$B73,Dados!$C:$C,INDEX(T$3,1,1),Dados!$A:$A,INDEX($D:$E,MATCH("B",$D:$D,0),2))=0,"",SUMIFS(Dados!$G:$G,Dados!$E:$E,$B73,Dados!$C:$C,INDEX(T$3,1,1),Dados!$A:$A,INDEX($D:$E,MATCH("B",$D:$D,0),2))/COUNTIFS(Dados!$E:$E,$B73,Dados!$C:$C,INDEX(T$3,1,1),Dados!$A:$A,INDEX($D:$E,MATCH("B",$D:$D,0),2)))</f>
        <v/>
      </c>
      <c r="U73" s="66" t="str">
        <f>IF(COUNTIFS(Dados!$E:$E,$B73,Dados!$C:$C,INDEX(U$3,1,1),Dados!$A:$A,INDEX($D:$E,MATCH("B",$D:$D,0),2))=0,"",SUMIFS(Dados!$G:$G,Dados!$E:$E,$B73,Dados!$C:$C,INDEX(U$3,1,1),Dados!$A:$A,INDEX($D:$E,MATCH("B",$D:$D,0),2))/COUNTIFS(Dados!$E:$E,$B73,Dados!$C:$C,INDEX(U$3,1,1),Dados!$A:$A,INDEX($D:$E,MATCH("B",$D:$D,0),2)))</f>
        <v/>
      </c>
      <c r="V73" s="66" t="str">
        <f>IF(COUNTIFS(Dados!$E:$E,$B73,Dados!$C:$C,INDEX(V$3,1,1),Dados!$A:$A,INDEX($D:$E,MATCH("B",$D:$D,0),2))=0,"",SUMIFS(Dados!$G:$G,Dados!$E:$E,$B73,Dados!$C:$C,INDEX(V$3,1,1),Dados!$A:$A,INDEX($D:$E,MATCH("B",$D:$D,0),2))/COUNTIFS(Dados!$E:$E,$B73,Dados!$C:$C,INDEX(V$3,1,1),Dados!$A:$A,INDEX($D:$E,MATCH("B",$D:$D,0),2)))</f>
        <v/>
      </c>
    </row>
    <row r="74" spans="2:22" x14ac:dyDescent="0.25">
      <c r="B74" s="67" t="s">
        <v>32</v>
      </c>
      <c r="C74" s="71">
        <f>VLOOKUP(B74,B4:C22,2,0)</f>
        <v>8</v>
      </c>
      <c r="D74" s="68" t="str">
        <f>IF(COUNTIFS(Dados!$E:$E,$B74,Dados!$C:$C,INDEX(D$3,1,1),Dados!$A:$A,INDEX($D:$E,MATCH("B",$D:$D,0),2))=0,"",SUMIFS(Dados!$G:$G,Dados!$E:$E,$B74,Dados!$C:$C,INDEX(D$3,1,1),Dados!$A:$A,INDEX($D:$E,MATCH("B",$D:$D,0),2))/COUNTIFS(Dados!$E:$E,$B74,Dados!$C:$C,INDEX(D$3,1,1),Dados!$A:$A,INDEX($D:$E,MATCH("B",$D:$D,0),2)))</f>
        <v/>
      </c>
      <c r="E74" s="68" t="str">
        <f>IF(COUNTIFS(Dados!$E:$E,$B74,Dados!$C:$C,INDEX(E$3,1,1),Dados!$A:$A,INDEX($D:$E,MATCH("B",$D:$D,0),2))=0,"",SUMIFS(Dados!$G:$G,Dados!$E:$E,$B74,Dados!$C:$C,INDEX(E$3,1,1),Dados!$A:$A,INDEX($D:$E,MATCH("B",$D:$D,0),2))/COUNTIFS(Dados!$E:$E,$B74,Dados!$C:$C,INDEX(E$3,1,1),Dados!$A:$A,INDEX($D:$E,MATCH("B",$D:$D,0),2)))</f>
        <v/>
      </c>
      <c r="F74" s="68" t="str">
        <f>IF(COUNTIFS(Dados!$E:$E,$B74,Dados!$C:$C,INDEX(F$3,1,1),Dados!$A:$A,INDEX($D:$E,MATCH("B",$D:$D,0),2))=0,"",SUMIFS(Dados!$G:$G,Dados!$E:$E,$B74,Dados!$C:$C,INDEX(F$3,1,1),Dados!$A:$A,INDEX($D:$E,MATCH("B",$D:$D,0),2))/COUNTIFS(Dados!$E:$E,$B74,Dados!$C:$C,INDEX(F$3,1,1),Dados!$A:$A,INDEX($D:$E,MATCH("B",$D:$D,0),2)))</f>
        <v/>
      </c>
      <c r="G74" s="68" t="str">
        <f>IF(COUNTIFS(Dados!$E:$E,$B74,Dados!$C:$C,INDEX(G$3,1,1),Dados!$A:$A,INDEX($D:$E,MATCH("B",$D:$D,0),2))=0,"",SUMIFS(Dados!$G:$G,Dados!$E:$E,$B74,Dados!$C:$C,INDEX(G$3,1,1),Dados!$A:$A,INDEX($D:$E,MATCH("B",$D:$D,0),2))/COUNTIFS(Dados!$E:$E,$B74,Dados!$C:$C,INDEX(G$3,1,1),Dados!$A:$A,INDEX($D:$E,MATCH("B",$D:$D,0),2)))</f>
        <v/>
      </c>
      <c r="H74" s="68" t="str">
        <f>IF(COUNTIFS(Dados!$E:$E,$B74,Dados!$C:$C,INDEX(H$3,1,1),Dados!$A:$A,INDEX($D:$E,MATCH("B",$D:$D,0),2))=0,"",SUMIFS(Dados!$G:$G,Dados!$E:$E,$B74,Dados!$C:$C,INDEX(H$3,1,1),Dados!$A:$A,INDEX($D:$E,MATCH("B",$D:$D,0),2))/COUNTIFS(Dados!$E:$E,$B74,Dados!$C:$C,INDEX(H$3,1,1),Dados!$A:$A,INDEX($D:$E,MATCH("B",$D:$D,0),2)))</f>
        <v/>
      </c>
      <c r="I74" s="68" t="str">
        <f>IF(COUNTIFS(Dados!$E:$E,$B74,Dados!$C:$C,INDEX(I$3,1,1),Dados!$A:$A,INDEX($D:$E,MATCH("B",$D:$D,0),2))=0,"",SUMIFS(Dados!$G:$G,Dados!$E:$E,$B74,Dados!$C:$C,INDEX(I$3,1,1),Dados!$A:$A,INDEX($D:$E,MATCH("B",$D:$D,0),2))/COUNTIFS(Dados!$E:$E,$B74,Dados!$C:$C,INDEX(I$3,1,1),Dados!$A:$A,INDEX($D:$E,MATCH("B",$D:$D,0),2)))</f>
        <v/>
      </c>
      <c r="J74" s="68" t="str">
        <f>IF(COUNTIFS(Dados!$E:$E,$B74,Dados!$C:$C,INDEX(J$3,1,1),Dados!$A:$A,INDEX($D:$E,MATCH("B",$D:$D,0),2))=0,"",SUMIFS(Dados!$G:$G,Dados!$E:$E,$B74,Dados!$C:$C,INDEX(J$3,1,1),Dados!$A:$A,INDEX($D:$E,MATCH("B",$D:$D,0),2))/COUNTIFS(Dados!$E:$E,$B74,Dados!$C:$C,INDEX(J$3,1,1),Dados!$A:$A,INDEX($D:$E,MATCH("B",$D:$D,0),2)))</f>
        <v/>
      </c>
      <c r="K74" s="68" t="str">
        <f>IF(COUNTIFS(Dados!$E:$E,$B74,Dados!$C:$C,INDEX(K$3,1,1),Dados!$A:$A,INDEX($D:$E,MATCH("B",$D:$D,0),2))=0,"",SUMIFS(Dados!$G:$G,Dados!$E:$E,$B74,Dados!$C:$C,INDEX(K$3,1,1),Dados!$A:$A,INDEX($D:$E,MATCH("B",$D:$D,0),2))/COUNTIFS(Dados!$E:$E,$B74,Dados!$C:$C,INDEX(K$3,1,1),Dados!$A:$A,INDEX($D:$E,MATCH("B",$D:$D,0),2)))</f>
        <v/>
      </c>
      <c r="L74" s="68" t="str">
        <f>IF(COUNTIFS(Dados!$E:$E,$B74,Dados!$C:$C,INDEX(L$3,1,1),Dados!$A:$A,INDEX($D:$E,MATCH("B",$D:$D,0),2))=0,"",SUMIFS(Dados!$G:$G,Dados!$E:$E,$B74,Dados!$C:$C,INDEX(L$3,1,1),Dados!$A:$A,INDEX($D:$E,MATCH("B",$D:$D,0),2))/COUNTIFS(Dados!$E:$E,$B74,Dados!$C:$C,INDEX(L$3,1,1),Dados!$A:$A,INDEX($D:$E,MATCH("B",$D:$D,0),2)))</f>
        <v/>
      </c>
      <c r="M74" s="68" t="str">
        <f>IF(COUNTIFS(Dados!$E:$E,$B74,Dados!$C:$C,INDEX(M$3,1,1),Dados!$A:$A,INDEX($D:$E,MATCH("B",$D:$D,0),2))=0,"",SUMIFS(Dados!$G:$G,Dados!$E:$E,$B74,Dados!$C:$C,INDEX(M$3,1,1),Dados!$A:$A,INDEX($D:$E,MATCH("B",$D:$D,0),2))/COUNTIFS(Dados!$E:$E,$B74,Dados!$C:$C,INDEX(M$3,1,1),Dados!$A:$A,INDEX($D:$E,MATCH("B",$D:$D,0),2)))</f>
        <v/>
      </c>
      <c r="N74" s="68" t="str">
        <f>IF(COUNTIFS(Dados!$E:$E,$B74,Dados!$C:$C,INDEX(N$3,1,1),Dados!$A:$A,INDEX($D:$E,MATCH("B",$D:$D,0),2))=0,"",SUMIFS(Dados!$G:$G,Dados!$E:$E,$B74,Dados!$C:$C,INDEX(N$3,1,1),Dados!$A:$A,INDEX($D:$E,MATCH("B",$D:$D,0),2))/COUNTIFS(Dados!$E:$E,$B74,Dados!$C:$C,INDEX(N$3,1,1),Dados!$A:$A,INDEX($D:$E,MATCH("B",$D:$D,0),2)))</f>
        <v/>
      </c>
      <c r="O74" s="68" t="str">
        <f>IF(COUNTIFS(Dados!$E:$E,$B74,Dados!$C:$C,INDEX(O$3,1,1),Dados!$A:$A,INDEX($D:$E,MATCH("B",$D:$D,0),2))=0,"",SUMIFS(Dados!$G:$G,Dados!$E:$E,$B74,Dados!$C:$C,INDEX(O$3,1,1),Dados!$A:$A,INDEX($D:$E,MATCH("B",$D:$D,0),2))/COUNTIFS(Dados!$E:$E,$B74,Dados!$C:$C,INDEX(O$3,1,1),Dados!$A:$A,INDEX($D:$E,MATCH("B",$D:$D,0),2)))</f>
        <v/>
      </c>
      <c r="P74" s="68" t="str">
        <f>IF(COUNTIFS(Dados!$E:$E,$B74,Dados!$C:$C,INDEX(P$3,1,1),Dados!$A:$A,INDEX($D:$E,MATCH("B",$D:$D,0),2))=0,"",SUMIFS(Dados!$G:$G,Dados!$E:$E,$B74,Dados!$C:$C,INDEX(P$3,1,1),Dados!$A:$A,INDEX($D:$E,MATCH("B",$D:$D,0),2))/COUNTIFS(Dados!$E:$E,$B74,Dados!$C:$C,INDEX(P$3,1,1),Dados!$A:$A,INDEX($D:$E,MATCH("B",$D:$D,0),2)))</f>
        <v/>
      </c>
      <c r="Q74" s="68" t="str">
        <f>IF(COUNTIFS(Dados!$E:$E,$B74,Dados!$C:$C,INDEX(Q$3,1,1),Dados!$A:$A,INDEX($D:$E,MATCH("B",$D:$D,0),2))=0,"",SUMIFS(Dados!$G:$G,Dados!$E:$E,$B74,Dados!$C:$C,INDEX(Q$3,1,1),Dados!$A:$A,INDEX($D:$E,MATCH("B",$D:$D,0),2))/COUNTIFS(Dados!$E:$E,$B74,Dados!$C:$C,INDEX(Q$3,1,1),Dados!$A:$A,INDEX($D:$E,MATCH("B",$D:$D,0),2)))</f>
        <v/>
      </c>
      <c r="R74" s="68" t="str">
        <f>IF(COUNTIFS(Dados!$E:$E,$B74,Dados!$C:$C,INDEX(R$3,1,1),Dados!$A:$A,INDEX($D:$E,MATCH("B",$D:$D,0),2))=0,"",SUMIFS(Dados!$G:$G,Dados!$E:$E,$B74,Dados!$C:$C,INDEX(R$3,1,1),Dados!$A:$A,INDEX($D:$E,MATCH("B",$D:$D,0),2))/COUNTIFS(Dados!$E:$E,$B74,Dados!$C:$C,INDEX(R$3,1,1),Dados!$A:$A,INDEX($D:$E,MATCH("B",$D:$D,0),2)))</f>
        <v/>
      </c>
      <c r="S74" s="68" t="str">
        <f>IF(COUNTIFS(Dados!$E:$E,$B74,Dados!$C:$C,INDEX(S$3,1,1),Dados!$A:$A,INDEX($D:$E,MATCH("B",$D:$D,0),2))=0,"",SUMIFS(Dados!$G:$G,Dados!$E:$E,$B74,Dados!$C:$C,INDEX(S$3,1,1),Dados!$A:$A,INDEX($D:$E,MATCH("B",$D:$D,0),2))/COUNTIFS(Dados!$E:$E,$B74,Dados!$C:$C,INDEX(S$3,1,1),Dados!$A:$A,INDEX($D:$E,MATCH("B",$D:$D,0),2)))</f>
        <v/>
      </c>
      <c r="T74" s="68" t="str">
        <f>IF(COUNTIFS(Dados!$E:$E,$B74,Dados!$C:$C,INDEX(T$3,1,1),Dados!$A:$A,INDEX($D:$E,MATCH("B",$D:$D,0),2))=0,"",SUMIFS(Dados!$G:$G,Dados!$E:$E,$B74,Dados!$C:$C,INDEX(T$3,1,1),Dados!$A:$A,INDEX($D:$E,MATCH("B",$D:$D,0),2))/COUNTIFS(Dados!$E:$E,$B74,Dados!$C:$C,INDEX(T$3,1,1),Dados!$A:$A,INDEX($D:$E,MATCH("B",$D:$D,0),2)))</f>
        <v/>
      </c>
      <c r="U74" s="68" t="str">
        <f>IF(COUNTIFS(Dados!$E:$E,$B74,Dados!$C:$C,INDEX(U$3,1,1),Dados!$A:$A,INDEX($D:$E,MATCH("B",$D:$D,0),2))=0,"",SUMIFS(Dados!$G:$G,Dados!$E:$E,$B74,Dados!$C:$C,INDEX(U$3,1,1),Dados!$A:$A,INDEX($D:$E,MATCH("B",$D:$D,0),2))/COUNTIFS(Dados!$E:$E,$B74,Dados!$C:$C,INDEX(U$3,1,1),Dados!$A:$A,INDEX($D:$E,MATCH("B",$D:$D,0),2)))</f>
        <v/>
      </c>
      <c r="V74" s="68" t="str">
        <f>IF(COUNTIFS(Dados!$E:$E,$B74,Dados!$C:$C,INDEX(V$3,1,1),Dados!$A:$A,INDEX($D:$E,MATCH("B",$D:$D,0),2))=0,"",SUMIFS(Dados!$G:$G,Dados!$E:$E,$B74,Dados!$C:$C,INDEX(V$3,1,1),Dados!$A:$A,INDEX($D:$E,MATCH("B",$D:$D,0),2))/COUNTIFS(Dados!$E:$E,$B74,Dados!$C:$C,INDEX(V$3,1,1),Dados!$A:$A,INDEX($D:$E,MATCH("B",$D:$D,0),2)))</f>
        <v/>
      </c>
    </row>
    <row r="75" spans="2:22" x14ac:dyDescent="0.25">
      <c r="B75" s="65" t="s">
        <v>44</v>
      </c>
      <c r="C75" s="72">
        <f>VLOOKUP(B75,B4:C22,2,0)</f>
        <v>9</v>
      </c>
      <c r="D75" s="66" t="str">
        <f>IF(COUNTIFS(Dados!$E:$E,$B75,Dados!$C:$C,INDEX(D$3,1,1),Dados!$A:$A,INDEX($D:$E,MATCH("B",$D:$D,0),2))=0,"",SUMIFS(Dados!$G:$G,Dados!$E:$E,$B75,Dados!$C:$C,INDEX(D$3,1,1),Dados!$A:$A,INDEX($D:$E,MATCH("B",$D:$D,0),2))/COUNTIFS(Dados!$E:$E,$B75,Dados!$C:$C,INDEX(D$3,1,1),Dados!$A:$A,INDEX($D:$E,MATCH("B",$D:$D,0),2)))</f>
        <v/>
      </c>
      <c r="E75" s="66" t="str">
        <f>IF(COUNTIFS(Dados!$E:$E,$B75,Dados!$C:$C,INDEX(E$3,1,1),Dados!$A:$A,INDEX($D:$E,MATCH("B",$D:$D,0),2))=0,"",SUMIFS(Dados!$G:$G,Dados!$E:$E,$B75,Dados!$C:$C,INDEX(E$3,1,1),Dados!$A:$A,INDEX($D:$E,MATCH("B",$D:$D,0),2))/COUNTIFS(Dados!$E:$E,$B75,Dados!$C:$C,INDEX(E$3,1,1),Dados!$A:$A,INDEX($D:$E,MATCH("B",$D:$D,0),2)))</f>
        <v/>
      </c>
      <c r="F75" s="66" t="str">
        <f>IF(COUNTIFS(Dados!$E:$E,$B75,Dados!$C:$C,INDEX(F$3,1,1),Dados!$A:$A,INDEX($D:$E,MATCH("B",$D:$D,0),2))=0,"",SUMIFS(Dados!$G:$G,Dados!$E:$E,$B75,Dados!$C:$C,INDEX(F$3,1,1),Dados!$A:$A,INDEX($D:$E,MATCH("B",$D:$D,0),2))/COUNTIFS(Dados!$E:$E,$B75,Dados!$C:$C,INDEX(F$3,1,1),Dados!$A:$A,INDEX($D:$E,MATCH("B",$D:$D,0),2)))</f>
        <v/>
      </c>
      <c r="G75" s="66" t="str">
        <f>IF(COUNTIFS(Dados!$E:$E,$B75,Dados!$C:$C,INDEX(G$3,1,1),Dados!$A:$A,INDEX($D:$E,MATCH("B",$D:$D,0),2))=0,"",SUMIFS(Dados!$G:$G,Dados!$E:$E,$B75,Dados!$C:$C,INDEX(G$3,1,1),Dados!$A:$A,INDEX($D:$E,MATCH("B",$D:$D,0),2))/COUNTIFS(Dados!$E:$E,$B75,Dados!$C:$C,INDEX(G$3,1,1),Dados!$A:$A,INDEX($D:$E,MATCH("B",$D:$D,0),2)))</f>
        <v/>
      </c>
      <c r="H75" s="66" t="str">
        <f>IF(COUNTIFS(Dados!$E:$E,$B75,Dados!$C:$C,INDEX(H$3,1,1),Dados!$A:$A,INDEX($D:$E,MATCH("B",$D:$D,0),2))=0,"",SUMIFS(Dados!$G:$G,Dados!$E:$E,$B75,Dados!$C:$C,INDEX(H$3,1,1),Dados!$A:$A,INDEX($D:$E,MATCH("B",$D:$D,0),2))/COUNTIFS(Dados!$E:$E,$B75,Dados!$C:$C,INDEX(H$3,1,1),Dados!$A:$A,INDEX($D:$E,MATCH("B",$D:$D,0),2)))</f>
        <v/>
      </c>
      <c r="I75" s="66" t="str">
        <f>IF(COUNTIFS(Dados!$E:$E,$B75,Dados!$C:$C,INDEX(I$3,1,1),Dados!$A:$A,INDEX($D:$E,MATCH("B",$D:$D,0),2))=0,"",SUMIFS(Dados!$G:$G,Dados!$E:$E,$B75,Dados!$C:$C,INDEX(I$3,1,1),Dados!$A:$A,INDEX($D:$E,MATCH("B",$D:$D,0),2))/COUNTIFS(Dados!$E:$E,$B75,Dados!$C:$C,INDEX(I$3,1,1),Dados!$A:$A,INDEX($D:$E,MATCH("B",$D:$D,0),2)))</f>
        <v/>
      </c>
      <c r="J75" s="66" t="str">
        <f>IF(COUNTIFS(Dados!$E:$E,$B75,Dados!$C:$C,INDEX(J$3,1,1),Dados!$A:$A,INDEX($D:$E,MATCH("B",$D:$D,0),2))=0,"",SUMIFS(Dados!$G:$G,Dados!$E:$E,$B75,Dados!$C:$C,INDEX(J$3,1,1),Dados!$A:$A,INDEX($D:$E,MATCH("B",$D:$D,0),2))/COUNTIFS(Dados!$E:$E,$B75,Dados!$C:$C,INDEX(J$3,1,1),Dados!$A:$A,INDEX($D:$E,MATCH("B",$D:$D,0),2)))</f>
        <v/>
      </c>
      <c r="K75" s="66" t="str">
        <f>IF(COUNTIFS(Dados!$E:$E,$B75,Dados!$C:$C,INDEX(K$3,1,1),Dados!$A:$A,INDEX($D:$E,MATCH("B",$D:$D,0),2))=0,"",SUMIFS(Dados!$G:$G,Dados!$E:$E,$B75,Dados!$C:$C,INDEX(K$3,1,1),Dados!$A:$A,INDEX($D:$E,MATCH("B",$D:$D,0),2))/COUNTIFS(Dados!$E:$E,$B75,Dados!$C:$C,INDEX(K$3,1,1),Dados!$A:$A,INDEX($D:$E,MATCH("B",$D:$D,0),2)))</f>
        <v/>
      </c>
      <c r="L75" s="66" t="str">
        <f>IF(COUNTIFS(Dados!$E:$E,$B75,Dados!$C:$C,INDEX(L$3,1,1),Dados!$A:$A,INDEX($D:$E,MATCH("B",$D:$D,0),2))=0,"",SUMIFS(Dados!$G:$G,Dados!$E:$E,$B75,Dados!$C:$C,INDEX(L$3,1,1),Dados!$A:$A,INDEX($D:$E,MATCH("B",$D:$D,0),2))/COUNTIFS(Dados!$E:$E,$B75,Dados!$C:$C,INDEX(L$3,1,1),Dados!$A:$A,INDEX($D:$E,MATCH("B",$D:$D,0),2)))</f>
        <v/>
      </c>
      <c r="M75" s="66" t="str">
        <f>IF(COUNTIFS(Dados!$E:$E,$B75,Dados!$C:$C,INDEX(M$3,1,1),Dados!$A:$A,INDEX($D:$E,MATCH("B",$D:$D,0),2))=0,"",SUMIFS(Dados!$G:$G,Dados!$E:$E,$B75,Dados!$C:$C,INDEX(M$3,1,1),Dados!$A:$A,INDEX($D:$E,MATCH("B",$D:$D,0),2))/COUNTIFS(Dados!$E:$E,$B75,Dados!$C:$C,INDEX(M$3,1,1),Dados!$A:$A,INDEX($D:$E,MATCH("B",$D:$D,0),2)))</f>
        <v/>
      </c>
      <c r="N75" s="66" t="str">
        <f>IF(COUNTIFS(Dados!$E:$E,$B75,Dados!$C:$C,INDEX(N$3,1,1),Dados!$A:$A,INDEX($D:$E,MATCH("B",$D:$D,0),2))=0,"",SUMIFS(Dados!$G:$G,Dados!$E:$E,$B75,Dados!$C:$C,INDEX(N$3,1,1),Dados!$A:$A,INDEX($D:$E,MATCH("B",$D:$D,0),2))/COUNTIFS(Dados!$E:$E,$B75,Dados!$C:$C,INDEX(N$3,1,1),Dados!$A:$A,INDEX($D:$E,MATCH("B",$D:$D,0),2)))</f>
        <v/>
      </c>
      <c r="O75" s="66" t="str">
        <f>IF(COUNTIFS(Dados!$E:$E,$B75,Dados!$C:$C,INDEX(O$3,1,1),Dados!$A:$A,INDEX($D:$E,MATCH("B",$D:$D,0),2))=0,"",SUMIFS(Dados!$G:$G,Dados!$E:$E,$B75,Dados!$C:$C,INDEX(O$3,1,1),Dados!$A:$A,INDEX($D:$E,MATCH("B",$D:$D,0),2))/COUNTIFS(Dados!$E:$E,$B75,Dados!$C:$C,INDEX(O$3,1,1),Dados!$A:$A,INDEX($D:$E,MATCH("B",$D:$D,0),2)))</f>
        <v/>
      </c>
      <c r="P75" s="66" t="str">
        <f>IF(COUNTIFS(Dados!$E:$E,$B75,Dados!$C:$C,INDEX(P$3,1,1),Dados!$A:$A,INDEX($D:$E,MATCH("B",$D:$D,0),2))=0,"",SUMIFS(Dados!$G:$G,Dados!$E:$E,$B75,Dados!$C:$C,INDEX(P$3,1,1),Dados!$A:$A,INDEX($D:$E,MATCH("B",$D:$D,0),2))/COUNTIFS(Dados!$E:$E,$B75,Dados!$C:$C,INDEX(P$3,1,1),Dados!$A:$A,INDEX($D:$E,MATCH("B",$D:$D,0),2)))</f>
        <v/>
      </c>
      <c r="Q75" s="66" t="str">
        <f>IF(COUNTIFS(Dados!$E:$E,$B75,Dados!$C:$C,INDEX(Q$3,1,1),Dados!$A:$A,INDEX($D:$E,MATCH("B",$D:$D,0),2))=0,"",SUMIFS(Dados!$G:$G,Dados!$E:$E,$B75,Dados!$C:$C,INDEX(Q$3,1,1),Dados!$A:$A,INDEX($D:$E,MATCH("B",$D:$D,0),2))/COUNTIFS(Dados!$E:$E,$B75,Dados!$C:$C,INDEX(Q$3,1,1),Dados!$A:$A,INDEX($D:$E,MATCH("B",$D:$D,0),2)))</f>
        <v/>
      </c>
      <c r="R75" s="66" t="str">
        <f>IF(COUNTIFS(Dados!$E:$E,$B75,Dados!$C:$C,INDEX(R$3,1,1),Dados!$A:$A,INDEX($D:$E,MATCH("B",$D:$D,0),2))=0,"",SUMIFS(Dados!$G:$G,Dados!$E:$E,$B75,Dados!$C:$C,INDEX(R$3,1,1),Dados!$A:$A,INDEX($D:$E,MATCH("B",$D:$D,0),2))/COUNTIFS(Dados!$E:$E,$B75,Dados!$C:$C,INDEX(R$3,1,1),Dados!$A:$A,INDEX($D:$E,MATCH("B",$D:$D,0),2)))</f>
        <v/>
      </c>
      <c r="S75" s="66" t="str">
        <f>IF(COUNTIFS(Dados!$E:$E,$B75,Dados!$C:$C,INDEX(S$3,1,1),Dados!$A:$A,INDEX($D:$E,MATCH("B",$D:$D,0),2))=0,"",SUMIFS(Dados!$G:$G,Dados!$E:$E,$B75,Dados!$C:$C,INDEX(S$3,1,1),Dados!$A:$A,INDEX($D:$E,MATCH("B",$D:$D,0),2))/COUNTIFS(Dados!$E:$E,$B75,Dados!$C:$C,INDEX(S$3,1,1),Dados!$A:$A,INDEX($D:$E,MATCH("B",$D:$D,0),2)))</f>
        <v/>
      </c>
      <c r="T75" s="66">
        <f>IF(COUNTIFS(Dados!$E:$E,$B75,Dados!$C:$C,INDEX(T$3,1,1),Dados!$A:$A,INDEX($D:$E,MATCH("B",$D:$D,0),2))=0,"",SUMIFS(Dados!$G:$G,Dados!$E:$E,$B75,Dados!$C:$C,INDEX(T$3,1,1),Dados!$A:$A,INDEX($D:$E,MATCH("B",$D:$D,0),2))/COUNTIFS(Dados!$E:$E,$B75,Dados!$C:$C,INDEX(T$3,1,1),Dados!$A:$A,INDEX($D:$E,MATCH("B",$D:$D,0),2)))</f>
        <v>0.32398146648429627</v>
      </c>
      <c r="U75" s="66" t="str">
        <f>IF(COUNTIFS(Dados!$E:$E,$B75,Dados!$C:$C,INDEX(U$3,1,1),Dados!$A:$A,INDEX($D:$E,MATCH("B",$D:$D,0),2))=0,"",SUMIFS(Dados!$G:$G,Dados!$E:$E,$B75,Dados!$C:$C,INDEX(U$3,1,1),Dados!$A:$A,INDEX($D:$E,MATCH("B",$D:$D,0),2))/COUNTIFS(Dados!$E:$E,$B75,Dados!$C:$C,INDEX(U$3,1,1),Dados!$A:$A,INDEX($D:$E,MATCH("B",$D:$D,0),2)))</f>
        <v/>
      </c>
      <c r="V75" s="66" t="str">
        <f>IF(COUNTIFS(Dados!$E:$E,$B75,Dados!$C:$C,INDEX(V$3,1,1),Dados!$A:$A,INDEX($D:$E,MATCH("B",$D:$D,0),2))=0,"",SUMIFS(Dados!$G:$G,Dados!$E:$E,$B75,Dados!$C:$C,INDEX(V$3,1,1),Dados!$A:$A,INDEX($D:$E,MATCH("B",$D:$D,0),2))/COUNTIFS(Dados!$E:$E,$B75,Dados!$C:$C,INDEX(V$3,1,1),Dados!$A:$A,INDEX($D:$E,MATCH("B",$D:$D,0),2)))</f>
        <v/>
      </c>
    </row>
    <row r="76" spans="2:22" x14ac:dyDescent="0.25">
      <c r="B76" s="67" t="s">
        <v>147</v>
      </c>
      <c r="C76" s="71">
        <f>VLOOKUP(B76,B4:C22,2,0)</f>
        <v>10</v>
      </c>
      <c r="D76" s="68" t="str">
        <f>IF(COUNTIFS(Dados!$E:$E,$B76,Dados!$C:$C,INDEX(D$3,1,1),Dados!$A:$A,INDEX($D:$E,MATCH("B",$D:$D,0),2))=0,"",SUMIFS(Dados!$G:$G,Dados!$E:$E,$B76,Dados!$C:$C,INDEX(D$3,1,1),Dados!$A:$A,INDEX($D:$E,MATCH("B",$D:$D,0),2))/COUNTIFS(Dados!$E:$E,$B76,Dados!$C:$C,INDEX(D$3,1,1),Dados!$A:$A,INDEX($D:$E,MATCH("B",$D:$D,0),2)))</f>
        <v/>
      </c>
      <c r="E76" s="68" t="str">
        <f>IF(COUNTIFS(Dados!$E:$E,$B76,Dados!$C:$C,INDEX(E$3,1,1),Dados!$A:$A,INDEX($D:$E,MATCH("B",$D:$D,0),2))=0,"",SUMIFS(Dados!$G:$G,Dados!$E:$E,$B76,Dados!$C:$C,INDEX(E$3,1,1),Dados!$A:$A,INDEX($D:$E,MATCH("B",$D:$D,0),2))/COUNTIFS(Dados!$E:$E,$B76,Dados!$C:$C,INDEX(E$3,1,1),Dados!$A:$A,INDEX($D:$E,MATCH("B",$D:$D,0),2)))</f>
        <v/>
      </c>
      <c r="F76" s="68" t="str">
        <f>IF(COUNTIFS(Dados!$E:$E,$B76,Dados!$C:$C,INDEX(F$3,1,1),Dados!$A:$A,INDEX($D:$E,MATCH("B",$D:$D,0),2))=0,"",SUMIFS(Dados!$G:$G,Dados!$E:$E,$B76,Dados!$C:$C,INDEX(F$3,1,1),Dados!$A:$A,INDEX($D:$E,MATCH("B",$D:$D,0),2))/COUNTIFS(Dados!$E:$E,$B76,Dados!$C:$C,INDEX(F$3,1,1),Dados!$A:$A,INDEX($D:$E,MATCH("B",$D:$D,0),2)))</f>
        <v/>
      </c>
      <c r="G76" s="68" t="str">
        <f>IF(COUNTIFS(Dados!$E:$E,$B76,Dados!$C:$C,INDEX(G$3,1,1),Dados!$A:$A,INDEX($D:$E,MATCH("B",$D:$D,0),2))=0,"",SUMIFS(Dados!$G:$G,Dados!$E:$E,$B76,Dados!$C:$C,INDEX(G$3,1,1),Dados!$A:$A,INDEX($D:$E,MATCH("B",$D:$D,0),2))/COUNTIFS(Dados!$E:$E,$B76,Dados!$C:$C,INDEX(G$3,1,1),Dados!$A:$A,INDEX($D:$E,MATCH("B",$D:$D,0),2)))</f>
        <v/>
      </c>
      <c r="H76" s="68" t="str">
        <f>IF(COUNTIFS(Dados!$E:$E,$B76,Dados!$C:$C,INDEX(H$3,1,1),Dados!$A:$A,INDEX($D:$E,MATCH("B",$D:$D,0),2))=0,"",SUMIFS(Dados!$G:$G,Dados!$E:$E,$B76,Dados!$C:$C,INDEX(H$3,1,1),Dados!$A:$A,INDEX($D:$E,MATCH("B",$D:$D,0),2))/COUNTIFS(Dados!$E:$E,$B76,Dados!$C:$C,INDEX(H$3,1,1),Dados!$A:$A,INDEX($D:$E,MATCH("B",$D:$D,0),2)))</f>
        <v/>
      </c>
      <c r="I76" s="68" t="str">
        <f>IF(COUNTIFS(Dados!$E:$E,$B76,Dados!$C:$C,INDEX(I$3,1,1),Dados!$A:$A,INDEX($D:$E,MATCH("B",$D:$D,0),2))=0,"",SUMIFS(Dados!$G:$G,Dados!$E:$E,$B76,Dados!$C:$C,INDEX(I$3,1,1),Dados!$A:$A,INDEX($D:$E,MATCH("B",$D:$D,0),2))/COUNTIFS(Dados!$E:$E,$B76,Dados!$C:$C,INDEX(I$3,1,1),Dados!$A:$A,INDEX($D:$E,MATCH("B",$D:$D,0),2)))</f>
        <v/>
      </c>
      <c r="J76" s="68" t="str">
        <f>IF(COUNTIFS(Dados!$E:$E,$B76,Dados!$C:$C,INDEX(J$3,1,1),Dados!$A:$A,INDEX($D:$E,MATCH("B",$D:$D,0),2))=0,"",SUMIFS(Dados!$G:$G,Dados!$E:$E,$B76,Dados!$C:$C,INDEX(J$3,1,1),Dados!$A:$A,INDEX($D:$E,MATCH("B",$D:$D,0),2))/COUNTIFS(Dados!$E:$E,$B76,Dados!$C:$C,INDEX(J$3,1,1),Dados!$A:$A,INDEX($D:$E,MATCH("B",$D:$D,0),2)))</f>
        <v/>
      </c>
      <c r="K76" s="68" t="str">
        <f>IF(COUNTIFS(Dados!$E:$E,$B76,Dados!$C:$C,INDEX(K$3,1,1),Dados!$A:$A,INDEX($D:$E,MATCH("B",$D:$D,0),2))=0,"",SUMIFS(Dados!$G:$G,Dados!$E:$E,$B76,Dados!$C:$C,INDEX(K$3,1,1),Dados!$A:$A,INDEX($D:$E,MATCH("B",$D:$D,0),2))/COUNTIFS(Dados!$E:$E,$B76,Dados!$C:$C,INDEX(K$3,1,1),Dados!$A:$A,INDEX($D:$E,MATCH("B",$D:$D,0),2)))</f>
        <v/>
      </c>
      <c r="L76" s="68" t="str">
        <f>IF(COUNTIFS(Dados!$E:$E,$B76,Dados!$C:$C,INDEX(L$3,1,1),Dados!$A:$A,INDEX($D:$E,MATCH("B",$D:$D,0),2))=0,"",SUMIFS(Dados!$G:$G,Dados!$E:$E,$B76,Dados!$C:$C,INDEX(L$3,1,1),Dados!$A:$A,INDEX($D:$E,MATCH("B",$D:$D,0),2))/COUNTIFS(Dados!$E:$E,$B76,Dados!$C:$C,INDEX(L$3,1,1),Dados!$A:$A,INDEX($D:$E,MATCH("B",$D:$D,0),2)))</f>
        <v/>
      </c>
      <c r="M76" s="68" t="str">
        <f>IF(COUNTIFS(Dados!$E:$E,$B76,Dados!$C:$C,INDEX(M$3,1,1),Dados!$A:$A,INDEX($D:$E,MATCH("B",$D:$D,0),2))=0,"",SUMIFS(Dados!$G:$G,Dados!$E:$E,$B76,Dados!$C:$C,INDEX(M$3,1,1),Dados!$A:$A,INDEX($D:$E,MATCH("B",$D:$D,0),2))/COUNTIFS(Dados!$E:$E,$B76,Dados!$C:$C,INDEX(M$3,1,1),Dados!$A:$A,INDEX($D:$E,MATCH("B",$D:$D,0),2)))</f>
        <v/>
      </c>
      <c r="N76" s="68" t="str">
        <f>IF(COUNTIFS(Dados!$E:$E,$B76,Dados!$C:$C,INDEX(N$3,1,1),Dados!$A:$A,INDEX($D:$E,MATCH("B",$D:$D,0),2))=0,"",SUMIFS(Dados!$G:$G,Dados!$E:$E,$B76,Dados!$C:$C,INDEX(N$3,1,1),Dados!$A:$A,INDEX($D:$E,MATCH("B",$D:$D,0),2))/COUNTIFS(Dados!$E:$E,$B76,Dados!$C:$C,INDEX(N$3,1,1),Dados!$A:$A,INDEX($D:$E,MATCH("B",$D:$D,0),2)))</f>
        <v/>
      </c>
      <c r="O76" s="68" t="str">
        <f>IF(COUNTIFS(Dados!$E:$E,$B76,Dados!$C:$C,INDEX(O$3,1,1),Dados!$A:$A,INDEX($D:$E,MATCH("B",$D:$D,0),2))=0,"",SUMIFS(Dados!$G:$G,Dados!$E:$E,$B76,Dados!$C:$C,INDEX(O$3,1,1),Dados!$A:$A,INDEX($D:$E,MATCH("B",$D:$D,0),2))/COUNTIFS(Dados!$E:$E,$B76,Dados!$C:$C,INDEX(O$3,1,1),Dados!$A:$A,INDEX($D:$E,MATCH("B",$D:$D,0),2)))</f>
        <v/>
      </c>
      <c r="P76" s="68" t="str">
        <f>IF(COUNTIFS(Dados!$E:$E,$B76,Dados!$C:$C,INDEX(P$3,1,1),Dados!$A:$A,INDEX($D:$E,MATCH("B",$D:$D,0),2))=0,"",SUMIFS(Dados!$G:$G,Dados!$E:$E,$B76,Dados!$C:$C,INDEX(P$3,1,1),Dados!$A:$A,INDEX($D:$E,MATCH("B",$D:$D,0),2))/COUNTIFS(Dados!$E:$E,$B76,Dados!$C:$C,INDEX(P$3,1,1),Dados!$A:$A,INDEX($D:$E,MATCH("B",$D:$D,0),2)))</f>
        <v/>
      </c>
      <c r="Q76" s="68" t="str">
        <f>IF(COUNTIFS(Dados!$E:$E,$B76,Dados!$C:$C,INDEX(Q$3,1,1),Dados!$A:$A,INDEX($D:$E,MATCH("B",$D:$D,0),2))=0,"",SUMIFS(Dados!$G:$G,Dados!$E:$E,$B76,Dados!$C:$C,INDEX(Q$3,1,1),Dados!$A:$A,INDEX($D:$E,MATCH("B",$D:$D,0),2))/COUNTIFS(Dados!$E:$E,$B76,Dados!$C:$C,INDEX(Q$3,1,1),Dados!$A:$A,INDEX($D:$E,MATCH("B",$D:$D,0),2)))</f>
        <v/>
      </c>
      <c r="R76" s="68" t="str">
        <f>IF(COUNTIFS(Dados!$E:$E,$B76,Dados!$C:$C,INDEX(R$3,1,1),Dados!$A:$A,INDEX($D:$E,MATCH("B",$D:$D,0),2))=0,"",SUMIFS(Dados!$G:$G,Dados!$E:$E,$B76,Dados!$C:$C,INDEX(R$3,1,1),Dados!$A:$A,INDEX($D:$E,MATCH("B",$D:$D,0),2))/COUNTIFS(Dados!$E:$E,$B76,Dados!$C:$C,INDEX(R$3,1,1),Dados!$A:$A,INDEX($D:$E,MATCH("B",$D:$D,0),2)))</f>
        <v/>
      </c>
      <c r="S76" s="68" t="str">
        <f>IF(COUNTIFS(Dados!$E:$E,$B76,Dados!$C:$C,INDEX(S$3,1,1),Dados!$A:$A,INDEX($D:$E,MATCH("B",$D:$D,0),2))=0,"",SUMIFS(Dados!$G:$G,Dados!$E:$E,$B76,Dados!$C:$C,INDEX(S$3,1,1),Dados!$A:$A,INDEX($D:$E,MATCH("B",$D:$D,0),2))/COUNTIFS(Dados!$E:$E,$B76,Dados!$C:$C,INDEX(S$3,1,1),Dados!$A:$A,INDEX($D:$E,MATCH("B",$D:$D,0),2)))</f>
        <v/>
      </c>
      <c r="T76" s="68" t="str">
        <f>IF(COUNTIFS(Dados!$E:$E,$B76,Dados!$C:$C,INDEX(T$3,1,1),Dados!$A:$A,INDEX($D:$E,MATCH("B",$D:$D,0),2))=0,"",SUMIFS(Dados!$G:$G,Dados!$E:$E,$B76,Dados!$C:$C,INDEX(T$3,1,1),Dados!$A:$A,INDEX($D:$E,MATCH("B",$D:$D,0),2))/COUNTIFS(Dados!$E:$E,$B76,Dados!$C:$C,INDEX(T$3,1,1),Dados!$A:$A,INDEX($D:$E,MATCH("B",$D:$D,0),2)))</f>
        <v/>
      </c>
      <c r="U76" s="68" t="str">
        <f>IF(COUNTIFS(Dados!$E:$E,$B76,Dados!$C:$C,INDEX(U$3,1,1),Dados!$A:$A,INDEX($D:$E,MATCH("B",$D:$D,0),2))=0,"",SUMIFS(Dados!$G:$G,Dados!$E:$E,$B76,Dados!$C:$C,INDEX(U$3,1,1),Dados!$A:$A,INDEX($D:$E,MATCH("B",$D:$D,0),2))/COUNTIFS(Dados!$E:$E,$B76,Dados!$C:$C,INDEX(U$3,1,1),Dados!$A:$A,INDEX($D:$E,MATCH("B",$D:$D,0),2)))</f>
        <v/>
      </c>
      <c r="V76" s="68" t="str">
        <f>IF(COUNTIFS(Dados!$E:$E,$B76,Dados!$C:$C,INDEX(V$3,1,1),Dados!$A:$A,INDEX($D:$E,MATCH("B",$D:$D,0),2))=0,"",SUMIFS(Dados!$G:$G,Dados!$E:$E,$B76,Dados!$C:$C,INDEX(V$3,1,1),Dados!$A:$A,INDEX($D:$E,MATCH("B",$D:$D,0),2))/COUNTIFS(Dados!$E:$E,$B76,Dados!$C:$C,INDEX(V$3,1,1),Dados!$A:$A,INDEX($D:$E,MATCH("B",$D:$D,0),2)))</f>
        <v/>
      </c>
    </row>
    <row r="77" spans="2:22" x14ac:dyDescent="0.25">
      <c r="B77" s="65" t="s">
        <v>898</v>
      </c>
      <c r="C77" s="72">
        <f>VLOOKUP(B77,B4:C22,2,0)</f>
        <v>11</v>
      </c>
      <c r="D77" s="66" t="str">
        <f>IF(COUNTIFS(Dados!$E:$E,$B77,Dados!$C:$C,INDEX(D$3,1,1),Dados!$A:$A,INDEX($D:$E,MATCH("B",$D:$D,0),2))=0,"",SUMIFS(Dados!$G:$G,Dados!$E:$E,$B77,Dados!$C:$C,INDEX(D$3,1,1),Dados!$A:$A,INDEX($D:$E,MATCH("B",$D:$D,0),2))/COUNTIFS(Dados!$E:$E,$B77,Dados!$C:$C,INDEX(D$3,1,1),Dados!$A:$A,INDEX($D:$E,MATCH("B",$D:$D,0),2)))</f>
        <v/>
      </c>
      <c r="E77" s="66" t="str">
        <f>IF(COUNTIFS(Dados!$E:$E,$B77,Dados!$C:$C,INDEX(E$3,1,1),Dados!$A:$A,INDEX($D:$E,MATCH("B",$D:$D,0),2))=0,"",SUMIFS(Dados!$G:$G,Dados!$E:$E,$B77,Dados!$C:$C,INDEX(E$3,1,1),Dados!$A:$A,INDEX($D:$E,MATCH("B",$D:$D,0),2))/COUNTIFS(Dados!$E:$E,$B77,Dados!$C:$C,INDEX(E$3,1,1),Dados!$A:$A,INDEX($D:$E,MATCH("B",$D:$D,0),2)))</f>
        <v/>
      </c>
      <c r="F77" s="66" t="str">
        <f>IF(COUNTIFS(Dados!$E:$E,$B77,Dados!$C:$C,INDEX(F$3,1,1),Dados!$A:$A,INDEX($D:$E,MATCH("B",$D:$D,0),2))=0,"",SUMIFS(Dados!$G:$G,Dados!$E:$E,$B77,Dados!$C:$C,INDEX(F$3,1,1),Dados!$A:$A,INDEX($D:$E,MATCH("B",$D:$D,0),2))/COUNTIFS(Dados!$E:$E,$B77,Dados!$C:$C,INDEX(F$3,1,1),Dados!$A:$A,INDEX($D:$E,MATCH("B",$D:$D,0),2)))</f>
        <v/>
      </c>
      <c r="G77" s="66" t="str">
        <f>IF(COUNTIFS(Dados!$E:$E,$B77,Dados!$C:$C,INDEX(G$3,1,1),Dados!$A:$A,INDEX($D:$E,MATCH("B",$D:$D,0),2))=0,"",SUMIFS(Dados!$G:$G,Dados!$E:$E,$B77,Dados!$C:$C,INDEX(G$3,1,1),Dados!$A:$A,INDEX($D:$E,MATCH("B",$D:$D,0),2))/COUNTIFS(Dados!$E:$E,$B77,Dados!$C:$C,INDEX(G$3,1,1),Dados!$A:$A,INDEX($D:$E,MATCH("B",$D:$D,0),2)))</f>
        <v/>
      </c>
      <c r="H77" s="66" t="str">
        <f>IF(COUNTIFS(Dados!$E:$E,$B77,Dados!$C:$C,INDEX(H$3,1,1),Dados!$A:$A,INDEX($D:$E,MATCH("B",$D:$D,0),2))=0,"",SUMIFS(Dados!$G:$G,Dados!$E:$E,$B77,Dados!$C:$C,INDEX(H$3,1,1),Dados!$A:$A,INDEX($D:$E,MATCH("B",$D:$D,0),2))/COUNTIFS(Dados!$E:$E,$B77,Dados!$C:$C,INDEX(H$3,1,1),Dados!$A:$A,INDEX($D:$E,MATCH("B",$D:$D,0),2)))</f>
        <v/>
      </c>
      <c r="I77" s="66" t="str">
        <f>IF(COUNTIFS(Dados!$E:$E,$B77,Dados!$C:$C,INDEX(I$3,1,1),Dados!$A:$A,INDEX($D:$E,MATCH("B",$D:$D,0),2))=0,"",SUMIFS(Dados!$G:$G,Dados!$E:$E,$B77,Dados!$C:$C,INDEX(I$3,1,1),Dados!$A:$A,INDEX($D:$E,MATCH("B",$D:$D,0),2))/COUNTIFS(Dados!$E:$E,$B77,Dados!$C:$C,INDEX(I$3,1,1),Dados!$A:$A,INDEX($D:$E,MATCH("B",$D:$D,0),2)))</f>
        <v/>
      </c>
      <c r="J77" s="66" t="str">
        <f>IF(COUNTIFS(Dados!$E:$E,$B77,Dados!$C:$C,INDEX(J$3,1,1),Dados!$A:$A,INDEX($D:$E,MATCH("B",$D:$D,0),2))=0,"",SUMIFS(Dados!$G:$G,Dados!$E:$E,$B77,Dados!$C:$C,INDEX(J$3,1,1),Dados!$A:$A,INDEX($D:$E,MATCH("B",$D:$D,0),2))/COUNTIFS(Dados!$E:$E,$B77,Dados!$C:$C,INDEX(J$3,1,1),Dados!$A:$A,INDEX($D:$E,MATCH("B",$D:$D,0),2)))</f>
        <v/>
      </c>
      <c r="K77" s="66" t="str">
        <f>IF(COUNTIFS(Dados!$E:$E,$B77,Dados!$C:$C,INDEX(K$3,1,1),Dados!$A:$A,INDEX($D:$E,MATCH("B",$D:$D,0),2))=0,"",SUMIFS(Dados!$G:$G,Dados!$E:$E,$B77,Dados!$C:$C,INDEX(K$3,1,1),Dados!$A:$A,INDEX($D:$E,MATCH("B",$D:$D,0),2))/COUNTIFS(Dados!$E:$E,$B77,Dados!$C:$C,INDEX(K$3,1,1),Dados!$A:$A,INDEX($D:$E,MATCH("B",$D:$D,0),2)))</f>
        <v/>
      </c>
      <c r="L77" s="66" t="str">
        <f>IF(COUNTIFS(Dados!$E:$E,$B77,Dados!$C:$C,INDEX(L$3,1,1),Dados!$A:$A,INDEX($D:$E,MATCH("B",$D:$D,0),2))=0,"",SUMIFS(Dados!$G:$G,Dados!$E:$E,$B77,Dados!$C:$C,INDEX(L$3,1,1),Dados!$A:$A,INDEX($D:$E,MATCH("B",$D:$D,0),2))/COUNTIFS(Dados!$E:$E,$B77,Dados!$C:$C,INDEX(L$3,1,1),Dados!$A:$A,INDEX($D:$E,MATCH("B",$D:$D,0),2)))</f>
        <v/>
      </c>
      <c r="M77" s="66" t="str">
        <f>IF(COUNTIFS(Dados!$E:$E,$B77,Dados!$C:$C,INDEX(M$3,1,1),Dados!$A:$A,INDEX($D:$E,MATCH("B",$D:$D,0),2))=0,"",SUMIFS(Dados!$G:$G,Dados!$E:$E,$B77,Dados!$C:$C,INDEX(M$3,1,1),Dados!$A:$A,INDEX($D:$E,MATCH("B",$D:$D,0),2))/COUNTIFS(Dados!$E:$E,$B77,Dados!$C:$C,INDEX(M$3,1,1),Dados!$A:$A,INDEX($D:$E,MATCH("B",$D:$D,0),2)))</f>
        <v/>
      </c>
      <c r="N77" s="66" t="str">
        <f>IF(COUNTIFS(Dados!$E:$E,$B77,Dados!$C:$C,INDEX(N$3,1,1),Dados!$A:$A,INDEX($D:$E,MATCH("B",$D:$D,0),2))=0,"",SUMIFS(Dados!$G:$G,Dados!$E:$E,$B77,Dados!$C:$C,INDEX(N$3,1,1),Dados!$A:$A,INDEX($D:$E,MATCH("B",$D:$D,0),2))/COUNTIFS(Dados!$E:$E,$B77,Dados!$C:$C,INDEX(N$3,1,1),Dados!$A:$A,INDEX($D:$E,MATCH("B",$D:$D,0),2)))</f>
        <v/>
      </c>
      <c r="O77" s="66" t="str">
        <f>IF(COUNTIFS(Dados!$E:$E,$B77,Dados!$C:$C,INDEX(O$3,1,1),Dados!$A:$A,INDEX($D:$E,MATCH("B",$D:$D,0),2))=0,"",SUMIFS(Dados!$G:$G,Dados!$E:$E,$B77,Dados!$C:$C,INDEX(O$3,1,1),Dados!$A:$A,INDEX($D:$E,MATCH("B",$D:$D,0),2))/COUNTIFS(Dados!$E:$E,$B77,Dados!$C:$C,INDEX(O$3,1,1),Dados!$A:$A,INDEX($D:$E,MATCH("B",$D:$D,0),2)))</f>
        <v/>
      </c>
      <c r="P77" s="66" t="str">
        <f>IF(COUNTIFS(Dados!$E:$E,$B77,Dados!$C:$C,INDEX(P$3,1,1),Dados!$A:$A,INDEX($D:$E,MATCH("B",$D:$D,0),2))=0,"",SUMIFS(Dados!$G:$G,Dados!$E:$E,$B77,Dados!$C:$C,INDEX(P$3,1,1),Dados!$A:$A,INDEX($D:$E,MATCH("B",$D:$D,0),2))/COUNTIFS(Dados!$E:$E,$B77,Dados!$C:$C,INDEX(P$3,1,1),Dados!$A:$A,INDEX($D:$E,MATCH("B",$D:$D,0),2)))</f>
        <v/>
      </c>
      <c r="Q77" s="66" t="str">
        <f>IF(COUNTIFS(Dados!$E:$E,$B77,Dados!$C:$C,INDEX(Q$3,1,1),Dados!$A:$A,INDEX($D:$E,MATCH("B",$D:$D,0),2))=0,"",SUMIFS(Dados!$G:$G,Dados!$E:$E,$B77,Dados!$C:$C,INDEX(Q$3,1,1),Dados!$A:$A,INDEX($D:$E,MATCH("B",$D:$D,0),2))/COUNTIFS(Dados!$E:$E,$B77,Dados!$C:$C,INDEX(Q$3,1,1),Dados!$A:$A,INDEX($D:$E,MATCH("B",$D:$D,0),2)))</f>
        <v/>
      </c>
      <c r="R77" s="66" t="str">
        <f>IF(COUNTIFS(Dados!$E:$E,$B77,Dados!$C:$C,INDEX(R$3,1,1),Dados!$A:$A,INDEX($D:$E,MATCH("B",$D:$D,0),2))=0,"",SUMIFS(Dados!$G:$G,Dados!$E:$E,$B77,Dados!$C:$C,INDEX(R$3,1,1),Dados!$A:$A,INDEX($D:$E,MATCH("B",$D:$D,0),2))/COUNTIFS(Dados!$E:$E,$B77,Dados!$C:$C,INDEX(R$3,1,1),Dados!$A:$A,INDEX($D:$E,MATCH("B",$D:$D,0),2)))</f>
        <v/>
      </c>
      <c r="S77" s="66" t="str">
        <f>IF(COUNTIFS(Dados!$E:$E,$B77,Dados!$C:$C,INDEX(S$3,1,1),Dados!$A:$A,INDEX($D:$E,MATCH("B",$D:$D,0),2))=0,"",SUMIFS(Dados!$G:$G,Dados!$E:$E,$B77,Dados!$C:$C,INDEX(S$3,1,1),Dados!$A:$A,INDEX($D:$E,MATCH("B",$D:$D,0),2))/COUNTIFS(Dados!$E:$E,$B77,Dados!$C:$C,INDEX(S$3,1,1),Dados!$A:$A,INDEX($D:$E,MATCH("B",$D:$D,0),2)))</f>
        <v/>
      </c>
      <c r="T77" s="66" t="str">
        <f>IF(COUNTIFS(Dados!$E:$E,$B77,Dados!$C:$C,INDEX(T$3,1,1),Dados!$A:$A,INDEX($D:$E,MATCH("B",$D:$D,0),2))=0,"",SUMIFS(Dados!$G:$G,Dados!$E:$E,$B77,Dados!$C:$C,INDEX(T$3,1,1),Dados!$A:$A,INDEX($D:$E,MATCH("B",$D:$D,0),2))/COUNTIFS(Dados!$E:$E,$B77,Dados!$C:$C,INDEX(T$3,1,1),Dados!$A:$A,INDEX($D:$E,MATCH("B",$D:$D,0),2)))</f>
        <v/>
      </c>
      <c r="U77" s="66" t="str">
        <f>IF(COUNTIFS(Dados!$E:$E,$B77,Dados!$C:$C,INDEX(U$3,1,1),Dados!$A:$A,INDEX($D:$E,MATCH("B",$D:$D,0),2))=0,"",SUMIFS(Dados!$G:$G,Dados!$E:$E,$B77,Dados!$C:$C,INDEX(U$3,1,1),Dados!$A:$A,INDEX($D:$E,MATCH("B",$D:$D,0),2))/COUNTIFS(Dados!$E:$E,$B77,Dados!$C:$C,INDEX(U$3,1,1),Dados!$A:$A,INDEX($D:$E,MATCH("B",$D:$D,0),2)))</f>
        <v/>
      </c>
      <c r="V77" s="66" t="str">
        <f>IF(COUNTIFS(Dados!$E:$E,$B77,Dados!$C:$C,INDEX(V$3,1,1),Dados!$A:$A,INDEX($D:$E,MATCH("B",$D:$D,0),2))=0,"",SUMIFS(Dados!$G:$G,Dados!$E:$E,$B77,Dados!$C:$C,INDEX(V$3,1,1),Dados!$A:$A,INDEX($D:$E,MATCH("B",$D:$D,0),2))/COUNTIFS(Dados!$E:$E,$B77,Dados!$C:$C,INDEX(V$3,1,1),Dados!$A:$A,INDEX($D:$E,MATCH("B",$D:$D,0),2)))</f>
        <v/>
      </c>
    </row>
    <row r="78" spans="2:22" x14ac:dyDescent="0.25">
      <c r="B78" s="67" t="s">
        <v>1301</v>
      </c>
      <c r="C78" s="71">
        <f>VLOOKUP(B78,B4:C22,2,0)</f>
        <v>12</v>
      </c>
      <c r="D78" s="68" t="str">
        <f>IF(COUNTIFS(Dados!$E:$E,$B78,Dados!$C:$C,INDEX(D$3,1,1),Dados!$A:$A,INDEX($D:$E,MATCH("B",$D:$D,0),2))=0,"",SUMIFS(Dados!$G:$G,Dados!$E:$E,$B78,Dados!$C:$C,INDEX(D$3,1,1),Dados!$A:$A,INDEX($D:$E,MATCH("B",$D:$D,0),2))/COUNTIFS(Dados!$E:$E,$B78,Dados!$C:$C,INDEX(D$3,1,1),Dados!$A:$A,INDEX($D:$E,MATCH("B",$D:$D,0),2)))</f>
        <v/>
      </c>
      <c r="E78" s="68" t="str">
        <f>IF(COUNTIFS(Dados!$E:$E,$B78,Dados!$C:$C,INDEX(E$3,1,1),Dados!$A:$A,INDEX($D:$E,MATCH("B",$D:$D,0),2))=0,"",SUMIFS(Dados!$G:$G,Dados!$E:$E,$B78,Dados!$C:$C,INDEX(E$3,1,1),Dados!$A:$A,INDEX($D:$E,MATCH("B",$D:$D,0),2))/COUNTIFS(Dados!$E:$E,$B78,Dados!$C:$C,INDEX(E$3,1,1),Dados!$A:$A,INDEX($D:$E,MATCH("B",$D:$D,0),2)))</f>
        <v/>
      </c>
      <c r="F78" s="68" t="str">
        <f>IF(COUNTIFS(Dados!$E:$E,$B78,Dados!$C:$C,INDEX(F$3,1,1),Dados!$A:$A,INDEX($D:$E,MATCH("B",$D:$D,0),2))=0,"",SUMIFS(Dados!$G:$G,Dados!$E:$E,$B78,Dados!$C:$C,INDEX(F$3,1,1),Dados!$A:$A,INDEX($D:$E,MATCH("B",$D:$D,0),2))/COUNTIFS(Dados!$E:$E,$B78,Dados!$C:$C,INDEX(F$3,1,1),Dados!$A:$A,INDEX($D:$E,MATCH("B",$D:$D,0),2)))</f>
        <v/>
      </c>
      <c r="G78" s="68" t="str">
        <f>IF(COUNTIFS(Dados!$E:$E,$B78,Dados!$C:$C,INDEX(G$3,1,1),Dados!$A:$A,INDEX($D:$E,MATCH("B",$D:$D,0),2))=0,"",SUMIFS(Dados!$G:$G,Dados!$E:$E,$B78,Dados!$C:$C,INDEX(G$3,1,1),Dados!$A:$A,INDEX($D:$E,MATCH("B",$D:$D,0),2))/COUNTIFS(Dados!$E:$E,$B78,Dados!$C:$C,INDEX(G$3,1,1),Dados!$A:$A,INDEX($D:$E,MATCH("B",$D:$D,0),2)))</f>
        <v/>
      </c>
      <c r="H78" s="68" t="str">
        <f>IF(COUNTIFS(Dados!$E:$E,$B78,Dados!$C:$C,INDEX(H$3,1,1),Dados!$A:$A,INDEX($D:$E,MATCH("B",$D:$D,0),2))=0,"",SUMIFS(Dados!$G:$G,Dados!$E:$E,$B78,Dados!$C:$C,INDEX(H$3,1,1),Dados!$A:$A,INDEX($D:$E,MATCH("B",$D:$D,0),2))/COUNTIFS(Dados!$E:$E,$B78,Dados!$C:$C,INDEX(H$3,1,1),Dados!$A:$A,INDEX($D:$E,MATCH("B",$D:$D,0),2)))</f>
        <v/>
      </c>
      <c r="I78" s="68" t="str">
        <f>IF(COUNTIFS(Dados!$E:$E,$B78,Dados!$C:$C,INDEX(I$3,1,1),Dados!$A:$A,INDEX($D:$E,MATCH("B",$D:$D,0),2))=0,"",SUMIFS(Dados!$G:$G,Dados!$E:$E,$B78,Dados!$C:$C,INDEX(I$3,1,1),Dados!$A:$A,INDEX($D:$E,MATCH("B",$D:$D,0),2))/COUNTIFS(Dados!$E:$E,$B78,Dados!$C:$C,INDEX(I$3,1,1),Dados!$A:$A,INDEX($D:$E,MATCH("B",$D:$D,0),2)))</f>
        <v/>
      </c>
      <c r="J78" s="68" t="str">
        <f>IF(COUNTIFS(Dados!$E:$E,$B78,Dados!$C:$C,INDEX(J$3,1,1),Dados!$A:$A,INDEX($D:$E,MATCH("B",$D:$D,0),2))=0,"",SUMIFS(Dados!$G:$G,Dados!$E:$E,$B78,Dados!$C:$C,INDEX(J$3,1,1),Dados!$A:$A,INDEX($D:$E,MATCH("B",$D:$D,0),2))/COUNTIFS(Dados!$E:$E,$B78,Dados!$C:$C,INDEX(J$3,1,1),Dados!$A:$A,INDEX($D:$E,MATCH("B",$D:$D,0),2)))</f>
        <v/>
      </c>
      <c r="K78" s="68" t="str">
        <f>IF(COUNTIFS(Dados!$E:$E,$B78,Dados!$C:$C,INDEX(K$3,1,1),Dados!$A:$A,INDEX($D:$E,MATCH("B",$D:$D,0),2))=0,"",SUMIFS(Dados!$G:$G,Dados!$E:$E,$B78,Dados!$C:$C,INDEX(K$3,1,1),Dados!$A:$A,INDEX($D:$E,MATCH("B",$D:$D,0),2))/COUNTIFS(Dados!$E:$E,$B78,Dados!$C:$C,INDEX(K$3,1,1),Dados!$A:$A,INDEX($D:$E,MATCH("B",$D:$D,0),2)))</f>
        <v/>
      </c>
      <c r="L78" s="68" t="str">
        <f>IF(COUNTIFS(Dados!$E:$E,$B78,Dados!$C:$C,INDEX(L$3,1,1),Dados!$A:$A,INDEX($D:$E,MATCH("B",$D:$D,0),2))=0,"",SUMIFS(Dados!$G:$G,Dados!$E:$E,$B78,Dados!$C:$C,INDEX(L$3,1,1),Dados!$A:$A,INDEX($D:$E,MATCH("B",$D:$D,0),2))/COUNTIFS(Dados!$E:$E,$B78,Dados!$C:$C,INDEX(L$3,1,1),Dados!$A:$A,INDEX($D:$E,MATCH("B",$D:$D,0),2)))</f>
        <v/>
      </c>
      <c r="M78" s="68" t="str">
        <f>IF(COUNTIFS(Dados!$E:$E,$B78,Dados!$C:$C,INDEX(M$3,1,1),Dados!$A:$A,INDEX($D:$E,MATCH("B",$D:$D,0),2))=0,"",SUMIFS(Dados!$G:$G,Dados!$E:$E,$B78,Dados!$C:$C,INDEX(M$3,1,1),Dados!$A:$A,INDEX($D:$E,MATCH("B",$D:$D,0),2))/COUNTIFS(Dados!$E:$E,$B78,Dados!$C:$C,INDEX(M$3,1,1),Dados!$A:$A,INDEX($D:$E,MATCH("B",$D:$D,0),2)))</f>
        <v/>
      </c>
      <c r="N78" s="68" t="str">
        <f>IF(COUNTIFS(Dados!$E:$E,$B78,Dados!$C:$C,INDEX(N$3,1,1),Dados!$A:$A,INDEX($D:$E,MATCH("B",$D:$D,0),2))=0,"",SUMIFS(Dados!$G:$G,Dados!$E:$E,$B78,Dados!$C:$C,INDEX(N$3,1,1),Dados!$A:$A,INDEX($D:$E,MATCH("B",$D:$D,0),2))/COUNTIFS(Dados!$E:$E,$B78,Dados!$C:$C,INDEX(N$3,1,1),Dados!$A:$A,INDEX($D:$E,MATCH("B",$D:$D,0),2)))</f>
        <v/>
      </c>
      <c r="O78" s="68" t="str">
        <f>IF(COUNTIFS(Dados!$E:$E,$B78,Dados!$C:$C,INDEX(O$3,1,1),Dados!$A:$A,INDEX($D:$E,MATCH("B",$D:$D,0),2))=0,"",SUMIFS(Dados!$G:$G,Dados!$E:$E,$B78,Dados!$C:$C,INDEX(O$3,1,1),Dados!$A:$A,INDEX($D:$E,MATCH("B",$D:$D,0),2))/COUNTIFS(Dados!$E:$E,$B78,Dados!$C:$C,INDEX(O$3,1,1),Dados!$A:$A,INDEX($D:$E,MATCH("B",$D:$D,0),2)))</f>
        <v/>
      </c>
      <c r="P78" s="68" t="str">
        <f>IF(COUNTIFS(Dados!$E:$E,$B78,Dados!$C:$C,INDEX(P$3,1,1),Dados!$A:$A,INDEX($D:$E,MATCH("B",$D:$D,0),2))=0,"",SUMIFS(Dados!$G:$G,Dados!$E:$E,$B78,Dados!$C:$C,INDEX(P$3,1,1),Dados!$A:$A,INDEX($D:$E,MATCH("B",$D:$D,0),2))/COUNTIFS(Dados!$E:$E,$B78,Dados!$C:$C,INDEX(P$3,1,1),Dados!$A:$A,INDEX($D:$E,MATCH("B",$D:$D,0),2)))</f>
        <v/>
      </c>
      <c r="Q78" s="68" t="str">
        <f>IF(COUNTIFS(Dados!$E:$E,$B78,Dados!$C:$C,INDEX(Q$3,1,1),Dados!$A:$A,INDEX($D:$E,MATCH("B",$D:$D,0),2))=0,"",SUMIFS(Dados!$G:$G,Dados!$E:$E,$B78,Dados!$C:$C,INDEX(Q$3,1,1),Dados!$A:$A,INDEX($D:$E,MATCH("B",$D:$D,0),2))/COUNTIFS(Dados!$E:$E,$B78,Dados!$C:$C,INDEX(Q$3,1,1),Dados!$A:$A,INDEX($D:$E,MATCH("B",$D:$D,0),2)))</f>
        <v/>
      </c>
      <c r="R78" s="68" t="str">
        <f>IF(COUNTIFS(Dados!$E:$E,$B78,Dados!$C:$C,INDEX(R$3,1,1),Dados!$A:$A,INDEX($D:$E,MATCH("B",$D:$D,0),2))=0,"",SUMIFS(Dados!$G:$G,Dados!$E:$E,$B78,Dados!$C:$C,INDEX(R$3,1,1),Dados!$A:$A,INDEX($D:$E,MATCH("B",$D:$D,0),2))/COUNTIFS(Dados!$E:$E,$B78,Dados!$C:$C,INDEX(R$3,1,1),Dados!$A:$A,INDEX($D:$E,MATCH("B",$D:$D,0),2)))</f>
        <v/>
      </c>
      <c r="S78" s="68" t="str">
        <f>IF(COUNTIFS(Dados!$E:$E,$B78,Dados!$C:$C,INDEX(S$3,1,1),Dados!$A:$A,INDEX($D:$E,MATCH("B",$D:$D,0),2))=0,"",SUMIFS(Dados!$G:$G,Dados!$E:$E,$B78,Dados!$C:$C,INDEX(S$3,1,1),Dados!$A:$A,INDEX($D:$E,MATCH("B",$D:$D,0),2))/COUNTIFS(Dados!$E:$E,$B78,Dados!$C:$C,INDEX(S$3,1,1),Dados!$A:$A,INDEX($D:$E,MATCH("B",$D:$D,0),2)))</f>
        <v/>
      </c>
      <c r="T78" s="68" t="str">
        <f>IF(COUNTIFS(Dados!$E:$E,$B78,Dados!$C:$C,INDEX(T$3,1,1),Dados!$A:$A,INDEX($D:$E,MATCH("B",$D:$D,0),2))=0,"",SUMIFS(Dados!$G:$G,Dados!$E:$E,$B78,Dados!$C:$C,INDEX(T$3,1,1),Dados!$A:$A,INDEX($D:$E,MATCH("B",$D:$D,0),2))/COUNTIFS(Dados!$E:$E,$B78,Dados!$C:$C,INDEX(T$3,1,1),Dados!$A:$A,INDEX($D:$E,MATCH("B",$D:$D,0),2)))</f>
        <v/>
      </c>
      <c r="U78" s="68" t="str">
        <f>IF(COUNTIFS(Dados!$E:$E,$B78,Dados!$C:$C,INDEX(U$3,1,1),Dados!$A:$A,INDEX($D:$E,MATCH("B",$D:$D,0),2))=0,"",SUMIFS(Dados!$G:$G,Dados!$E:$E,$B78,Dados!$C:$C,INDEX(U$3,1,1),Dados!$A:$A,INDEX($D:$E,MATCH("B",$D:$D,0),2))/COUNTIFS(Dados!$E:$E,$B78,Dados!$C:$C,INDEX(U$3,1,1),Dados!$A:$A,INDEX($D:$E,MATCH("B",$D:$D,0),2)))</f>
        <v/>
      </c>
      <c r="V78" s="68" t="str">
        <f>IF(COUNTIFS(Dados!$E:$E,$B78,Dados!$C:$C,INDEX(V$3,1,1),Dados!$A:$A,INDEX($D:$E,MATCH("B",$D:$D,0),2))=0,"",SUMIFS(Dados!$G:$G,Dados!$E:$E,$B78,Dados!$C:$C,INDEX(V$3,1,1),Dados!$A:$A,INDEX($D:$E,MATCH("B",$D:$D,0),2))/COUNTIFS(Dados!$E:$E,$B78,Dados!$C:$C,INDEX(V$3,1,1),Dados!$A:$A,INDEX($D:$E,MATCH("B",$D:$D,0),2)))</f>
        <v/>
      </c>
    </row>
    <row r="79" spans="2:22" x14ac:dyDescent="0.25">
      <c r="B79" s="65" t="s">
        <v>1302</v>
      </c>
      <c r="C79" s="72">
        <f>VLOOKUP(B79,B4:C22,2,0)</f>
        <v>13</v>
      </c>
      <c r="D79" s="66" t="str">
        <f>IF(COUNTIFS(Dados!$E:$E,$B79,Dados!$C:$C,INDEX(D$3,1,1),Dados!$A:$A,INDEX($D:$E,MATCH("B",$D:$D,0),2))=0,"",SUMIFS(Dados!$G:$G,Dados!$E:$E,$B79,Dados!$C:$C,INDEX(D$3,1,1),Dados!$A:$A,INDEX($D:$E,MATCH("B",$D:$D,0),2))/COUNTIFS(Dados!$E:$E,$B79,Dados!$C:$C,INDEX(D$3,1,1),Dados!$A:$A,INDEX($D:$E,MATCH("B",$D:$D,0),2)))</f>
        <v/>
      </c>
      <c r="E79" s="66" t="str">
        <f>IF(COUNTIFS(Dados!$E:$E,$B79,Dados!$C:$C,INDEX(E$3,1,1),Dados!$A:$A,INDEX($D:$E,MATCH("B",$D:$D,0),2))=0,"",SUMIFS(Dados!$G:$G,Dados!$E:$E,$B79,Dados!$C:$C,INDEX(E$3,1,1),Dados!$A:$A,INDEX($D:$E,MATCH("B",$D:$D,0),2))/COUNTIFS(Dados!$E:$E,$B79,Dados!$C:$C,INDEX(E$3,1,1),Dados!$A:$A,INDEX($D:$E,MATCH("B",$D:$D,0),2)))</f>
        <v/>
      </c>
      <c r="F79" s="66" t="str">
        <f>IF(COUNTIFS(Dados!$E:$E,$B79,Dados!$C:$C,INDEX(F$3,1,1),Dados!$A:$A,INDEX($D:$E,MATCH("B",$D:$D,0),2))=0,"",SUMIFS(Dados!$G:$G,Dados!$E:$E,$B79,Dados!$C:$C,INDEX(F$3,1,1),Dados!$A:$A,INDEX($D:$E,MATCH("B",$D:$D,0),2))/COUNTIFS(Dados!$E:$E,$B79,Dados!$C:$C,INDEX(F$3,1,1),Dados!$A:$A,INDEX($D:$E,MATCH("B",$D:$D,0),2)))</f>
        <v/>
      </c>
      <c r="G79" s="66" t="str">
        <f>IF(COUNTIFS(Dados!$E:$E,$B79,Dados!$C:$C,INDEX(G$3,1,1),Dados!$A:$A,INDEX($D:$E,MATCH("B",$D:$D,0),2))=0,"",SUMIFS(Dados!$G:$G,Dados!$E:$E,$B79,Dados!$C:$C,INDEX(G$3,1,1),Dados!$A:$A,INDEX($D:$E,MATCH("B",$D:$D,0),2))/COUNTIFS(Dados!$E:$E,$B79,Dados!$C:$C,INDEX(G$3,1,1),Dados!$A:$A,INDEX($D:$E,MATCH("B",$D:$D,0),2)))</f>
        <v/>
      </c>
      <c r="H79" s="66" t="str">
        <f>IF(COUNTIFS(Dados!$E:$E,$B79,Dados!$C:$C,INDEX(H$3,1,1),Dados!$A:$A,INDEX($D:$E,MATCH("B",$D:$D,0),2))=0,"",SUMIFS(Dados!$G:$G,Dados!$E:$E,$B79,Dados!$C:$C,INDEX(H$3,1,1),Dados!$A:$A,INDEX($D:$E,MATCH("B",$D:$D,0),2))/COUNTIFS(Dados!$E:$E,$B79,Dados!$C:$C,INDEX(H$3,1,1),Dados!$A:$A,INDEX($D:$E,MATCH("B",$D:$D,0),2)))</f>
        <v/>
      </c>
      <c r="I79" s="66" t="str">
        <f>IF(COUNTIFS(Dados!$E:$E,$B79,Dados!$C:$C,INDEX(I$3,1,1),Dados!$A:$A,INDEX($D:$E,MATCH("B",$D:$D,0),2))=0,"",SUMIFS(Dados!$G:$G,Dados!$E:$E,$B79,Dados!$C:$C,INDEX(I$3,1,1),Dados!$A:$A,INDEX($D:$E,MATCH("B",$D:$D,0),2))/COUNTIFS(Dados!$E:$E,$B79,Dados!$C:$C,INDEX(I$3,1,1),Dados!$A:$A,INDEX($D:$E,MATCH("B",$D:$D,0),2)))</f>
        <v/>
      </c>
      <c r="J79" s="66" t="str">
        <f>IF(COUNTIFS(Dados!$E:$E,$B79,Dados!$C:$C,INDEX(J$3,1,1),Dados!$A:$A,INDEX($D:$E,MATCH("B",$D:$D,0),2))=0,"",SUMIFS(Dados!$G:$G,Dados!$E:$E,$B79,Dados!$C:$C,INDEX(J$3,1,1),Dados!$A:$A,INDEX($D:$E,MATCH("B",$D:$D,0),2))/COUNTIFS(Dados!$E:$E,$B79,Dados!$C:$C,INDEX(J$3,1,1),Dados!$A:$A,INDEX($D:$E,MATCH("B",$D:$D,0),2)))</f>
        <v/>
      </c>
      <c r="K79" s="66" t="str">
        <f>IF(COUNTIFS(Dados!$E:$E,$B79,Dados!$C:$C,INDEX(K$3,1,1),Dados!$A:$A,INDEX($D:$E,MATCH("B",$D:$D,0),2))=0,"",SUMIFS(Dados!$G:$G,Dados!$E:$E,$B79,Dados!$C:$C,INDEX(K$3,1,1),Dados!$A:$A,INDEX($D:$E,MATCH("B",$D:$D,0),2))/COUNTIFS(Dados!$E:$E,$B79,Dados!$C:$C,INDEX(K$3,1,1),Dados!$A:$A,INDEX($D:$E,MATCH("B",$D:$D,0),2)))</f>
        <v/>
      </c>
      <c r="L79" s="66" t="str">
        <f>IF(COUNTIFS(Dados!$E:$E,$B79,Dados!$C:$C,INDEX(L$3,1,1),Dados!$A:$A,INDEX($D:$E,MATCH("B",$D:$D,0),2))=0,"",SUMIFS(Dados!$G:$G,Dados!$E:$E,$B79,Dados!$C:$C,INDEX(L$3,1,1),Dados!$A:$A,INDEX($D:$E,MATCH("B",$D:$D,0),2))/COUNTIFS(Dados!$E:$E,$B79,Dados!$C:$C,INDEX(L$3,1,1),Dados!$A:$A,INDEX($D:$E,MATCH("B",$D:$D,0),2)))</f>
        <v/>
      </c>
      <c r="M79" s="66" t="str">
        <f>IF(COUNTIFS(Dados!$E:$E,$B79,Dados!$C:$C,INDEX(M$3,1,1),Dados!$A:$A,INDEX($D:$E,MATCH("B",$D:$D,0),2))=0,"",SUMIFS(Dados!$G:$G,Dados!$E:$E,$B79,Dados!$C:$C,INDEX(M$3,1,1),Dados!$A:$A,INDEX($D:$E,MATCH("B",$D:$D,0),2))/COUNTIFS(Dados!$E:$E,$B79,Dados!$C:$C,INDEX(M$3,1,1),Dados!$A:$A,INDEX($D:$E,MATCH("B",$D:$D,0),2)))</f>
        <v/>
      </c>
      <c r="N79" s="66" t="str">
        <f>IF(COUNTIFS(Dados!$E:$E,$B79,Dados!$C:$C,INDEX(N$3,1,1),Dados!$A:$A,INDEX($D:$E,MATCH("B",$D:$D,0),2))=0,"",SUMIFS(Dados!$G:$G,Dados!$E:$E,$B79,Dados!$C:$C,INDEX(N$3,1,1),Dados!$A:$A,INDEX($D:$E,MATCH("B",$D:$D,0),2))/COUNTIFS(Dados!$E:$E,$B79,Dados!$C:$C,INDEX(N$3,1,1),Dados!$A:$A,INDEX($D:$E,MATCH("B",$D:$D,0),2)))</f>
        <v/>
      </c>
      <c r="O79" s="66" t="str">
        <f>IF(COUNTIFS(Dados!$E:$E,$B79,Dados!$C:$C,INDEX(O$3,1,1),Dados!$A:$A,INDEX($D:$E,MATCH("B",$D:$D,0),2))=0,"",SUMIFS(Dados!$G:$G,Dados!$E:$E,$B79,Dados!$C:$C,INDEX(O$3,1,1),Dados!$A:$A,INDEX($D:$E,MATCH("B",$D:$D,0),2))/COUNTIFS(Dados!$E:$E,$B79,Dados!$C:$C,INDEX(O$3,1,1),Dados!$A:$A,INDEX($D:$E,MATCH("B",$D:$D,0),2)))</f>
        <v/>
      </c>
      <c r="P79" s="66" t="str">
        <f>IF(COUNTIFS(Dados!$E:$E,$B79,Dados!$C:$C,INDEX(P$3,1,1),Dados!$A:$A,INDEX($D:$E,MATCH("B",$D:$D,0),2))=0,"",SUMIFS(Dados!$G:$G,Dados!$E:$E,$B79,Dados!$C:$C,INDEX(P$3,1,1),Dados!$A:$A,INDEX($D:$E,MATCH("B",$D:$D,0),2))/COUNTIFS(Dados!$E:$E,$B79,Dados!$C:$C,INDEX(P$3,1,1),Dados!$A:$A,INDEX($D:$E,MATCH("B",$D:$D,0),2)))</f>
        <v/>
      </c>
      <c r="Q79" s="66" t="str">
        <f>IF(COUNTIFS(Dados!$E:$E,$B79,Dados!$C:$C,INDEX(Q$3,1,1),Dados!$A:$A,INDEX($D:$E,MATCH("B",$D:$D,0),2))=0,"",SUMIFS(Dados!$G:$G,Dados!$E:$E,$B79,Dados!$C:$C,INDEX(Q$3,1,1),Dados!$A:$A,INDEX($D:$E,MATCH("B",$D:$D,0),2))/COUNTIFS(Dados!$E:$E,$B79,Dados!$C:$C,INDEX(Q$3,1,1),Dados!$A:$A,INDEX($D:$E,MATCH("B",$D:$D,0),2)))</f>
        <v/>
      </c>
      <c r="R79" s="66" t="str">
        <f>IF(COUNTIFS(Dados!$E:$E,$B79,Dados!$C:$C,INDEX(R$3,1,1),Dados!$A:$A,INDEX($D:$E,MATCH("B",$D:$D,0),2))=0,"",SUMIFS(Dados!$G:$G,Dados!$E:$E,$B79,Dados!$C:$C,INDEX(R$3,1,1),Dados!$A:$A,INDEX($D:$E,MATCH("B",$D:$D,0),2))/COUNTIFS(Dados!$E:$E,$B79,Dados!$C:$C,INDEX(R$3,1,1),Dados!$A:$A,INDEX($D:$E,MATCH("B",$D:$D,0),2)))</f>
        <v/>
      </c>
      <c r="S79" s="66" t="str">
        <f>IF(COUNTIFS(Dados!$E:$E,$B79,Dados!$C:$C,INDEX(S$3,1,1),Dados!$A:$A,INDEX($D:$E,MATCH("B",$D:$D,0),2))=0,"",SUMIFS(Dados!$G:$G,Dados!$E:$E,$B79,Dados!$C:$C,INDEX(S$3,1,1),Dados!$A:$A,INDEX($D:$E,MATCH("B",$D:$D,0),2))/COUNTIFS(Dados!$E:$E,$B79,Dados!$C:$C,INDEX(S$3,1,1),Dados!$A:$A,INDEX($D:$E,MATCH("B",$D:$D,0),2)))</f>
        <v/>
      </c>
      <c r="T79" s="66" t="str">
        <f>IF(COUNTIFS(Dados!$E:$E,$B79,Dados!$C:$C,INDEX(T$3,1,1),Dados!$A:$A,INDEX($D:$E,MATCH("B",$D:$D,0),2))=0,"",SUMIFS(Dados!$G:$G,Dados!$E:$E,$B79,Dados!$C:$C,INDEX(T$3,1,1),Dados!$A:$A,INDEX($D:$E,MATCH("B",$D:$D,0),2))/COUNTIFS(Dados!$E:$E,$B79,Dados!$C:$C,INDEX(T$3,1,1),Dados!$A:$A,INDEX($D:$E,MATCH("B",$D:$D,0),2)))</f>
        <v/>
      </c>
      <c r="U79" s="66" t="str">
        <f>IF(COUNTIFS(Dados!$E:$E,$B79,Dados!$C:$C,INDEX(U$3,1,1),Dados!$A:$A,INDEX($D:$E,MATCH("B",$D:$D,0),2))=0,"",SUMIFS(Dados!$G:$G,Dados!$E:$E,$B79,Dados!$C:$C,INDEX(U$3,1,1),Dados!$A:$A,INDEX($D:$E,MATCH("B",$D:$D,0),2))/COUNTIFS(Dados!$E:$E,$B79,Dados!$C:$C,INDEX(U$3,1,1),Dados!$A:$A,INDEX($D:$E,MATCH("B",$D:$D,0),2)))</f>
        <v/>
      </c>
      <c r="V79" s="66" t="str">
        <f>IF(COUNTIFS(Dados!$E:$E,$B79,Dados!$C:$C,INDEX(V$3,1,1),Dados!$A:$A,INDEX($D:$E,MATCH("B",$D:$D,0),2))=0,"",SUMIFS(Dados!$G:$G,Dados!$E:$E,$B79,Dados!$C:$C,INDEX(V$3,1,1),Dados!$A:$A,INDEX($D:$E,MATCH("B",$D:$D,0),2))/COUNTIFS(Dados!$E:$E,$B79,Dados!$C:$C,INDEX(V$3,1,1),Dados!$A:$A,INDEX($D:$E,MATCH("B",$D:$D,0),2)))</f>
        <v/>
      </c>
    </row>
    <row r="80" spans="2:22" x14ac:dyDescent="0.25">
      <c r="B80" s="67" t="s">
        <v>1296</v>
      </c>
      <c r="C80" s="71">
        <f>VLOOKUP(B80,B4:C22,2,0)</f>
        <v>14</v>
      </c>
      <c r="D80" s="68" t="str">
        <f>IF(COUNTIFS(Dados!$E:$E,$B80,Dados!$C:$C,INDEX(D$3,1,1),Dados!$A:$A,INDEX($D:$E,MATCH("B",$D:$D,0),2))=0,"",SUMIFS(Dados!$G:$G,Dados!$E:$E,$B80,Dados!$C:$C,INDEX(D$3,1,1),Dados!$A:$A,INDEX($D:$E,MATCH("B",$D:$D,0),2))/COUNTIFS(Dados!$E:$E,$B80,Dados!$C:$C,INDEX(D$3,1,1),Dados!$A:$A,INDEX($D:$E,MATCH("B",$D:$D,0),2)))</f>
        <v/>
      </c>
      <c r="E80" s="68" t="str">
        <f>IF(COUNTIFS(Dados!$E:$E,$B80,Dados!$C:$C,INDEX(E$3,1,1),Dados!$A:$A,INDEX($D:$E,MATCH("B",$D:$D,0),2))=0,"",SUMIFS(Dados!$G:$G,Dados!$E:$E,$B80,Dados!$C:$C,INDEX(E$3,1,1),Dados!$A:$A,INDEX($D:$E,MATCH("B",$D:$D,0),2))/COUNTIFS(Dados!$E:$E,$B80,Dados!$C:$C,INDEX(E$3,1,1),Dados!$A:$A,INDEX($D:$E,MATCH("B",$D:$D,0),2)))</f>
        <v/>
      </c>
      <c r="F80" s="68" t="str">
        <f>IF(COUNTIFS(Dados!$E:$E,$B80,Dados!$C:$C,INDEX(F$3,1,1),Dados!$A:$A,INDEX($D:$E,MATCH("B",$D:$D,0),2))=0,"",SUMIFS(Dados!$G:$G,Dados!$E:$E,$B80,Dados!$C:$C,INDEX(F$3,1,1),Dados!$A:$A,INDEX($D:$E,MATCH("B",$D:$D,0),2))/COUNTIFS(Dados!$E:$E,$B80,Dados!$C:$C,INDEX(F$3,1,1),Dados!$A:$A,INDEX($D:$E,MATCH("B",$D:$D,0),2)))</f>
        <v/>
      </c>
      <c r="G80" s="68" t="str">
        <f>IF(COUNTIFS(Dados!$E:$E,$B80,Dados!$C:$C,INDEX(G$3,1,1),Dados!$A:$A,INDEX($D:$E,MATCH("B",$D:$D,0),2))=0,"",SUMIFS(Dados!$G:$G,Dados!$E:$E,$B80,Dados!$C:$C,INDEX(G$3,1,1),Dados!$A:$A,INDEX($D:$E,MATCH("B",$D:$D,0),2))/COUNTIFS(Dados!$E:$E,$B80,Dados!$C:$C,INDEX(G$3,1,1),Dados!$A:$A,INDEX($D:$E,MATCH("B",$D:$D,0),2)))</f>
        <v/>
      </c>
      <c r="H80" s="68" t="str">
        <f>IF(COUNTIFS(Dados!$E:$E,$B80,Dados!$C:$C,INDEX(H$3,1,1),Dados!$A:$A,INDEX($D:$E,MATCH("B",$D:$D,0),2))=0,"",SUMIFS(Dados!$G:$G,Dados!$E:$E,$B80,Dados!$C:$C,INDEX(H$3,1,1),Dados!$A:$A,INDEX($D:$E,MATCH("B",$D:$D,0),2))/COUNTIFS(Dados!$E:$E,$B80,Dados!$C:$C,INDEX(H$3,1,1),Dados!$A:$A,INDEX($D:$E,MATCH("B",$D:$D,0),2)))</f>
        <v/>
      </c>
      <c r="I80" s="68" t="str">
        <f>IF(COUNTIFS(Dados!$E:$E,$B80,Dados!$C:$C,INDEX(I$3,1,1),Dados!$A:$A,INDEX($D:$E,MATCH("B",$D:$D,0),2))=0,"",SUMIFS(Dados!$G:$G,Dados!$E:$E,$B80,Dados!$C:$C,INDEX(I$3,1,1),Dados!$A:$A,INDEX($D:$E,MATCH("B",$D:$D,0),2))/COUNTIFS(Dados!$E:$E,$B80,Dados!$C:$C,INDEX(I$3,1,1),Dados!$A:$A,INDEX($D:$E,MATCH("B",$D:$D,0),2)))</f>
        <v/>
      </c>
      <c r="J80" s="68" t="str">
        <f>IF(COUNTIFS(Dados!$E:$E,$B80,Dados!$C:$C,INDEX(J$3,1,1),Dados!$A:$A,INDEX($D:$E,MATCH("B",$D:$D,0),2))=0,"",SUMIFS(Dados!$G:$G,Dados!$E:$E,$B80,Dados!$C:$C,INDEX(J$3,1,1),Dados!$A:$A,INDEX($D:$E,MATCH("B",$D:$D,0),2))/COUNTIFS(Dados!$E:$E,$B80,Dados!$C:$C,INDEX(J$3,1,1),Dados!$A:$A,INDEX($D:$E,MATCH("B",$D:$D,0),2)))</f>
        <v/>
      </c>
      <c r="K80" s="68" t="str">
        <f>IF(COUNTIFS(Dados!$E:$E,$B80,Dados!$C:$C,INDEX(K$3,1,1),Dados!$A:$A,INDEX($D:$E,MATCH("B",$D:$D,0),2))=0,"",SUMIFS(Dados!$G:$G,Dados!$E:$E,$B80,Dados!$C:$C,INDEX(K$3,1,1),Dados!$A:$A,INDEX($D:$E,MATCH("B",$D:$D,0),2))/COUNTIFS(Dados!$E:$E,$B80,Dados!$C:$C,INDEX(K$3,1,1),Dados!$A:$A,INDEX($D:$E,MATCH("B",$D:$D,0),2)))</f>
        <v/>
      </c>
      <c r="L80" s="68" t="str">
        <f>IF(COUNTIFS(Dados!$E:$E,$B80,Dados!$C:$C,INDEX(L$3,1,1),Dados!$A:$A,INDEX($D:$E,MATCH("B",$D:$D,0),2))=0,"",SUMIFS(Dados!$G:$G,Dados!$E:$E,$B80,Dados!$C:$C,INDEX(L$3,1,1),Dados!$A:$A,INDEX($D:$E,MATCH("B",$D:$D,0),2))/COUNTIFS(Dados!$E:$E,$B80,Dados!$C:$C,INDEX(L$3,1,1),Dados!$A:$A,INDEX($D:$E,MATCH("B",$D:$D,0),2)))</f>
        <v/>
      </c>
      <c r="M80" s="68" t="str">
        <f>IF(COUNTIFS(Dados!$E:$E,$B80,Dados!$C:$C,INDEX(M$3,1,1),Dados!$A:$A,INDEX($D:$E,MATCH("B",$D:$D,0),2))=0,"",SUMIFS(Dados!$G:$G,Dados!$E:$E,$B80,Dados!$C:$C,INDEX(M$3,1,1),Dados!$A:$A,INDEX($D:$E,MATCH("B",$D:$D,0),2))/COUNTIFS(Dados!$E:$E,$B80,Dados!$C:$C,INDEX(M$3,1,1),Dados!$A:$A,INDEX($D:$E,MATCH("B",$D:$D,0),2)))</f>
        <v/>
      </c>
      <c r="N80" s="68" t="str">
        <f>IF(COUNTIFS(Dados!$E:$E,$B80,Dados!$C:$C,INDEX(N$3,1,1),Dados!$A:$A,INDEX($D:$E,MATCH("B",$D:$D,0),2))=0,"",SUMIFS(Dados!$G:$G,Dados!$E:$E,$B80,Dados!$C:$C,INDEX(N$3,1,1),Dados!$A:$A,INDEX($D:$E,MATCH("B",$D:$D,0),2))/COUNTIFS(Dados!$E:$E,$B80,Dados!$C:$C,INDEX(N$3,1,1),Dados!$A:$A,INDEX($D:$E,MATCH("B",$D:$D,0),2)))</f>
        <v/>
      </c>
      <c r="O80" s="68" t="str">
        <f>IF(COUNTIFS(Dados!$E:$E,$B80,Dados!$C:$C,INDEX(O$3,1,1),Dados!$A:$A,INDEX($D:$E,MATCH("B",$D:$D,0),2))=0,"",SUMIFS(Dados!$G:$G,Dados!$E:$E,$B80,Dados!$C:$C,INDEX(O$3,1,1),Dados!$A:$A,INDEX($D:$E,MATCH("B",$D:$D,0),2))/COUNTIFS(Dados!$E:$E,$B80,Dados!$C:$C,INDEX(O$3,1,1),Dados!$A:$A,INDEX($D:$E,MATCH("B",$D:$D,0),2)))</f>
        <v/>
      </c>
      <c r="P80" s="68" t="str">
        <f>IF(COUNTIFS(Dados!$E:$E,$B80,Dados!$C:$C,INDEX(P$3,1,1),Dados!$A:$A,INDEX($D:$E,MATCH("B",$D:$D,0),2))=0,"",SUMIFS(Dados!$G:$G,Dados!$E:$E,$B80,Dados!$C:$C,INDEX(P$3,1,1),Dados!$A:$A,INDEX($D:$E,MATCH("B",$D:$D,0),2))/COUNTIFS(Dados!$E:$E,$B80,Dados!$C:$C,INDEX(P$3,1,1),Dados!$A:$A,INDEX($D:$E,MATCH("B",$D:$D,0),2)))</f>
        <v/>
      </c>
      <c r="Q80" s="68" t="str">
        <f>IF(COUNTIFS(Dados!$E:$E,$B80,Dados!$C:$C,INDEX(Q$3,1,1),Dados!$A:$A,INDEX($D:$E,MATCH("B",$D:$D,0),2))=0,"",SUMIFS(Dados!$G:$G,Dados!$E:$E,$B80,Dados!$C:$C,INDEX(Q$3,1,1),Dados!$A:$A,INDEX($D:$E,MATCH("B",$D:$D,0),2))/COUNTIFS(Dados!$E:$E,$B80,Dados!$C:$C,INDEX(Q$3,1,1),Dados!$A:$A,INDEX($D:$E,MATCH("B",$D:$D,0),2)))</f>
        <v/>
      </c>
      <c r="R80" s="68" t="str">
        <f>IF(COUNTIFS(Dados!$E:$E,$B80,Dados!$C:$C,INDEX(R$3,1,1),Dados!$A:$A,INDEX($D:$E,MATCH("B",$D:$D,0),2))=0,"",SUMIFS(Dados!$G:$G,Dados!$E:$E,$B80,Dados!$C:$C,INDEX(R$3,1,1),Dados!$A:$A,INDEX($D:$E,MATCH("B",$D:$D,0),2))/COUNTIFS(Dados!$E:$E,$B80,Dados!$C:$C,INDEX(R$3,1,1),Dados!$A:$A,INDEX($D:$E,MATCH("B",$D:$D,0),2)))</f>
        <v/>
      </c>
      <c r="S80" s="68" t="str">
        <f>IF(COUNTIFS(Dados!$E:$E,$B80,Dados!$C:$C,INDEX(S$3,1,1),Dados!$A:$A,INDEX($D:$E,MATCH("B",$D:$D,0),2))=0,"",SUMIFS(Dados!$G:$G,Dados!$E:$E,$B80,Dados!$C:$C,INDEX(S$3,1,1),Dados!$A:$A,INDEX($D:$E,MATCH("B",$D:$D,0),2))/COUNTIFS(Dados!$E:$E,$B80,Dados!$C:$C,INDEX(S$3,1,1),Dados!$A:$A,INDEX($D:$E,MATCH("B",$D:$D,0),2)))</f>
        <v/>
      </c>
      <c r="T80" s="68" t="str">
        <f>IF(COUNTIFS(Dados!$E:$E,$B80,Dados!$C:$C,INDEX(T$3,1,1),Dados!$A:$A,INDEX($D:$E,MATCH("B",$D:$D,0),2))=0,"",SUMIFS(Dados!$G:$G,Dados!$E:$E,$B80,Dados!$C:$C,INDEX(T$3,1,1),Dados!$A:$A,INDEX($D:$E,MATCH("B",$D:$D,0),2))/COUNTIFS(Dados!$E:$E,$B80,Dados!$C:$C,INDEX(T$3,1,1),Dados!$A:$A,INDEX($D:$E,MATCH("B",$D:$D,0),2)))</f>
        <v/>
      </c>
      <c r="U80" s="68" t="str">
        <f>IF(COUNTIFS(Dados!$E:$E,$B80,Dados!$C:$C,INDEX(U$3,1,1),Dados!$A:$A,INDEX($D:$E,MATCH("B",$D:$D,0),2))=0,"",SUMIFS(Dados!$G:$G,Dados!$E:$E,$B80,Dados!$C:$C,INDEX(U$3,1,1),Dados!$A:$A,INDEX($D:$E,MATCH("B",$D:$D,0),2))/COUNTIFS(Dados!$E:$E,$B80,Dados!$C:$C,INDEX(U$3,1,1),Dados!$A:$A,INDEX($D:$E,MATCH("B",$D:$D,0),2)))</f>
        <v/>
      </c>
      <c r="V80" s="68" t="str">
        <f>IF(COUNTIFS(Dados!$E:$E,$B80,Dados!$C:$C,INDEX(V$3,1,1),Dados!$A:$A,INDEX($D:$E,MATCH("B",$D:$D,0),2))=0,"",SUMIFS(Dados!$G:$G,Dados!$E:$E,$B80,Dados!$C:$C,INDEX(V$3,1,1),Dados!$A:$A,INDEX($D:$E,MATCH("B",$D:$D,0),2))/COUNTIFS(Dados!$E:$E,$B80,Dados!$C:$C,INDEX(V$3,1,1),Dados!$A:$A,INDEX($D:$E,MATCH("B",$D:$D,0),2)))</f>
        <v/>
      </c>
    </row>
    <row r="81" spans="2:22" x14ac:dyDescent="0.25">
      <c r="B81" s="65" t="s">
        <v>33</v>
      </c>
      <c r="C81" s="72">
        <f>VLOOKUP(B81,B4:C22,2,0)</f>
        <v>15</v>
      </c>
      <c r="D81" s="66" t="str">
        <f>IF(COUNTIFS(Dados!$E:$E,$B81,Dados!$C:$C,INDEX(D$3,1,1),Dados!$A:$A,INDEX($D:$E,MATCH("B",$D:$D,0),2))=0,"",SUMIFS(Dados!$G:$G,Dados!$E:$E,$B81,Dados!$C:$C,INDEX(D$3,1,1),Dados!$A:$A,INDEX($D:$E,MATCH("B",$D:$D,0),2))/COUNTIFS(Dados!$E:$E,$B81,Dados!$C:$C,INDEX(D$3,1,1),Dados!$A:$A,INDEX($D:$E,MATCH("B",$D:$D,0),2)))</f>
        <v/>
      </c>
      <c r="E81" s="66" t="str">
        <f>IF(COUNTIFS(Dados!$E:$E,$B81,Dados!$C:$C,INDEX(E$3,1,1),Dados!$A:$A,INDEX($D:$E,MATCH("B",$D:$D,0),2))=0,"",SUMIFS(Dados!$G:$G,Dados!$E:$E,$B81,Dados!$C:$C,INDEX(E$3,1,1),Dados!$A:$A,INDEX($D:$E,MATCH("B",$D:$D,0),2))/COUNTIFS(Dados!$E:$E,$B81,Dados!$C:$C,INDEX(E$3,1,1),Dados!$A:$A,INDEX($D:$E,MATCH("B",$D:$D,0),2)))</f>
        <v/>
      </c>
      <c r="F81" s="66" t="str">
        <f>IF(COUNTIFS(Dados!$E:$E,$B81,Dados!$C:$C,INDEX(F$3,1,1),Dados!$A:$A,INDEX($D:$E,MATCH("B",$D:$D,0),2))=0,"",SUMIFS(Dados!$G:$G,Dados!$E:$E,$B81,Dados!$C:$C,INDEX(F$3,1,1),Dados!$A:$A,INDEX($D:$E,MATCH("B",$D:$D,0),2))/COUNTIFS(Dados!$E:$E,$B81,Dados!$C:$C,INDEX(F$3,1,1),Dados!$A:$A,INDEX($D:$E,MATCH("B",$D:$D,0),2)))</f>
        <v/>
      </c>
      <c r="G81" s="66" t="str">
        <f>IF(COUNTIFS(Dados!$E:$E,$B81,Dados!$C:$C,INDEX(G$3,1,1),Dados!$A:$A,INDEX($D:$E,MATCH("B",$D:$D,0),2))=0,"",SUMIFS(Dados!$G:$G,Dados!$E:$E,$B81,Dados!$C:$C,INDEX(G$3,1,1),Dados!$A:$A,INDEX($D:$E,MATCH("B",$D:$D,0),2))/COUNTIFS(Dados!$E:$E,$B81,Dados!$C:$C,INDEX(G$3,1,1),Dados!$A:$A,INDEX($D:$E,MATCH("B",$D:$D,0),2)))</f>
        <v/>
      </c>
      <c r="H81" s="66" t="str">
        <f>IF(COUNTIFS(Dados!$E:$E,$B81,Dados!$C:$C,INDEX(H$3,1,1),Dados!$A:$A,INDEX($D:$E,MATCH("B",$D:$D,0),2))=0,"",SUMIFS(Dados!$G:$G,Dados!$E:$E,$B81,Dados!$C:$C,INDEX(H$3,1,1),Dados!$A:$A,INDEX($D:$E,MATCH("B",$D:$D,0),2))/COUNTIFS(Dados!$E:$E,$B81,Dados!$C:$C,INDEX(H$3,1,1),Dados!$A:$A,INDEX($D:$E,MATCH("B",$D:$D,0),2)))</f>
        <v/>
      </c>
      <c r="I81" s="66" t="str">
        <f>IF(COUNTIFS(Dados!$E:$E,$B81,Dados!$C:$C,INDEX(I$3,1,1),Dados!$A:$A,INDEX($D:$E,MATCH("B",$D:$D,0),2))=0,"",SUMIFS(Dados!$G:$G,Dados!$E:$E,$B81,Dados!$C:$C,INDEX(I$3,1,1),Dados!$A:$A,INDEX($D:$E,MATCH("B",$D:$D,0),2))/COUNTIFS(Dados!$E:$E,$B81,Dados!$C:$C,INDEX(I$3,1,1),Dados!$A:$A,INDEX($D:$E,MATCH("B",$D:$D,0),2)))</f>
        <v/>
      </c>
      <c r="J81" s="66" t="str">
        <f>IF(COUNTIFS(Dados!$E:$E,$B81,Dados!$C:$C,INDEX(J$3,1,1),Dados!$A:$A,INDEX($D:$E,MATCH("B",$D:$D,0),2))=0,"",SUMIFS(Dados!$G:$G,Dados!$E:$E,$B81,Dados!$C:$C,INDEX(J$3,1,1),Dados!$A:$A,INDEX($D:$E,MATCH("B",$D:$D,0),2))/COUNTIFS(Dados!$E:$E,$B81,Dados!$C:$C,INDEX(J$3,1,1),Dados!$A:$A,INDEX($D:$E,MATCH("B",$D:$D,0),2)))</f>
        <v/>
      </c>
      <c r="K81" s="66" t="str">
        <f>IF(COUNTIFS(Dados!$E:$E,$B81,Dados!$C:$C,INDEX(K$3,1,1),Dados!$A:$A,INDEX($D:$E,MATCH("B",$D:$D,0),2))=0,"",SUMIFS(Dados!$G:$G,Dados!$E:$E,$B81,Dados!$C:$C,INDEX(K$3,1,1),Dados!$A:$A,INDEX($D:$E,MATCH("B",$D:$D,0),2))/COUNTIFS(Dados!$E:$E,$B81,Dados!$C:$C,INDEX(K$3,1,1),Dados!$A:$A,INDEX($D:$E,MATCH("B",$D:$D,0),2)))</f>
        <v/>
      </c>
      <c r="L81" s="66" t="str">
        <f>IF(COUNTIFS(Dados!$E:$E,$B81,Dados!$C:$C,INDEX(L$3,1,1),Dados!$A:$A,INDEX($D:$E,MATCH("B",$D:$D,0),2))=0,"",SUMIFS(Dados!$G:$G,Dados!$E:$E,$B81,Dados!$C:$C,INDEX(L$3,1,1),Dados!$A:$A,INDEX($D:$E,MATCH("B",$D:$D,0),2))/COUNTIFS(Dados!$E:$E,$B81,Dados!$C:$C,INDEX(L$3,1,1),Dados!$A:$A,INDEX($D:$E,MATCH("B",$D:$D,0),2)))</f>
        <v/>
      </c>
      <c r="M81" s="66" t="str">
        <f>IF(COUNTIFS(Dados!$E:$E,$B81,Dados!$C:$C,INDEX(M$3,1,1),Dados!$A:$A,INDEX($D:$E,MATCH("B",$D:$D,0),2))=0,"",SUMIFS(Dados!$G:$G,Dados!$E:$E,$B81,Dados!$C:$C,INDEX(M$3,1,1),Dados!$A:$A,INDEX($D:$E,MATCH("B",$D:$D,0),2))/COUNTIFS(Dados!$E:$E,$B81,Dados!$C:$C,INDEX(M$3,1,1),Dados!$A:$A,INDEX($D:$E,MATCH("B",$D:$D,0),2)))</f>
        <v/>
      </c>
      <c r="N81" s="66" t="str">
        <f>IF(COUNTIFS(Dados!$E:$E,$B81,Dados!$C:$C,INDEX(N$3,1,1),Dados!$A:$A,INDEX($D:$E,MATCH("B",$D:$D,0),2))=0,"",SUMIFS(Dados!$G:$G,Dados!$E:$E,$B81,Dados!$C:$C,INDEX(N$3,1,1),Dados!$A:$A,INDEX($D:$E,MATCH("B",$D:$D,0),2))/COUNTIFS(Dados!$E:$E,$B81,Dados!$C:$C,INDEX(N$3,1,1),Dados!$A:$A,INDEX($D:$E,MATCH("B",$D:$D,0),2)))</f>
        <v/>
      </c>
      <c r="O81" s="66" t="str">
        <f>IF(COUNTIFS(Dados!$E:$E,$B81,Dados!$C:$C,INDEX(O$3,1,1),Dados!$A:$A,INDEX($D:$E,MATCH("B",$D:$D,0),2))=0,"",SUMIFS(Dados!$G:$G,Dados!$E:$E,$B81,Dados!$C:$C,INDEX(O$3,1,1),Dados!$A:$A,INDEX($D:$E,MATCH("B",$D:$D,0),2))/COUNTIFS(Dados!$E:$E,$B81,Dados!$C:$C,INDEX(O$3,1,1),Dados!$A:$A,INDEX($D:$E,MATCH("B",$D:$D,0),2)))</f>
        <v/>
      </c>
      <c r="P81" s="66" t="str">
        <f>IF(COUNTIFS(Dados!$E:$E,$B81,Dados!$C:$C,INDEX(P$3,1,1),Dados!$A:$A,INDEX($D:$E,MATCH("B",$D:$D,0),2))=0,"",SUMIFS(Dados!$G:$G,Dados!$E:$E,$B81,Dados!$C:$C,INDEX(P$3,1,1),Dados!$A:$A,INDEX($D:$E,MATCH("B",$D:$D,0),2))/COUNTIFS(Dados!$E:$E,$B81,Dados!$C:$C,INDEX(P$3,1,1),Dados!$A:$A,INDEX($D:$E,MATCH("B",$D:$D,0),2)))</f>
        <v/>
      </c>
      <c r="Q81" s="66">
        <f>IF(COUNTIFS(Dados!$E:$E,$B81,Dados!$C:$C,INDEX(Q$3,1,1),Dados!$A:$A,INDEX($D:$E,MATCH("B",$D:$D,0),2))=0,"",SUMIFS(Dados!$G:$G,Dados!$E:$E,$B81,Dados!$C:$C,INDEX(Q$3,1,1),Dados!$A:$A,INDEX($D:$E,MATCH("B",$D:$D,0),2))/COUNTIFS(Dados!$E:$E,$B81,Dados!$C:$C,INDEX(Q$3,1,1),Dados!$A:$A,INDEX($D:$E,MATCH("B",$D:$D,0),2)))</f>
        <v>0.4388582005690716</v>
      </c>
      <c r="R81" s="66" t="str">
        <f>IF(COUNTIFS(Dados!$E:$E,$B81,Dados!$C:$C,INDEX(R$3,1,1),Dados!$A:$A,INDEX($D:$E,MATCH("B",$D:$D,0),2))=0,"",SUMIFS(Dados!$G:$G,Dados!$E:$E,$B81,Dados!$C:$C,INDEX(R$3,1,1),Dados!$A:$A,INDEX($D:$E,MATCH("B",$D:$D,0),2))/COUNTIFS(Dados!$E:$E,$B81,Dados!$C:$C,INDEX(R$3,1,1),Dados!$A:$A,INDEX($D:$E,MATCH("B",$D:$D,0),2)))</f>
        <v/>
      </c>
      <c r="S81" s="66" t="str">
        <f>IF(COUNTIFS(Dados!$E:$E,$B81,Dados!$C:$C,INDEX(S$3,1,1),Dados!$A:$A,INDEX($D:$E,MATCH("B",$D:$D,0),2))=0,"",SUMIFS(Dados!$G:$G,Dados!$E:$E,$B81,Dados!$C:$C,INDEX(S$3,1,1),Dados!$A:$A,INDEX($D:$E,MATCH("B",$D:$D,0),2))/COUNTIFS(Dados!$E:$E,$B81,Dados!$C:$C,INDEX(S$3,1,1),Dados!$A:$A,INDEX($D:$E,MATCH("B",$D:$D,0),2)))</f>
        <v/>
      </c>
      <c r="T81" s="66" t="str">
        <f>IF(COUNTIFS(Dados!$E:$E,$B81,Dados!$C:$C,INDEX(T$3,1,1),Dados!$A:$A,INDEX($D:$E,MATCH("B",$D:$D,0),2))=0,"",SUMIFS(Dados!$G:$G,Dados!$E:$E,$B81,Dados!$C:$C,INDEX(T$3,1,1),Dados!$A:$A,INDEX($D:$E,MATCH("B",$D:$D,0),2))/COUNTIFS(Dados!$E:$E,$B81,Dados!$C:$C,INDEX(T$3,1,1),Dados!$A:$A,INDEX($D:$E,MATCH("B",$D:$D,0),2)))</f>
        <v/>
      </c>
      <c r="U81" s="66" t="str">
        <f>IF(COUNTIFS(Dados!$E:$E,$B81,Dados!$C:$C,INDEX(U$3,1,1),Dados!$A:$A,INDEX($D:$E,MATCH("B",$D:$D,0),2))=0,"",SUMIFS(Dados!$G:$G,Dados!$E:$E,$B81,Dados!$C:$C,INDEX(U$3,1,1),Dados!$A:$A,INDEX($D:$E,MATCH("B",$D:$D,0),2))/COUNTIFS(Dados!$E:$E,$B81,Dados!$C:$C,INDEX(U$3,1,1),Dados!$A:$A,INDEX($D:$E,MATCH("B",$D:$D,0),2)))</f>
        <v/>
      </c>
      <c r="V81" s="66" t="str">
        <f>IF(COUNTIFS(Dados!$E:$E,$B81,Dados!$C:$C,INDEX(V$3,1,1),Dados!$A:$A,INDEX($D:$E,MATCH("B",$D:$D,0),2))=0,"",SUMIFS(Dados!$G:$G,Dados!$E:$E,$B81,Dados!$C:$C,INDEX(V$3,1,1),Dados!$A:$A,INDEX($D:$E,MATCH("B",$D:$D,0),2))/COUNTIFS(Dados!$E:$E,$B81,Dados!$C:$C,INDEX(V$3,1,1),Dados!$A:$A,INDEX($D:$E,MATCH("B",$D:$D,0),2)))</f>
        <v/>
      </c>
    </row>
    <row r="82" spans="2:22" x14ac:dyDescent="0.25">
      <c r="B82" s="67" t="s">
        <v>1299</v>
      </c>
      <c r="C82" s="71">
        <f>VLOOKUP(B82,B4:C22,2,0)</f>
        <v>16</v>
      </c>
      <c r="D82" s="68" t="str">
        <f>IF(COUNTIFS(Dados!$E:$E,$B82,Dados!$C:$C,INDEX(D$3,1,1),Dados!$A:$A,INDEX($D:$E,MATCH("B",$D:$D,0),2))=0,"",SUMIFS(Dados!$G:$G,Dados!$E:$E,$B82,Dados!$C:$C,INDEX(D$3,1,1),Dados!$A:$A,INDEX($D:$E,MATCH("B",$D:$D,0),2))/COUNTIFS(Dados!$E:$E,$B82,Dados!$C:$C,INDEX(D$3,1,1),Dados!$A:$A,INDEX($D:$E,MATCH("B",$D:$D,0),2)))</f>
        <v/>
      </c>
      <c r="E82" s="68" t="str">
        <f>IF(COUNTIFS(Dados!$E:$E,$B82,Dados!$C:$C,INDEX(E$3,1,1),Dados!$A:$A,INDEX($D:$E,MATCH("B",$D:$D,0),2))=0,"",SUMIFS(Dados!$G:$G,Dados!$E:$E,$B82,Dados!$C:$C,INDEX(E$3,1,1),Dados!$A:$A,INDEX($D:$E,MATCH("B",$D:$D,0),2))/COUNTIFS(Dados!$E:$E,$B82,Dados!$C:$C,INDEX(E$3,1,1),Dados!$A:$A,INDEX($D:$E,MATCH("B",$D:$D,0),2)))</f>
        <v/>
      </c>
      <c r="F82" s="68" t="str">
        <f>IF(COUNTIFS(Dados!$E:$E,$B82,Dados!$C:$C,INDEX(F$3,1,1),Dados!$A:$A,INDEX($D:$E,MATCH("B",$D:$D,0),2))=0,"",SUMIFS(Dados!$G:$G,Dados!$E:$E,$B82,Dados!$C:$C,INDEX(F$3,1,1),Dados!$A:$A,INDEX($D:$E,MATCH("B",$D:$D,0),2))/COUNTIFS(Dados!$E:$E,$B82,Dados!$C:$C,INDEX(F$3,1,1),Dados!$A:$A,INDEX($D:$E,MATCH("B",$D:$D,0),2)))</f>
        <v/>
      </c>
      <c r="G82" s="68" t="str">
        <f>IF(COUNTIFS(Dados!$E:$E,$B82,Dados!$C:$C,INDEX(G$3,1,1),Dados!$A:$A,INDEX($D:$E,MATCH("B",$D:$D,0),2))=0,"",SUMIFS(Dados!$G:$G,Dados!$E:$E,$B82,Dados!$C:$C,INDEX(G$3,1,1),Dados!$A:$A,INDEX($D:$E,MATCH("B",$D:$D,0),2))/COUNTIFS(Dados!$E:$E,$B82,Dados!$C:$C,INDEX(G$3,1,1),Dados!$A:$A,INDEX($D:$E,MATCH("B",$D:$D,0),2)))</f>
        <v/>
      </c>
      <c r="H82" s="68" t="str">
        <f>IF(COUNTIFS(Dados!$E:$E,$B82,Dados!$C:$C,INDEX(H$3,1,1),Dados!$A:$A,INDEX($D:$E,MATCH("B",$D:$D,0),2))=0,"",SUMIFS(Dados!$G:$G,Dados!$E:$E,$B82,Dados!$C:$C,INDEX(H$3,1,1),Dados!$A:$A,INDEX($D:$E,MATCH("B",$D:$D,0),2))/COUNTIFS(Dados!$E:$E,$B82,Dados!$C:$C,INDEX(H$3,1,1),Dados!$A:$A,INDEX($D:$E,MATCH("B",$D:$D,0),2)))</f>
        <v/>
      </c>
      <c r="I82" s="68" t="str">
        <f>IF(COUNTIFS(Dados!$E:$E,$B82,Dados!$C:$C,INDEX(I$3,1,1),Dados!$A:$A,INDEX($D:$E,MATCH("B",$D:$D,0),2))=0,"",SUMIFS(Dados!$G:$G,Dados!$E:$E,$B82,Dados!$C:$C,INDEX(I$3,1,1),Dados!$A:$A,INDEX($D:$E,MATCH("B",$D:$D,0),2))/COUNTIFS(Dados!$E:$E,$B82,Dados!$C:$C,INDEX(I$3,1,1),Dados!$A:$A,INDEX($D:$E,MATCH("B",$D:$D,0),2)))</f>
        <v/>
      </c>
      <c r="J82" s="68" t="str">
        <f>IF(COUNTIFS(Dados!$E:$E,$B82,Dados!$C:$C,INDEX(J$3,1,1),Dados!$A:$A,INDEX($D:$E,MATCH("B",$D:$D,0),2))=0,"",SUMIFS(Dados!$G:$G,Dados!$E:$E,$B82,Dados!$C:$C,INDEX(J$3,1,1),Dados!$A:$A,INDEX($D:$E,MATCH("B",$D:$D,0),2))/COUNTIFS(Dados!$E:$E,$B82,Dados!$C:$C,INDEX(J$3,1,1),Dados!$A:$A,INDEX($D:$E,MATCH("B",$D:$D,0),2)))</f>
        <v/>
      </c>
      <c r="K82" s="68" t="str">
        <f>IF(COUNTIFS(Dados!$E:$E,$B82,Dados!$C:$C,INDEX(K$3,1,1),Dados!$A:$A,INDEX($D:$E,MATCH("B",$D:$D,0),2))=0,"",SUMIFS(Dados!$G:$G,Dados!$E:$E,$B82,Dados!$C:$C,INDEX(K$3,1,1),Dados!$A:$A,INDEX($D:$E,MATCH("B",$D:$D,0),2))/COUNTIFS(Dados!$E:$E,$B82,Dados!$C:$C,INDEX(K$3,1,1),Dados!$A:$A,INDEX($D:$E,MATCH("B",$D:$D,0),2)))</f>
        <v/>
      </c>
      <c r="L82" s="68" t="str">
        <f>IF(COUNTIFS(Dados!$E:$E,$B82,Dados!$C:$C,INDEX(L$3,1,1),Dados!$A:$A,INDEX($D:$E,MATCH("B",$D:$D,0),2))=0,"",SUMIFS(Dados!$G:$G,Dados!$E:$E,$B82,Dados!$C:$C,INDEX(L$3,1,1),Dados!$A:$A,INDEX($D:$E,MATCH("B",$D:$D,0),2))/COUNTIFS(Dados!$E:$E,$B82,Dados!$C:$C,INDEX(L$3,1,1),Dados!$A:$A,INDEX($D:$E,MATCH("B",$D:$D,0),2)))</f>
        <v/>
      </c>
      <c r="M82" s="68" t="str">
        <f>IF(COUNTIFS(Dados!$E:$E,$B82,Dados!$C:$C,INDEX(M$3,1,1),Dados!$A:$A,INDEX($D:$E,MATCH("B",$D:$D,0),2))=0,"",SUMIFS(Dados!$G:$G,Dados!$E:$E,$B82,Dados!$C:$C,INDEX(M$3,1,1),Dados!$A:$A,INDEX($D:$E,MATCH("B",$D:$D,0),2))/COUNTIFS(Dados!$E:$E,$B82,Dados!$C:$C,INDEX(M$3,1,1),Dados!$A:$A,INDEX($D:$E,MATCH("B",$D:$D,0),2)))</f>
        <v/>
      </c>
      <c r="N82" s="68" t="str">
        <f>IF(COUNTIFS(Dados!$E:$E,$B82,Dados!$C:$C,INDEX(N$3,1,1),Dados!$A:$A,INDEX($D:$E,MATCH("B",$D:$D,0),2))=0,"",SUMIFS(Dados!$G:$G,Dados!$E:$E,$B82,Dados!$C:$C,INDEX(N$3,1,1),Dados!$A:$A,INDEX($D:$E,MATCH("B",$D:$D,0),2))/COUNTIFS(Dados!$E:$E,$B82,Dados!$C:$C,INDEX(N$3,1,1),Dados!$A:$A,INDEX($D:$E,MATCH("B",$D:$D,0),2)))</f>
        <v/>
      </c>
      <c r="O82" s="68" t="str">
        <f>IF(COUNTIFS(Dados!$E:$E,$B82,Dados!$C:$C,INDEX(O$3,1,1),Dados!$A:$A,INDEX($D:$E,MATCH("B",$D:$D,0),2))=0,"",SUMIFS(Dados!$G:$G,Dados!$E:$E,$B82,Dados!$C:$C,INDEX(O$3,1,1),Dados!$A:$A,INDEX($D:$E,MATCH("B",$D:$D,0),2))/COUNTIFS(Dados!$E:$E,$B82,Dados!$C:$C,INDEX(O$3,1,1),Dados!$A:$A,INDEX($D:$E,MATCH("B",$D:$D,0),2)))</f>
        <v/>
      </c>
      <c r="P82" s="68" t="str">
        <f>IF(COUNTIFS(Dados!$E:$E,$B82,Dados!$C:$C,INDEX(P$3,1,1),Dados!$A:$A,INDEX($D:$E,MATCH("B",$D:$D,0),2))=0,"",SUMIFS(Dados!$G:$G,Dados!$E:$E,$B82,Dados!$C:$C,INDEX(P$3,1,1),Dados!$A:$A,INDEX($D:$E,MATCH("B",$D:$D,0),2))/COUNTIFS(Dados!$E:$E,$B82,Dados!$C:$C,INDEX(P$3,1,1),Dados!$A:$A,INDEX($D:$E,MATCH("B",$D:$D,0),2)))</f>
        <v/>
      </c>
      <c r="Q82" s="68" t="str">
        <f>IF(COUNTIFS(Dados!$E:$E,$B82,Dados!$C:$C,INDEX(Q$3,1,1),Dados!$A:$A,INDEX($D:$E,MATCH("B",$D:$D,0),2))=0,"",SUMIFS(Dados!$G:$G,Dados!$E:$E,$B82,Dados!$C:$C,INDEX(Q$3,1,1),Dados!$A:$A,INDEX($D:$E,MATCH("B",$D:$D,0),2))/COUNTIFS(Dados!$E:$E,$B82,Dados!$C:$C,INDEX(Q$3,1,1),Dados!$A:$A,INDEX($D:$E,MATCH("B",$D:$D,0),2)))</f>
        <v/>
      </c>
      <c r="R82" s="68" t="str">
        <f>IF(COUNTIFS(Dados!$E:$E,$B82,Dados!$C:$C,INDEX(R$3,1,1),Dados!$A:$A,INDEX($D:$E,MATCH("B",$D:$D,0),2))=0,"",SUMIFS(Dados!$G:$G,Dados!$E:$E,$B82,Dados!$C:$C,INDEX(R$3,1,1),Dados!$A:$A,INDEX($D:$E,MATCH("B",$D:$D,0),2))/COUNTIFS(Dados!$E:$E,$B82,Dados!$C:$C,INDEX(R$3,1,1),Dados!$A:$A,INDEX($D:$E,MATCH("B",$D:$D,0),2)))</f>
        <v/>
      </c>
      <c r="S82" s="68" t="str">
        <f>IF(COUNTIFS(Dados!$E:$E,$B82,Dados!$C:$C,INDEX(S$3,1,1),Dados!$A:$A,INDEX($D:$E,MATCH("B",$D:$D,0),2))=0,"",SUMIFS(Dados!$G:$G,Dados!$E:$E,$B82,Dados!$C:$C,INDEX(S$3,1,1),Dados!$A:$A,INDEX($D:$E,MATCH("B",$D:$D,0),2))/COUNTIFS(Dados!$E:$E,$B82,Dados!$C:$C,INDEX(S$3,1,1),Dados!$A:$A,INDEX($D:$E,MATCH("B",$D:$D,0),2)))</f>
        <v/>
      </c>
      <c r="T82" s="68" t="str">
        <f>IF(COUNTIFS(Dados!$E:$E,$B82,Dados!$C:$C,INDEX(T$3,1,1),Dados!$A:$A,INDEX($D:$E,MATCH("B",$D:$D,0),2))=0,"",SUMIFS(Dados!$G:$G,Dados!$E:$E,$B82,Dados!$C:$C,INDEX(T$3,1,1),Dados!$A:$A,INDEX($D:$E,MATCH("B",$D:$D,0),2))/COUNTIFS(Dados!$E:$E,$B82,Dados!$C:$C,INDEX(T$3,1,1),Dados!$A:$A,INDEX($D:$E,MATCH("B",$D:$D,0),2)))</f>
        <v/>
      </c>
      <c r="U82" s="68" t="str">
        <f>IF(COUNTIFS(Dados!$E:$E,$B82,Dados!$C:$C,INDEX(U$3,1,1),Dados!$A:$A,INDEX($D:$E,MATCH("B",$D:$D,0),2))=0,"",SUMIFS(Dados!$G:$G,Dados!$E:$E,$B82,Dados!$C:$C,INDEX(U$3,1,1),Dados!$A:$A,INDEX($D:$E,MATCH("B",$D:$D,0),2))/COUNTIFS(Dados!$E:$E,$B82,Dados!$C:$C,INDEX(U$3,1,1),Dados!$A:$A,INDEX($D:$E,MATCH("B",$D:$D,0),2)))</f>
        <v/>
      </c>
      <c r="V82" s="68" t="str">
        <f>IF(COUNTIFS(Dados!$E:$E,$B82,Dados!$C:$C,INDEX(V$3,1,1),Dados!$A:$A,INDEX($D:$E,MATCH("B",$D:$D,0),2))=0,"",SUMIFS(Dados!$G:$G,Dados!$E:$E,$B82,Dados!$C:$C,INDEX(V$3,1,1),Dados!$A:$A,INDEX($D:$E,MATCH("B",$D:$D,0),2))/COUNTIFS(Dados!$E:$E,$B82,Dados!$C:$C,INDEX(V$3,1,1),Dados!$A:$A,INDEX($D:$E,MATCH("B",$D:$D,0),2)))</f>
        <v/>
      </c>
    </row>
    <row r="83" spans="2:22" x14ac:dyDescent="0.25">
      <c r="B83" s="65" t="s">
        <v>374</v>
      </c>
      <c r="C83" s="72">
        <f>VLOOKUP(B83,B4:C22,2,0)</f>
        <v>17</v>
      </c>
      <c r="D83" s="66" t="str">
        <f>IF(COUNTIFS(Dados!$E:$E,$B83,Dados!$C:$C,INDEX(D$3,1,1),Dados!$A:$A,INDEX($D:$E,MATCH("B",$D:$D,0),2))=0,"",SUMIFS(Dados!$G:$G,Dados!$E:$E,$B83,Dados!$C:$C,INDEX(D$3,1,1),Dados!$A:$A,INDEX($D:$E,MATCH("B",$D:$D,0),2))/COUNTIFS(Dados!$E:$E,$B83,Dados!$C:$C,INDEX(D$3,1,1),Dados!$A:$A,INDEX($D:$E,MATCH("B",$D:$D,0),2)))</f>
        <v/>
      </c>
      <c r="E83" s="66" t="str">
        <f>IF(COUNTIFS(Dados!$E:$E,$B83,Dados!$C:$C,INDEX(E$3,1,1),Dados!$A:$A,INDEX($D:$E,MATCH("B",$D:$D,0),2))=0,"",SUMIFS(Dados!$G:$G,Dados!$E:$E,$B83,Dados!$C:$C,INDEX(E$3,1,1),Dados!$A:$A,INDEX($D:$E,MATCH("B",$D:$D,0),2))/COUNTIFS(Dados!$E:$E,$B83,Dados!$C:$C,INDEX(E$3,1,1),Dados!$A:$A,INDEX($D:$E,MATCH("B",$D:$D,0),2)))</f>
        <v/>
      </c>
      <c r="F83" s="66" t="str">
        <f>IF(COUNTIFS(Dados!$E:$E,$B83,Dados!$C:$C,INDEX(F$3,1,1),Dados!$A:$A,INDEX($D:$E,MATCH("B",$D:$D,0),2))=0,"",SUMIFS(Dados!$G:$G,Dados!$E:$E,$B83,Dados!$C:$C,INDEX(F$3,1,1),Dados!$A:$A,INDEX($D:$E,MATCH("B",$D:$D,0),2))/COUNTIFS(Dados!$E:$E,$B83,Dados!$C:$C,INDEX(F$3,1,1),Dados!$A:$A,INDEX($D:$E,MATCH("B",$D:$D,0),2)))</f>
        <v/>
      </c>
      <c r="G83" s="66" t="str">
        <f>IF(COUNTIFS(Dados!$E:$E,$B83,Dados!$C:$C,INDEX(G$3,1,1),Dados!$A:$A,INDEX($D:$E,MATCH("B",$D:$D,0),2))=0,"",SUMIFS(Dados!$G:$G,Dados!$E:$E,$B83,Dados!$C:$C,INDEX(G$3,1,1),Dados!$A:$A,INDEX($D:$E,MATCH("B",$D:$D,0),2))/COUNTIFS(Dados!$E:$E,$B83,Dados!$C:$C,INDEX(G$3,1,1),Dados!$A:$A,INDEX($D:$E,MATCH("B",$D:$D,0),2)))</f>
        <v/>
      </c>
      <c r="H83" s="66" t="str">
        <f>IF(COUNTIFS(Dados!$E:$E,$B83,Dados!$C:$C,INDEX(H$3,1,1),Dados!$A:$A,INDEX($D:$E,MATCH("B",$D:$D,0),2))=0,"",SUMIFS(Dados!$G:$G,Dados!$E:$E,$B83,Dados!$C:$C,INDEX(H$3,1,1),Dados!$A:$A,INDEX($D:$E,MATCH("B",$D:$D,0),2))/COUNTIFS(Dados!$E:$E,$B83,Dados!$C:$C,INDEX(H$3,1,1),Dados!$A:$A,INDEX($D:$E,MATCH("B",$D:$D,0),2)))</f>
        <v/>
      </c>
      <c r="I83" s="66" t="str">
        <f>IF(COUNTIFS(Dados!$E:$E,$B83,Dados!$C:$C,INDEX(I$3,1,1),Dados!$A:$A,INDEX($D:$E,MATCH("B",$D:$D,0),2))=0,"",SUMIFS(Dados!$G:$G,Dados!$E:$E,$B83,Dados!$C:$C,INDEX(I$3,1,1),Dados!$A:$A,INDEX($D:$E,MATCH("B",$D:$D,0),2))/COUNTIFS(Dados!$E:$E,$B83,Dados!$C:$C,INDEX(I$3,1,1),Dados!$A:$A,INDEX($D:$E,MATCH("B",$D:$D,0),2)))</f>
        <v/>
      </c>
      <c r="J83" s="66" t="str">
        <f>IF(COUNTIFS(Dados!$E:$E,$B83,Dados!$C:$C,INDEX(J$3,1,1),Dados!$A:$A,INDEX($D:$E,MATCH("B",$D:$D,0),2))=0,"",SUMIFS(Dados!$G:$G,Dados!$E:$E,$B83,Dados!$C:$C,INDEX(J$3,1,1),Dados!$A:$A,INDEX($D:$E,MATCH("B",$D:$D,0),2))/COUNTIFS(Dados!$E:$E,$B83,Dados!$C:$C,INDEX(J$3,1,1),Dados!$A:$A,INDEX($D:$E,MATCH("B",$D:$D,0),2)))</f>
        <v/>
      </c>
      <c r="K83" s="66" t="str">
        <f>IF(COUNTIFS(Dados!$E:$E,$B83,Dados!$C:$C,INDEX(K$3,1,1),Dados!$A:$A,INDEX($D:$E,MATCH("B",$D:$D,0),2))=0,"",SUMIFS(Dados!$G:$G,Dados!$E:$E,$B83,Dados!$C:$C,INDEX(K$3,1,1),Dados!$A:$A,INDEX($D:$E,MATCH("B",$D:$D,0),2))/COUNTIFS(Dados!$E:$E,$B83,Dados!$C:$C,INDEX(K$3,1,1),Dados!$A:$A,INDEX($D:$E,MATCH("B",$D:$D,0),2)))</f>
        <v/>
      </c>
      <c r="L83" s="66" t="str">
        <f>IF(COUNTIFS(Dados!$E:$E,$B83,Dados!$C:$C,INDEX(L$3,1,1),Dados!$A:$A,INDEX($D:$E,MATCH("B",$D:$D,0),2))=0,"",SUMIFS(Dados!$G:$G,Dados!$E:$E,$B83,Dados!$C:$C,INDEX(L$3,1,1),Dados!$A:$A,INDEX($D:$E,MATCH("B",$D:$D,0),2))/COUNTIFS(Dados!$E:$E,$B83,Dados!$C:$C,INDEX(L$3,1,1),Dados!$A:$A,INDEX($D:$E,MATCH("B",$D:$D,0),2)))</f>
        <v/>
      </c>
      <c r="M83" s="66" t="str">
        <f>IF(COUNTIFS(Dados!$E:$E,$B83,Dados!$C:$C,INDEX(M$3,1,1),Dados!$A:$A,INDEX($D:$E,MATCH("B",$D:$D,0),2))=0,"",SUMIFS(Dados!$G:$G,Dados!$E:$E,$B83,Dados!$C:$C,INDEX(M$3,1,1),Dados!$A:$A,INDEX($D:$E,MATCH("B",$D:$D,0),2))/COUNTIFS(Dados!$E:$E,$B83,Dados!$C:$C,INDEX(M$3,1,1),Dados!$A:$A,INDEX($D:$E,MATCH("B",$D:$D,0),2)))</f>
        <v/>
      </c>
      <c r="N83" s="66" t="str">
        <f>IF(COUNTIFS(Dados!$E:$E,$B83,Dados!$C:$C,INDEX(N$3,1,1),Dados!$A:$A,INDEX($D:$E,MATCH("B",$D:$D,0),2))=0,"",SUMIFS(Dados!$G:$G,Dados!$E:$E,$B83,Dados!$C:$C,INDEX(N$3,1,1),Dados!$A:$A,INDEX($D:$E,MATCH("B",$D:$D,0),2))/COUNTIFS(Dados!$E:$E,$B83,Dados!$C:$C,INDEX(N$3,1,1),Dados!$A:$A,INDEX($D:$E,MATCH("B",$D:$D,0),2)))</f>
        <v/>
      </c>
      <c r="O83" s="66" t="str">
        <f>IF(COUNTIFS(Dados!$E:$E,$B83,Dados!$C:$C,INDEX(O$3,1,1),Dados!$A:$A,INDEX($D:$E,MATCH("B",$D:$D,0),2))=0,"",SUMIFS(Dados!$G:$G,Dados!$E:$E,$B83,Dados!$C:$C,INDEX(O$3,1,1),Dados!$A:$A,INDEX($D:$E,MATCH("B",$D:$D,0),2))/COUNTIFS(Dados!$E:$E,$B83,Dados!$C:$C,INDEX(O$3,1,1),Dados!$A:$A,INDEX($D:$E,MATCH("B",$D:$D,0),2)))</f>
        <v/>
      </c>
      <c r="P83" s="66" t="str">
        <f>IF(COUNTIFS(Dados!$E:$E,$B83,Dados!$C:$C,INDEX(P$3,1,1),Dados!$A:$A,INDEX($D:$E,MATCH("B",$D:$D,0),2))=0,"",SUMIFS(Dados!$G:$G,Dados!$E:$E,$B83,Dados!$C:$C,INDEX(P$3,1,1),Dados!$A:$A,INDEX($D:$E,MATCH("B",$D:$D,0),2))/COUNTIFS(Dados!$E:$E,$B83,Dados!$C:$C,INDEX(P$3,1,1),Dados!$A:$A,INDEX($D:$E,MATCH("B",$D:$D,0),2)))</f>
        <v/>
      </c>
      <c r="Q83" s="66" t="str">
        <f>IF(COUNTIFS(Dados!$E:$E,$B83,Dados!$C:$C,INDEX(Q$3,1,1),Dados!$A:$A,INDEX($D:$E,MATCH("B",$D:$D,0),2))=0,"",SUMIFS(Dados!$G:$G,Dados!$E:$E,$B83,Dados!$C:$C,INDEX(Q$3,1,1),Dados!$A:$A,INDEX($D:$E,MATCH("B",$D:$D,0),2))/COUNTIFS(Dados!$E:$E,$B83,Dados!$C:$C,INDEX(Q$3,1,1),Dados!$A:$A,INDEX($D:$E,MATCH("B",$D:$D,0),2)))</f>
        <v/>
      </c>
      <c r="R83" s="66" t="str">
        <f>IF(COUNTIFS(Dados!$E:$E,$B83,Dados!$C:$C,INDEX(R$3,1,1),Dados!$A:$A,INDEX($D:$E,MATCH("B",$D:$D,0),2))=0,"",SUMIFS(Dados!$G:$G,Dados!$E:$E,$B83,Dados!$C:$C,INDEX(R$3,1,1),Dados!$A:$A,INDEX($D:$E,MATCH("B",$D:$D,0),2))/COUNTIFS(Dados!$E:$E,$B83,Dados!$C:$C,INDEX(R$3,1,1),Dados!$A:$A,INDEX($D:$E,MATCH("B",$D:$D,0),2)))</f>
        <v/>
      </c>
      <c r="S83" s="66" t="str">
        <f>IF(COUNTIFS(Dados!$E:$E,$B83,Dados!$C:$C,INDEX(S$3,1,1),Dados!$A:$A,INDEX($D:$E,MATCH("B",$D:$D,0),2))=0,"",SUMIFS(Dados!$G:$G,Dados!$E:$E,$B83,Dados!$C:$C,INDEX(S$3,1,1),Dados!$A:$A,INDEX($D:$E,MATCH("B",$D:$D,0),2))/COUNTIFS(Dados!$E:$E,$B83,Dados!$C:$C,INDEX(S$3,1,1),Dados!$A:$A,INDEX($D:$E,MATCH("B",$D:$D,0),2)))</f>
        <v/>
      </c>
      <c r="T83" s="66" t="str">
        <f>IF(COUNTIFS(Dados!$E:$E,$B83,Dados!$C:$C,INDEX(T$3,1,1),Dados!$A:$A,INDEX($D:$E,MATCH("B",$D:$D,0),2))=0,"",SUMIFS(Dados!$G:$G,Dados!$E:$E,$B83,Dados!$C:$C,INDEX(T$3,1,1),Dados!$A:$A,INDEX($D:$E,MATCH("B",$D:$D,0),2))/COUNTIFS(Dados!$E:$E,$B83,Dados!$C:$C,INDEX(T$3,1,1),Dados!$A:$A,INDEX($D:$E,MATCH("B",$D:$D,0),2)))</f>
        <v/>
      </c>
      <c r="U83" s="66" t="str">
        <f>IF(COUNTIFS(Dados!$E:$E,$B83,Dados!$C:$C,INDEX(U$3,1,1),Dados!$A:$A,INDEX($D:$E,MATCH("B",$D:$D,0),2))=0,"",SUMIFS(Dados!$G:$G,Dados!$E:$E,$B83,Dados!$C:$C,INDEX(U$3,1,1),Dados!$A:$A,INDEX($D:$E,MATCH("B",$D:$D,0),2))/COUNTIFS(Dados!$E:$E,$B83,Dados!$C:$C,INDEX(U$3,1,1),Dados!$A:$A,INDEX($D:$E,MATCH("B",$D:$D,0),2)))</f>
        <v/>
      </c>
      <c r="V83" s="66" t="str">
        <f>IF(COUNTIFS(Dados!$E:$E,$B83,Dados!$C:$C,INDEX(V$3,1,1),Dados!$A:$A,INDEX($D:$E,MATCH("B",$D:$D,0),2))=0,"",SUMIFS(Dados!$G:$G,Dados!$E:$E,$B83,Dados!$C:$C,INDEX(V$3,1,1),Dados!$A:$A,INDEX($D:$E,MATCH("B",$D:$D,0),2))/COUNTIFS(Dados!$E:$E,$B83,Dados!$C:$C,INDEX(V$3,1,1),Dados!$A:$A,INDEX($D:$E,MATCH("B",$D:$D,0),2)))</f>
        <v/>
      </c>
    </row>
    <row r="84" spans="2:22" x14ac:dyDescent="0.25">
      <c r="B84" s="67" t="s">
        <v>375</v>
      </c>
      <c r="C84" s="71">
        <f>VLOOKUP(B84,B4:C22,2,0)</f>
        <v>18</v>
      </c>
      <c r="D84" s="68" t="str">
        <f>IF(COUNTIFS(Dados!$E:$E,$B84,Dados!$C:$C,INDEX(D$3,1,1),Dados!$A:$A,INDEX($D:$E,MATCH("B",$D:$D,0),2))=0,"",SUMIFS(Dados!$G:$G,Dados!$E:$E,$B84,Dados!$C:$C,INDEX(D$3,1,1),Dados!$A:$A,INDEX($D:$E,MATCH("B",$D:$D,0),2))/COUNTIFS(Dados!$E:$E,$B84,Dados!$C:$C,INDEX(D$3,1,1),Dados!$A:$A,INDEX($D:$E,MATCH("B",$D:$D,0),2)))</f>
        <v/>
      </c>
      <c r="E84" s="68" t="str">
        <f>IF(COUNTIFS(Dados!$E:$E,$B84,Dados!$C:$C,INDEX(E$3,1,1),Dados!$A:$A,INDEX($D:$E,MATCH("B",$D:$D,0),2))=0,"",SUMIFS(Dados!$G:$G,Dados!$E:$E,$B84,Dados!$C:$C,INDEX(E$3,1,1),Dados!$A:$A,INDEX($D:$E,MATCH("B",$D:$D,0),2))/COUNTIFS(Dados!$E:$E,$B84,Dados!$C:$C,INDEX(E$3,1,1),Dados!$A:$A,INDEX($D:$E,MATCH("B",$D:$D,0),2)))</f>
        <v/>
      </c>
      <c r="F84" s="68" t="str">
        <f>IF(COUNTIFS(Dados!$E:$E,$B84,Dados!$C:$C,INDEX(F$3,1,1),Dados!$A:$A,INDEX($D:$E,MATCH("B",$D:$D,0),2))=0,"",SUMIFS(Dados!$G:$G,Dados!$E:$E,$B84,Dados!$C:$C,INDEX(F$3,1,1),Dados!$A:$A,INDEX($D:$E,MATCH("B",$D:$D,0),2))/COUNTIFS(Dados!$E:$E,$B84,Dados!$C:$C,INDEX(F$3,1,1),Dados!$A:$A,INDEX($D:$E,MATCH("B",$D:$D,0),2)))</f>
        <v/>
      </c>
      <c r="G84" s="68" t="str">
        <f>IF(COUNTIFS(Dados!$E:$E,$B84,Dados!$C:$C,INDEX(G$3,1,1),Dados!$A:$A,INDEX($D:$E,MATCH("B",$D:$D,0),2))=0,"",SUMIFS(Dados!$G:$G,Dados!$E:$E,$B84,Dados!$C:$C,INDEX(G$3,1,1),Dados!$A:$A,INDEX($D:$E,MATCH("B",$D:$D,0),2))/COUNTIFS(Dados!$E:$E,$B84,Dados!$C:$C,INDEX(G$3,1,1),Dados!$A:$A,INDEX($D:$E,MATCH("B",$D:$D,0),2)))</f>
        <v/>
      </c>
      <c r="H84" s="68" t="str">
        <f>IF(COUNTIFS(Dados!$E:$E,$B84,Dados!$C:$C,INDEX(H$3,1,1),Dados!$A:$A,INDEX($D:$E,MATCH("B",$D:$D,0),2))=0,"",SUMIFS(Dados!$G:$G,Dados!$E:$E,$B84,Dados!$C:$C,INDEX(H$3,1,1),Dados!$A:$A,INDEX($D:$E,MATCH("B",$D:$D,0),2))/COUNTIFS(Dados!$E:$E,$B84,Dados!$C:$C,INDEX(H$3,1,1),Dados!$A:$A,INDEX($D:$E,MATCH("B",$D:$D,0),2)))</f>
        <v/>
      </c>
      <c r="I84" s="68" t="str">
        <f>IF(COUNTIFS(Dados!$E:$E,$B84,Dados!$C:$C,INDEX(I$3,1,1),Dados!$A:$A,INDEX($D:$E,MATCH("B",$D:$D,0),2))=0,"",SUMIFS(Dados!$G:$G,Dados!$E:$E,$B84,Dados!$C:$C,INDEX(I$3,1,1),Dados!$A:$A,INDEX($D:$E,MATCH("B",$D:$D,0),2))/COUNTIFS(Dados!$E:$E,$B84,Dados!$C:$C,INDEX(I$3,1,1),Dados!$A:$A,INDEX($D:$E,MATCH("B",$D:$D,0),2)))</f>
        <v/>
      </c>
      <c r="J84" s="68" t="str">
        <f>IF(COUNTIFS(Dados!$E:$E,$B84,Dados!$C:$C,INDEX(J$3,1,1),Dados!$A:$A,INDEX($D:$E,MATCH("B",$D:$D,0),2))=0,"",SUMIFS(Dados!$G:$G,Dados!$E:$E,$B84,Dados!$C:$C,INDEX(J$3,1,1),Dados!$A:$A,INDEX($D:$E,MATCH("B",$D:$D,0),2))/COUNTIFS(Dados!$E:$E,$B84,Dados!$C:$C,INDEX(J$3,1,1),Dados!$A:$A,INDEX($D:$E,MATCH("B",$D:$D,0),2)))</f>
        <v/>
      </c>
      <c r="K84" s="68" t="str">
        <f>IF(COUNTIFS(Dados!$E:$E,$B84,Dados!$C:$C,INDEX(K$3,1,1),Dados!$A:$A,INDEX($D:$E,MATCH("B",$D:$D,0),2))=0,"",SUMIFS(Dados!$G:$G,Dados!$E:$E,$B84,Dados!$C:$C,INDEX(K$3,1,1),Dados!$A:$A,INDEX($D:$E,MATCH("B",$D:$D,0),2))/COUNTIFS(Dados!$E:$E,$B84,Dados!$C:$C,INDEX(K$3,1,1),Dados!$A:$A,INDEX($D:$E,MATCH("B",$D:$D,0),2)))</f>
        <v/>
      </c>
      <c r="L84" s="68" t="str">
        <f>IF(COUNTIFS(Dados!$E:$E,$B84,Dados!$C:$C,INDEX(L$3,1,1),Dados!$A:$A,INDEX($D:$E,MATCH("B",$D:$D,0),2))=0,"",SUMIFS(Dados!$G:$G,Dados!$E:$E,$B84,Dados!$C:$C,INDEX(L$3,1,1),Dados!$A:$A,INDEX($D:$E,MATCH("B",$D:$D,0),2))/COUNTIFS(Dados!$E:$E,$B84,Dados!$C:$C,INDEX(L$3,1,1),Dados!$A:$A,INDEX($D:$E,MATCH("B",$D:$D,0),2)))</f>
        <v/>
      </c>
      <c r="M84" s="68" t="str">
        <f>IF(COUNTIFS(Dados!$E:$E,$B84,Dados!$C:$C,INDEX(M$3,1,1),Dados!$A:$A,INDEX($D:$E,MATCH("B",$D:$D,0),2))=0,"",SUMIFS(Dados!$G:$G,Dados!$E:$E,$B84,Dados!$C:$C,INDEX(M$3,1,1),Dados!$A:$A,INDEX($D:$E,MATCH("B",$D:$D,0),2))/COUNTIFS(Dados!$E:$E,$B84,Dados!$C:$C,INDEX(M$3,1,1),Dados!$A:$A,INDEX($D:$E,MATCH("B",$D:$D,0),2)))</f>
        <v/>
      </c>
      <c r="N84" s="68" t="str">
        <f>IF(COUNTIFS(Dados!$E:$E,$B84,Dados!$C:$C,INDEX(N$3,1,1),Dados!$A:$A,INDEX($D:$E,MATCH("B",$D:$D,0),2))=0,"",SUMIFS(Dados!$G:$G,Dados!$E:$E,$B84,Dados!$C:$C,INDEX(N$3,1,1),Dados!$A:$A,INDEX($D:$E,MATCH("B",$D:$D,0),2))/COUNTIFS(Dados!$E:$E,$B84,Dados!$C:$C,INDEX(N$3,1,1),Dados!$A:$A,INDEX($D:$E,MATCH("B",$D:$D,0),2)))</f>
        <v/>
      </c>
      <c r="O84" s="68" t="str">
        <f>IF(COUNTIFS(Dados!$E:$E,$B84,Dados!$C:$C,INDEX(O$3,1,1),Dados!$A:$A,INDEX($D:$E,MATCH("B",$D:$D,0),2))=0,"",SUMIFS(Dados!$G:$G,Dados!$E:$E,$B84,Dados!$C:$C,INDEX(O$3,1,1),Dados!$A:$A,INDEX($D:$E,MATCH("B",$D:$D,0),2))/COUNTIFS(Dados!$E:$E,$B84,Dados!$C:$C,INDEX(O$3,1,1),Dados!$A:$A,INDEX($D:$E,MATCH("B",$D:$D,0),2)))</f>
        <v/>
      </c>
      <c r="P84" s="68" t="str">
        <f>IF(COUNTIFS(Dados!$E:$E,$B84,Dados!$C:$C,INDEX(P$3,1,1),Dados!$A:$A,INDEX($D:$E,MATCH("B",$D:$D,0),2))=0,"",SUMIFS(Dados!$G:$G,Dados!$E:$E,$B84,Dados!$C:$C,INDEX(P$3,1,1),Dados!$A:$A,INDEX($D:$E,MATCH("B",$D:$D,0),2))/COUNTIFS(Dados!$E:$E,$B84,Dados!$C:$C,INDEX(P$3,1,1),Dados!$A:$A,INDEX($D:$E,MATCH("B",$D:$D,0),2)))</f>
        <v/>
      </c>
      <c r="Q84" s="68" t="str">
        <f>IF(COUNTIFS(Dados!$E:$E,$B84,Dados!$C:$C,INDEX(Q$3,1,1),Dados!$A:$A,INDEX($D:$E,MATCH("B",$D:$D,0),2))=0,"",SUMIFS(Dados!$G:$G,Dados!$E:$E,$B84,Dados!$C:$C,INDEX(Q$3,1,1),Dados!$A:$A,INDEX($D:$E,MATCH("B",$D:$D,0),2))/COUNTIFS(Dados!$E:$E,$B84,Dados!$C:$C,INDEX(Q$3,1,1),Dados!$A:$A,INDEX($D:$E,MATCH("B",$D:$D,0),2)))</f>
        <v/>
      </c>
      <c r="R84" s="68" t="str">
        <f>IF(COUNTIFS(Dados!$E:$E,$B84,Dados!$C:$C,INDEX(R$3,1,1),Dados!$A:$A,INDEX($D:$E,MATCH("B",$D:$D,0),2))=0,"",SUMIFS(Dados!$G:$G,Dados!$E:$E,$B84,Dados!$C:$C,INDEX(R$3,1,1),Dados!$A:$A,INDEX($D:$E,MATCH("B",$D:$D,0),2))/COUNTIFS(Dados!$E:$E,$B84,Dados!$C:$C,INDEX(R$3,1,1),Dados!$A:$A,INDEX($D:$E,MATCH("B",$D:$D,0),2)))</f>
        <v/>
      </c>
      <c r="S84" s="68" t="str">
        <f>IF(COUNTIFS(Dados!$E:$E,$B84,Dados!$C:$C,INDEX(S$3,1,1),Dados!$A:$A,INDEX($D:$E,MATCH("B",$D:$D,0),2))=0,"",SUMIFS(Dados!$G:$G,Dados!$E:$E,$B84,Dados!$C:$C,INDEX(S$3,1,1),Dados!$A:$A,INDEX($D:$E,MATCH("B",$D:$D,0),2))/COUNTIFS(Dados!$E:$E,$B84,Dados!$C:$C,INDEX(S$3,1,1),Dados!$A:$A,INDEX($D:$E,MATCH("B",$D:$D,0),2)))</f>
        <v/>
      </c>
      <c r="T84" s="68" t="str">
        <f>IF(COUNTIFS(Dados!$E:$E,$B84,Dados!$C:$C,INDEX(T$3,1,1),Dados!$A:$A,INDEX($D:$E,MATCH("B",$D:$D,0),2))=0,"",SUMIFS(Dados!$G:$G,Dados!$E:$E,$B84,Dados!$C:$C,INDEX(T$3,1,1),Dados!$A:$A,INDEX($D:$E,MATCH("B",$D:$D,0),2))/COUNTIFS(Dados!$E:$E,$B84,Dados!$C:$C,INDEX(T$3,1,1),Dados!$A:$A,INDEX($D:$E,MATCH("B",$D:$D,0),2)))</f>
        <v/>
      </c>
      <c r="U84" s="68" t="str">
        <f>IF(COUNTIFS(Dados!$E:$E,$B84,Dados!$C:$C,INDEX(U$3,1,1),Dados!$A:$A,INDEX($D:$E,MATCH("B",$D:$D,0),2))=0,"",SUMIFS(Dados!$G:$G,Dados!$E:$E,$B84,Dados!$C:$C,INDEX(U$3,1,1),Dados!$A:$A,INDEX($D:$E,MATCH("B",$D:$D,0),2))/COUNTIFS(Dados!$E:$E,$B84,Dados!$C:$C,INDEX(U$3,1,1),Dados!$A:$A,INDEX($D:$E,MATCH("B",$D:$D,0),2)))</f>
        <v/>
      </c>
      <c r="V84" s="68" t="str">
        <f>IF(COUNTIFS(Dados!$E:$E,$B84,Dados!$C:$C,INDEX(V$3,1,1),Dados!$A:$A,INDEX($D:$E,MATCH("B",$D:$D,0),2))=0,"",SUMIFS(Dados!$G:$G,Dados!$E:$E,$B84,Dados!$C:$C,INDEX(V$3,1,1),Dados!$A:$A,INDEX($D:$E,MATCH("B",$D:$D,0),2))/COUNTIFS(Dados!$E:$E,$B84,Dados!$C:$C,INDEX(V$3,1,1),Dados!$A:$A,INDEX($D:$E,MATCH("B",$D:$D,0),2)))</f>
        <v/>
      </c>
    </row>
    <row r="85" spans="2:22" x14ac:dyDescent="0.25">
      <c r="B85" s="65" t="s">
        <v>1300</v>
      </c>
      <c r="C85" s="72">
        <f>VLOOKUP(B85,B4:C22,2,0)</f>
        <v>19</v>
      </c>
      <c r="D85" s="66" t="str">
        <f>IF(COUNTIFS(Dados!$E:$E,$B85,Dados!$C:$C,INDEX(D$3,1,1),Dados!$A:$A,INDEX($D:$E,MATCH("B",$D:$D,0),2))=0,"",SUMIFS(Dados!$G:$G,Dados!$E:$E,$B85,Dados!$C:$C,INDEX(D$3,1,1),Dados!$A:$A,INDEX($D:$E,MATCH("B",$D:$D,0),2))/COUNTIFS(Dados!$E:$E,$B85,Dados!$C:$C,INDEX(D$3,1,1),Dados!$A:$A,INDEX($D:$E,MATCH("B",$D:$D,0),2)))</f>
        <v/>
      </c>
      <c r="E85" s="66" t="str">
        <f>IF(COUNTIFS(Dados!$E:$E,$B85,Dados!$C:$C,INDEX(E$3,1,1),Dados!$A:$A,INDEX($D:$E,MATCH("B",$D:$D,0),2))=0,"",SUMIFS(Dados!$G:$G,Dados!$E:$E,$B85,Dados!$C:$C,INDEX(E$3,1,1),Dados!$A:$A,INDEX($D:$E,MATCH("B",$D:$D,0),2))/COUNTIFS(Dados!$E:$E,$B85,Dados!$C:$C,INDEX(E$3,1,1),Dados!$A:$A,INDEX($D:$E,MATCH("B",$D:$D,0),2)))</f>
        <v/>
      </c>
      <c r="F85" s="66" t="str">
        <f>IF(COUNTIFS(Dados!$E:$E,$B85,Dados!$C:$C,INDEX(F$3,1,1),Dados!$A:$A,INDEX($D:$E,MATCH("B",$D:$D,0),2))=0,"",SUMIFS(Dados!$G:$G,Dados!$E:$E,$B85,Dados!$C:$C,INDEX(F$3,1,1),Dados!$A:$A,INDEX($D:$E,MATCH("B",$D:$D,0),2))/COUNTIFS(Dados!$E:$E,$B85,Dados!$C:$C,INDEX(F$3,1,1),Dados!$A:$A,INDEX($D:$E,MATCH("B",$D:$D,0),2)))</f>
        <v/>
      </c>
      <c r="G85" s="66" t="str">
        <f>IF(COUNTIFS(Dados!$E:$E,$B85,Dados!$C:$C,INDEX(G$3,1,1),Dados!$A:$A,INDEX($D:$E,MATCH("B",$D:$D,0),2))=0,"",SUMIFS(Dados!$G:$G,Dados!$E:$E,$B85,Dados!$C:$C,INDEX(G$3,1,1),Dados!$A:$A,INDEX($D:$E,MATCH("B",$D:$D,0),2))/COUNTIFS(Dados!$E:$E,$B85,Dados!$C:$C,INDEX(G$3,1,1),Dados!$A:$A,INDEX($D:$E,MATCH("B",$D:$D,0),2)))</f>
        <v/>
      </c>
      <c r="H85" s="66" t="str">
        <f>IF(COUNTIFS(Dados!$E:$E,$B85,Dados!$C:$C,INDEX(H$3,1,1),Dados!$A:$A,INDEX($D:$E,MATCH("B",$D:$D,0),2))=0,"",SUMIFS(Dados!$G:$G,Dados!$E:$E,$B85,Dados!$C:$C,INDEX(H$3,1,1),Dados!$A:$A,INDEX($D:$E,MATCH("B",$D:$D,0),2))/COUNTIFS(Dados!$E:$E,$B85,Dados!$C:$C,INDEX(H$3,1,1),Dados!$A:$A,INDEX($D:$E,MATCH("B",$D:$D,0),2)))</f>
        <v/>
      </c>
      <c r="I85" s="66" t="str">
        <f>IF(COUNTIFS(Dados!$E:$E,$B85,Dados!$C:$C,INDEX(I$3,1,1),Dados!$A:$A,INDEX($D:$E,MATCH("B",$D:$D,0),2))=0,"",SUMIFS(Dados!$G:$G,Dados!$E:$E,$B85,Dados!$C:$C,INDEX(I$3,1,1),Dados!$A:$A,INDEX($D:$E,MATCH("B",$D:$D,0),2))/COUNTIFS(Dados!$E:$E,$B85,Dados!$C:$C,INDEX(I$3,1,1),Dados!$A:$A,INDEX($D:$E,MATCH("B",$D:$D,0),2)))</f>
        <v/>
      </c>
      <c r="J85" s="66" t="str">
        <f>IF(COUNTIFS(Dados!$E:$E,$B85,Dados!$C:$C,INDEX(J$3,1,1),Dados!$A:$A,INDEX($D:$E,MATCH("B",$D:$D,0),2))=0,"",SUMIFS(Dados!$G:$G,Dados!$E:$E,$B85,Dados!$C:$C,INDEX(J$3,1,1),Dados!$A:$A,INDEX($D:$E,MATCH("B",$D:$D,0),2))/COUNTIFS(Dados!$E:$E,$B85,Dados!$C:$C,INDEX(J$3,1,1),Dados!$A:$A,INDEX($D:$E,MATCH("B",$D:$D,0),2)))</f>
        <v/>
      </c>
      <c r="K85" s="66" t="str">
        <f>IF(COUNTIFS(Dados!$E:$E,$B85,Dados!$C:$C,INDEX(K$3,1,1),Dados!$A:$A,INDEX($D:$E,MATCH("B",$D:$D,0),2))=0,"",SUMIFS(Dados!$G:$G,Dados!$E:$E,$B85,Dados!$C:$C,INDEX(K$3,1,1),Dados!$A:$A,INDEX($D:$E,MATCH("B",$D:$D,0),2))/COUNTIFS(Dados!$E:$E,$B85,Dados!$C:$C,INDEX(K$3,1,1),Dados!$A:$A,INDEX($D:$E,MATCH("B",$D:$D,0),2)))</f>
        <v/>
      </c>
      <c r="L85" s="66" t="str">
        <f>IF(COUNTIFS(Dados!$E:$E,$B85,Dados!$C:$C,INDEX(L$3,1,1),Dados!$A:$A,INDEX($D:$E,MATCH("B",$D:$D,0),2))=0,"",SUMIFS(Dados!$G:$G,Dados!$E:$E,$B85,Dados!$C:$C,INDEX(L$3,1,1),Dados!$A:$A,INDEX($D:$E,MATCH("B",$D:$D,0),2))/COUNTIFS(Dados!$E:$E,$B85,Dados!$C:$C,INDEX(L$3,1,1),Dados!$A:$A,INDEX($D:$E,MATCH("B",$D:$D,0),2)))</f>
        <v/>
      </c>
      <c r="M85" s="66" t="str">
        <f>IF(COUNTIFS(Dados!$E:$E,$B85,Dados!$C:$C,INDEX(M$3,1,1),Dados!$A:$A,INDEX($D:$E,MATCH("B",$D:$D,0),2))=0,"",SUMIFS(Dados!$G:$G,Dados!$E:$E,$B85,Dados!$C:$C,INDEX(M$3,1,1),Dados!$A:$A,INDEX($D:$E,MATCH("B",$D:$D,0),2))/COUNTIFS(Dados!$E:$E,$B85,Dados!$C:$C,INDEX(M$3,1,1),Dados!$A:$A,INDEX($D:$E,MATCH("B",$D:$D,0),2)))</f>
        <v/>
      </c>
      <c r="N85" s="66" t="str">
        <f>IF(COUNTIFS(Dados!$E:$E,$B85,Dados!$C:$C,INDEX(N$3,1,1),Dados!$A:$A,INDEX($D:$E,MATCH("B",$D:$D,0),2))=0,"",SUMIFS(Dados!$G:$G,Dados!$E:$E,$B85,Dados!$C:$C,INDEX(N$3,1,1),Dados!$A:$A,INDEX($D:$E,MATCH("B",$D:$D,0),2))/COUNTIFS(Dados!$E:$E,$B85,Dados!$C:$C,INDEX(N$3,1,1),Dados!$A:$A,INDEX($D:$E,MATCH("B",$D:$D,0),2)))</f>
        <v/>
      </c>
      <c r="O85" s="66" t="str">
        <f>IF(COUNTIFS(Dados!$E:$E,$B85,Dados!$C:$C,INDEX(O$3,1,1),Dados!$A:$A,INDEX($D:$E,MATCH("B",$D:$D,0),2))=0,"",SUMIFS(Dados!$G:$G,Dados!$E:$E,$B85,Dados!$C:$C,INDEX(O$3,1,1),Dados!$A:$A,INDEX($D:$E,MATCH("B",$D:$D,0),2))/COUNTIFS(Dados!$E:$E,$B85,Dados!$C:$C,INDEX(O$3,1,1),Dados!$A:$A,INDEX($D:$E,MATCH("B",$D:$D,0),2)))</f>
        <v/>
      </c>
      <c r="P85" s="66" t="str">
        <f>IF(COUNTIFS(Dados!$E:$E,$B85,Dados!$C:$C,INDEX(P$3,1,1),Dados!$A:$A,INDEX($D:$E,MATCH("B",$D:$D,0),2))=0,"",SUMIFS(Dados!$G:$G,Dados!$E:$E,$B85,Dados!$C:$C,INDEX(P$3,1,1),Dados!$A:$A,INDEX($D:$E,MATCH("B",$D:$D,0),2))/COUNTIFS(Dados!$E:$E,$B85,Dados!$C:$C,INDEX(P$3,1,1),Dados!$A:$A,INDEX($D:$E,MATCH("B",$D:$D,0),2)))</f>
        <v/>
      </c>
      <c r="Q85" s="66" t="str">
        <f>IF(COUNTIFS(Dados!$E:$E,$B85,Dados!$C:$C,INDEX(Q$3,1,1),Dados!$A:$A,INDEX($D:$E,MATCH("B",$D:$D,0),2))=0,"",SUMIFS(Dados!$G:$G,Dados!$E:$E,$B85,Dados!$C:$C,INDEX(Q$3,1,1),Dados!$A:$A,INDEX($D:$E,MATCH("B",$D:$D,0),2))/COUNTIFS(Dados!$E:$E,$B85,Dados!$C:$C,INDEX(Q$3,1,1),Dados!$A:$A,INDEX($D:$E,MATCH("B",$D:$D,0),2)))</f>
        <v/>
      </c>
      <c r="R85" s="66" t="str">
        <f>IF(COUNTIFS(Dados!$E:$E,$B85,Dados!$C:$C,INDEX(R$3,1,1),Dados!$A:$A,INDEX($D:$E,MATCH("B",$D:$D,0),2))=0,"",SUMIFS(Dados!$G:$G,Dados!$E:$E,$B85,Dados!$C:$C,INDEX(R$3,1,1),Dados!$A:$A,INDEX($D:$E,MATCH("B",$D:$D,0),2))/COUNTIFS(Dados!$E:$E,$B85,Dados!$C:$C,INDEX(R$3,1,1),Dados!$A:$A,INDEX($D:$E,MATCH("B",$D:$D,0),2)))</f>
        <v/>
      </c>
      <c r="S85" s="66" t="str">
        <f>IF(COUNTIFS(Dados!$E:$E,$B85,Dados!$C:$C,INDEX(S$3,1,1),Dados!$A:$A,INDEX($D:$E,MATCH("B",$D:$D,0),2))=0,"",SUMIFS(Dados!$G:$G,Dados!$E:$E,$B85,Dados!$C:$C,INDEX(S$3,1,1),Dados!$A:$A,INDEX($D:$E,MATCH("B",$D:$D,0),2))/COUNTIFS(Dados!$E:$E,$B85,Dados!$C:$C,INDEX(S$3,1,1),Dados!$A:$A,INDEX($D:$E,MATCH("B",$D:$D,0),2)))</f>
        <v/>
      </c>
      <c r="T85" s="66" t="str">
        <f>IF(COUNTIFS(Dados!$E:$E,$B85,Dados!$C:$C,INDEX(T$3,1,1),Dados!$A:$A,INDEX($D:$E,MATCH("B",$D:$D,0),2))=0,"",SUMIFS(Dados!$G:$G,Dados!$E:$E,$B85,Dados!$C:$C,INDEX(T$3,1,1),Dados!$A:$A,INDEX($D:$E,MATCH("B",$D:$D,0),2))/COUNTIFS(Dados!$E:$E,$B85,Dados!$C:$C,INDEX(T$3,1,1),Dados!$A:$A,INDEX($D:$E,MATCH("B",$D:$D,0),2)))</f>
        <v/>
      </c>
      <c r="U85" s="66" t="str">
        <f>IF(COUNTIFS(Dados!$E:$E,$B85,Dados!$C:$C,INDEX(U$3,1,1),Dados!$A:$A,INDEX($D:$E,MATCH("B",$D:$D,0),2))=0,"",SUMIFS(Dados!$G:$G,Dados!$E:$E,$B85,Dados!$C:$C,INDEX(U$3,1,1),Dados!$A:$A,INDEX($D:$E,MATCH("B",$D:$D,0),2))/COUNTIFS(Dados!$E:$E,$B85,Dados!$C:$C,INDEX(U$3,1,1),Dados!$A:$A,INDEX($D:$E,MATCH("B",$D:$D,0),2)))</f>
        <v/>
      </c>
      <c r="V85" s="66" t="str">
        <f>IF(COUNTIFS(Dados!$E:$E,$B85,Dados!$C:$C,INDEX(V$3,1,1),Dados!$A:$A,INDEX($D:$E,MATCH("B",$D:$D,0),2))=0,"",SUMIFS(Dados!$G:$G,Dados!$E:$E,$B85,Dados!$C:$C,INDEX(V$3,1,1),Dados!$A:$A,INDEX($D:$E,MATCH("B",$D:$D,0),2))/COUNTIFS(Dados!$E:$E,$B85,Dados!$C:$C,INDEX(V$3,1,1),Dados!$A:$A,INDEX($D:$E,MATCH("B",$D:$D,0),2)))</f>
        <v/>
      </c>
    </row>
    <row r="86" spans="2:22" x14ac:dyDescent="0.25">
      <c r="B86" s="63" t="s">
        <v>983</v>
      </c>
      <c r="C86" s="63"/>
      <c r="D86" s="63" t="s">
        <v>981</v>
      </c>
      <c r="E86" s="73">
        <v>10</v>
      </c>
    </row>
    <row r="87" spans="2:22" x14ac:dyDescent="0.25">
      <c r="B87" s="69" t="s">
        <v>974</v>
      </c>
      <c r="C87" s="70" t="s">
        <v>1291</v>
      </c>
      <c r="D87" s="61">
        <v>1978</v>
      </c>
      <c r="E87" s="61">
        <v>1982</v>
      </c>
      <c r="F87" s="61">
        <v>1991</v>
      </c>
      <c r="G87" s="61">
        <v>1996</v>
      </c>
      <c r="H87" s="61">
        <v>1997</v>
      </c>
      <c r="I87" s="61">
        <v>1998</v>
      </c>
      <c r="J87" s="61">
        <v>1999</v>
      </c>
      <c r="K87" s="61">
        <v>2000</v>
      </c>
      <c r="L87" s="61">
        <v>2001</v>
      </c>
      <c r="M87" s="61">
        <v>2002</v>
      </c>
      <c r="N87" s="61">
        <v>2003</v>
      </c>
      <c r="O87" s="61">
        <v>2004</v>
      </c>
      <c r="P87" s="61">
        <v>2005</v>
      </c>
      <c r="Q87" s="61">
        <v>2006</v>
      </c>
      <c r="R87" s="61">
        <v>2007</v>
      </c>
      <c r="S87" s="61">
        <v>2008</v>
      </c>
      <c r="T87" s="61">
        <v>2010</v>
      </c>
      <c r="U87" s="61">
        <v>2011</v>
      </c>
      <c r="V87" s="61">
        <v>2012</v>
      </c>
    </row>
    <row r="88" spans="2:22" x14ac:dyDescent="0.25">
      <c r="B88" s="67" t="s">
        <v>107</v>
      </c>
      <c r="C88" s="71">
        <f>VLOOKUP(B88,B4:C22,2,0)</f>
        <v>1</v>
      </c>
      <c r="D88" s="68" t="str">
        <f ca="1">IF(COUNTIFS(Dados!$E:$E,$B88,Dados!$C:$C,INDEX(D$3,1,1),Dados!$A:$A,INDEX($D:$E,MATCH("C",$D:$D,0),2))=0,"",SUMIFS(Dados!$G:$G,Dados!$E:$E,$B88,Dados!$C:$C,INDEX(D$3,1,1),Dados!$A:$A,INDEX($D:$E,MATCH("C",$D:$D,0),2))/COUNTIFS(Dados!$E:$E,$B88,Dados!$C:$C,INDEX(D$3,1,1),Dados!$A:$A,INDEX($D:$E,MATCH("C",$D:$D,0),2)))</f>
        <v/>
      </c>
      <c r="E88" s="68" t="str">
        <f ca="1">IF(COUNTIFS(Dados!$E:$E,$B88,Dados!$C:$C,INDEX(E$3,1,1),Dados!$A:$A,INDEX($D:$E,MATCH("C",$D:$D,0),2))=0,"",SUMIFS(Dados!$G:$G,Dados!$E:$E,$B88,Dados!$C:$C,INDEX(E$3,1,1),Dados!$A:$A,INDEX($D:$E,MATCH("C",$D:$D,0),2))/COUNTIFS(Dados!$E:$E,$B88,Dados!$C:$C,INDEX(E$3,1,1),Dados!$A:$A,INDEX($D:$E,MATCH("C",$D:$D,0),2)))</f>
        <v/>
      </c>
      <c r="F88" s="68" t="str">
        <f ca="1">IF(COUNTIFS(Dados!$E:$E,$B88,Dados!$C:$C,INDEX(F$3,1,1),Dados!$A:$A,INDEX($D:$E,MATCH("C",$D:$D,0),2))=0,"",SUMIFS(Dados!$G:$G,Dados!$E:$E,$B88,Dados!$C:$C,INDEX(F$3,1,1),Dados!$A:$A,INDEX($D:$E,MATCH("C",$D:$D,0),2))/COUNTIFS(Dados!$E:$E,$B88,Dados!$C:$C,INDEX(F$3,1,1),Dados!$A:$A,INDEX($D:$E,MATCH("C",$D:$D,0),2)))</f>
        <v/>
      </c>
      <c r="G88" s="68" t="str">
        <f ca="1">IF(COUNTIFS(Dados!$E:$E,$B88,Dados!$C:$C,INDEX(G$3,1,1),Dados!$A:$A,INDEX($D:$E,MATCH("C",$D:$D,0),2))=0,"",SUMIFS(Dados!$G:$G,Dados!$E:$E,$B88,Dados!$C:$C,INDEX(G$3,1,1),Dados!$A:$A,INDEX($D:$E,MATCH("C",$D:$D,0),2))/COUNTIFS(Dados!$E:$E,$B88,Dados!$C:$C,INDEX(G$3,1,1),Dados!$A:$A,INDEX($D:$E,MATCH("C",$D:$D,0),2)))</f>
        <v/>
      </c>
      <c r="H88" s="68" t="str">
        <f ca="1">IF(COUNTIFS(Dados!$E:$E,$B88,Dados!$C:$C,INDEX(H$3,1,1),Dados!$A:$A,INDEX($D:$E,MATCH("C",$D:$D,0),2))=0,"",SUMIFS(Dados!$G:$G,Dados!$E:$E,$B88,Dados!$C:$C,INDEX(H$3,1,1),Dados!$A:$A,INDEX($D:$E,MATCH("C",$D:$D,0),2))/COUNTIFS(Dados!$E:$E,$B88,Dados!$C:$C,INDEX(H$3,1,1),Dados!$A:$A,INDEX($D:$E,MATCH("C",$D:$D,0),2)))</f>
        <v/>
      </c>
      <c r="I88" s="68" t="str">
        <f ca="1">IF(COUNTIFS(Dados!$E:$E,$B88,Dados!$C:$C,INDEX(I$3,1,1),Dados!$A:$A,INDEX($D:$E,MATCH("C",$D:$D,0),2))=0,"",SUMIFS(Dados!$G:$G,Dados!$E:$E,$B88,Dados!$C:$C,INDEX(I$3,1,1),Dados!$A:$A,INDEX($D:$E,MATCH("C",$D:$D,0),2))/COUNTIFS(Dados!$E:$E,$B88,Dados!$C:$C,INDEX(I$3,1,1),Dados!$A:$A,INDEX($D:$E,MATCH("C",$D:$D,0),2)))</f>
        <v/>
      </c>
      <c r="J88" s="68" t="str">
        <f ca="1">IF(COUNTIFS(Dados!$E:$E,$B88,Dados!$C:$C,INDEX(J$3,1,1),Dados!$A:$A,INDEX($D:$E,MATCH("C",$D:$D,0),2))=0,"",SUMIFS(Dados!$G:$G,Dados!$E:$E,$B88,Dados!$C:$C,INDEX(J$3,1,1),Dados!$A:$A,INDEX($D:$E,MATCH("C",$D:$D,0),2))/COUNTIFS(Dados!$E:$E,$B88,Dados!$C:$C,INDEX(J$3,1,1),Dados!$A:$A,INDEX($D:$E,MATCH("C",$D:$D,0),2)))</f>
        <v/>
      </c>
      <c r="K88" s="68" t="str">
        <f ca="1">IF(COUNTIFS(Dados!$E:$E,$B88,Dados!$C:$C,INDEX(K$3,1,1),Dados!$A:$A,INDEX($D:$E,MATCH("C",$D:$D,0),2))=0,"",SUMIFS(Dados!$G:$G,Dados!$E:$E,$B88,Dados!$C:$C,INDEX(K$3,1,1),Dados!$A:$A,INDEX($D:$E,MATCH("C",$D:$D,0),2))/COUNTIFS(Dados!$E:$E,$B88,Dados!$C:$C,INDEX(K$3,1,1),Dados!$A:$A,INDEX($D:$E,MATCH("C",$D:$D,0),2)))</f>
        <v/>
      </c>
      <c r="L88" s="68" t="str">
        <f ca="1">IF(COUNTIFS(Dados!$E:$E,$B88,Dados!$C:$C,INDEX(L$3,1,1),Dados!$A:$A,INDEX($D:$E,MATCH("C",$D:$D,0),2))=0,"",SUMIFS(Dados!$G:$G,Dados!$E:$E,$B88,Dados!$C:$C,INDEX(L$3,1,1),Dados!$A:$A,INDEX($D:$E,MATCH("C",$D:$D,0),2))/COUNTIFS(Dados!$E:$E,$B88,Dados!$C:$C,INDEX(L$3,1,1),Dados!$A:$A,INDEX($D:$E,MATCH("C",$D:$D,0),2)))</f>
        <v/>
      </c>
      <c r="M88" s="68" t="str">
        <f ca="1">IF(COUNTIFS(Dados!$E:$E,$B88,Dados!$C:$C,INDEX(M$3,1,1),Dados!$A:$A,INDEX($D:$E,MATCH("C",$D:$D,0),2))=0,"",SUMIFS(Dados!$G:$G,Dados!$E:$E,$B88,Dados!$C:$C,INDEX(M$3,1,1),Dados!$A:$A,INDEX($D:$E,MATCH("C",$D:$D,0),2))/COUNTIFS(Dados!$E:$E,$B88,Dados!$C:$C,INDEX(M$3,1,1),Dados!$A:$A,INDEX($D:$E,MATCH("C",$D:$D,0),2)))</f>
        <v/>
      </c>
      <c r="N88" s="68" t="str">
        <f ca="1">IF(COUNTIFS(Dados!$E:$E,$B88,Dados!$C:$C,INDEX(N$3,1,1),Dados!$A:$A,INDEX($D:$E,MATCH("C",$D:$D,0),2))=0,"",SUMIFS(Dados!$G:$G,Dados!$E:$E,$B88,Dados!$C:$C,INDEX(N$3,1,1),Dados!$A:$A,INDEX($D:$E,MATCH("C",$D:$D,0),2))/COUNTIFS(Dados!$E:$E,$B88,Dados!$C:$C,INDEX(N$3,1,1),Dados!$A:$A,INDEX($D:$E,MATCH("C",$D:$D,0),2)))</f>
        <v/>
      </c>
      <c r="O88" s="68" t="str">
        <f ca="1">IF(COUNTIFS(Dados!$E:$E,$B88,Dados!$C:$C,INDEX(O$3,1,1),Dados!$A:$A,INDEX($D:$E,MATCH("C",$D:$D,0),2))=0,"",SUMIFS(Dados!$G:$G,Dados!$E:$E,$B88,Dados!$C:$C,INDEX(O$3,1,1),Dados!$A:$A,INDEX($D:$E,MATCH("C",$D:$D,0),2))/COUNTIFS(Dados!$E:$E,$B88,Dados!$C:$C,INDEX(O$3,1,1),Dados!$A:$A,INDEX($D:$E,MATCH("C",$D:$D,0),2)))</f>
        <v/>
      </c>
      <c r="P88" s="68" t="str">
        <f ca="1">IF(COUNTIFS(Dados!$E:$E,$B88,Dados!$C:$C,INDEX(P$3,1,1),Dados!$A:$A,INDEX($D:$E,MATCH("C",$D:$D,0),2))=0,"",SUMIFS(Dados!$G:$G,Dados!$E:$E,$B88,Dados!$C:$C,INDEX(P$3,1,1),Dados!$A:$A,INDEX($D:$E,MATCH("C",$D:$D,0),2))/COUNTIFS(Dados!$E:$E,$B88,Dados!$C:$C,INDEX(P$3,1,1),Dados!$A:$A,INDEX($D:$E,MATCH("C",$D:$D,0),2)))</f>
        <v/>
      </c>
      <c r="Q88" s="68" t="str">
        <f ca="1">IF(COUNTIFS(Dados!$E:$E,$B88,Dados!$C:$C,INDEX(Q$3,1,1),Dados!$A:$A,INDEX($D:$E,MATCH("C",$D:$D,0),2))=0,"",SUMIFS(Dados!$G:$G,Dados!$E:$E,$B88,Dados!$C:$C,INDEX(Q$3,1,1),Dados!$A:$A,INDEX($D:$E,MATCH("C",$D:$D,0),2))/COUNTIFS(Dados!$E:$E,$B88,Dados!$C:$C,INDEX(Q$3,1,1),Dados!$A:$A,INDEX($D:$E,MATCH("C",$D:$D,0),2)))</f>
        <v/>
      </c>
      <c r="R88" s="68" t="str">
        <f ca="1">IF(COUNTIFS(Dados!$E:$E,$B88,Dados!$C:$C,INDEX(R$3,1,1),Dados!$A:$A,INDEX($D:$E,MATCH("C",$D:$D,0),2))=0,"",SUMIFS(Dados!$G:$G,Dados!$E:$E,$B88,Dados!$C:$C,INDEX(R$3,1,1),Dados!$A:$A,INDEX($D:$E,MATCH("C",$D:$D,0),2))/COUNTIFS(Dados!$E:$E,$B88,Dados!$C:$C,INDEX(R$3,1,1),Dados!$A:$A,INDEX($D:$E,MATCH("C",$D:$D,0),2)))</f>
        <v/>
      </c>
      <c r="S88" s="68" t="str">
        <f ca="1">IF(COUNTIFS(Dados!$E:$E,$B88,Dados!$C:$C,INDEX(S$3,1,1),Dados!$A:$A,INDEX($D:$E,MATCH("C",$D:$D,0),2))=0,"",SUMIFS(Dados!$G:$G,Dados!$E:$E,$B88,Dados!$C:$C,INDEX(S$3,1,1),Dados!$A:$A,INDEX($D:$E,MATCH("C",$D:$D,0),2))/COUNTIFS(Dados!$E:$E,$B88,Dados!$C:$C,INDEX(S$3,1,1),Dados!$A:$A,INDEX($D:$E,MATCH("C",$D:$D,0),2)))</f>
        <v/>
      </c>
      <c r="T88" s="68" t="str">
        <f ca="1">IF(COUNTIFS(Dados!$E:$E,$B88,Dados!$C:$C,INDEX(T$3,1,1),Dados!$A:$A,INDEX($D:$E,MATCH("C",$D:$D,0),2))=0,"",SUMIFS(Dados!$G:$G,Dados!$E:$E,$B88,Dados!$C:$C,INDEX(T$3,1,1),Dados!$A:$A,INDEX($D:$E,MATCH("C",$D:$D,0),2))/COUNTIFS(Dados!$E:$E,$B88,Dados!$C:$C,INDEX(T$3,1,1),Dados!$A:$A,INDEX($D:$E,MATCH("C",$D:$D,0),2)))</f>
        <v/>
      </c>
      <c r="U88" s="68" t="str">
        <f ca="1">IF(COUNTIFS(Dados!$E:$E,$B88,Dados!$C:$C,INDEX(U$3,1,1),Dados!$A:$A,INDEX($D:$E,MATCH("C",$D:$D,0),2))=0,"",SUMIFS(Dados!$G:$G,Dados!$E:$E,$B88,Dados!$C:$C,INDEX(U$3,1,1),Dados!$A:$A,INDEX($D:$E,MATCH("C",$D:$D,0),2))/COUNTIFS(Dados!$E:$E,$B88,Dados!$C:$C,INDEX(U$3,1,1),Dados!$A:$A,INDEX($D:$E,MATCH("C",$D:$D,0),2)))</f>
        <v/>
      </c>
      <c r="V88" s="68" t="str">
        <f ca="1">IF(COUNTIFS(Dados!$E:$E,$B88,Dados!$C:$C,INDEX(V$3,1,1),Dados!$A:$A,INDEX($D:$E,MATCH("C",$D:$D,0),2))=0,"",SUMIFS(Dados!$G:$G,Dados!$E:$E,$B88,Dados!$C:$C,INDEX(V$3,1,1),Dados!$A:$A,INDEX($D:$E,MATCH("C",$D:$D,0),2))/COUNTIFS(Dados!$E:$E,$B88,Dados!$C:$C,INDEX(V$3,1,1),Dados!$A:$A,INDEX($D:$E,MATCH("C",$D:$D,0),2)))</f>
        <v/>
      </c>
    </row>
    <row r="89" spans="2:22" x14ac:dyDescent="0.25">
      <c r="B89" s="65" t="s">
        <v>96</v>
      </c>
      <c r="C89" s="72">
        <f>VLOOKUP(B89,B4:C22,2,0)</f>
        <v>2</v>
      </c>
      <c r="D89" s="66" t="str">
        <f ca="1">IF(COUNTIFS(Dados!$E:$E,$B89,Dados!$C:$C,INDEX(D$3,1,1),Dados!$A:$A,INDEX($D:$E,MATCH("C",$D:$D,0),2))=0,"",SUMIFS(Dados!$G:$G,Dados!$E:$E,$B89,Dados!$C:$C,INDEX(D$3,1,1),Dados!$A:$A,INDEX($D:$E,MATCH("C",$D:$D,0),2))/COUNTIFS(Dados!$E:$E,$B89,Dados!$C:$C,INDEX(D$3,1,1),Dados!$A:$A,INDEX($D:$E,MATCH("C",$D:$D,0),2)))</f>
        <v/>
      </c>
      <c r="E89" s="66" t="str">
        <f ca="1">IF(COUNTIFS(Dados!$E:$E,$B89,Dados!$C:$C,INDEX(E$3,1,1),Dados!$A:$A,INDEX($D:$E,MATCH("C",$D:$D,0),2))=0,"",SUMIFS(Dados!$G:$G,Dados!$E:$E,$B89,Dados!$C:$C,INDEX(E$3,1,1),Dados!$A:$A,INDEX($D:$E,MATCH("C",$D:$D,0),2))/COUNTIFS(Dados!$E:$E,$B89,Dados!$C:$C,INDEX(E$3,1,1),Dados!$A:$A,INDEX($D:$E,MATCH("C",$D:$D,0),2)))</f>
        <v/>
      </c>
      <c r="F89" s="66" t="str">
        <f ca="1">IF(COUNTIFS(Dados!$E:$E,$B89,Dados!$C:$C,INDEX(F$3,1,1),Dados!$A:$A,INDEX($D:$E,MATCH("C",$D:$D,0),2))=0,"",SUMIFS(Dados!$G:$G,Dados!$E:$E,$B89,Dados!$C:$C,INDEX(F$3,1,1),Dados!$A:$A,INDEX($D:$E,MATCH("C",$D:$D,0),2))/COUNTIFS(Dados!$E:$E,$B89,Dados!$C:$C,INDEX(F$3,1,1),Dados!$A:$A,INDEX($D:$E,MATCH("C",$D:$D,0),2)))</f>
        <v/>
      </c>
      <c r="G89" s="66" t="str">
        <f ca="1">IF(COUNTIFS(Dados!$E:$E,$B89,Dados!$C:$C,INDEX(G$3,1,1),Dados!$A:$A,INDEX($D:$E,MATCH("C",$D:$D,0),2))=0,"",SUMIFS(Dados!$G:$G,Dados!$E:$E,$B89,Dados!$C:$C,INDEX(G$3,1,1),Dados!$A:$A,INDEX($D:$E,MATCH("C",$D:$D,0),2))/COUNTIFS(Dados!$E:$E,$B89,Dados!$C:$C,INDEX(G$3,1,1),Dados!$A:$A,INDEX($D:$E,MATCH("C",$D:$D,0),2)))</f>
        <v/>
      </c>
      <c r="H89" s="66" t="str">
        <f ca="1">IF(COUNTIFS(Dados!$E:$E,$B89,Dados!$C:$C,INDEX(H$3,1,1),Dados!$A:$A,INDEX($D:$E,MATCH("C",$D:$D,0),2))=0,"",SUMIFS(Dados!$G:$G,Dados!$E:$E,$B89,Dados!$C:$C,INDEX(H$3,1,1),Dados!$A:$A,INDEX($D:$E,MATCH("C",$D:$D,0),2))/COUNTIFS(Dados!$E:$E,$B89,Dados!$C:$C,INDEX(H$3,1,1),Dados!$A:$A,INDEX($D:$E,MATCH("C",$D:$D,0),2)))</f>
        <v/>
      </c>
      <c r="I89" s="66" t="str">
        <f ca="1">IF(COUNTIFS(Dados!$E:$E,$B89,Dados!$C:$C,INDEX(I$3,1,1),Dados!$A:$A,INDEX($D:$E,MATCH("C",$D:$D,0),2))=0,"",SUMIFS(Dados!$G:$G,Dados!$E:$E,$B89,Dados!$C:$C,INDEX(I$3,1,1),Dados!$A:$A,INDEX($D:$E,MATCH("C",$D:$D,0),2))/COUNTIFS(Dados!$E:$E,$B89,Dados!$C:$C,INDEX(I$3,1,1),Dados!$A:$A,INDEX($D:$E,MATCH("C",$D:$D,0),2)))</f>
        <v/>
      </c>
      <c r="J89" s="66" t="str">
        <f ca="1">IF(COUNTIFS(Dados!$E:$E,$B89,Dados!$C:$C,INDEX(J$3,1,1),Dados!$A:$A,INDEX($D:$E,MATCH("C",$D:$D,0),2))=0,"",SUMIFS(Dados!$G:$G,Dados!$E:$E,$B89,Dados!$C:$C,INDEX(J$3,1,1),Dados!$A:$A,INDEX($D:$E,MATCH("C",$D:$D,0),2))/COUNTIFS(Dados!$E:$E,$B89,Dados!$C:$C,INDEX(J$3,1,1),Dados!$A:$A,INDEX($D:$E,MATCH("C",$D:$D,0),2)))</f>
        <v/>
      </c>
      <c r="K89" s="66" t="str">
        <f ca="1">IF(COUNTIFS(Dados!$E:$E,$B89,Dados!$C:$C,INDEX(K$3,1,1),Dados!$A:$A,INDEX($D:$E,MATCH("C",$D:$D,0),2))=0,"",SUMIFS(Dados!$G:$G,Dados!$E:$E,$B89,Dados!$C:$C,INDEX(K$3,1,1),Dados!$A:$A,INDEX($D:$E,MATCH("C",$D:$D,0),2))/COUNTIFS(Dados!$E:$E,$B89,Dados!$C:$C,INDEX(K$3,1,1),Dados!$A:$A,INDEX($D:$E,MATCH("C",$D:$D,0),2)))</f>
        <v/>
      </c>
      <c r="L89" s="66" t="str">
        <f ca="1">IF(COUNTIFS(Dados!$E:$E,$B89,Dados!$C:$C,INDEX(L$3,1,1),Dados!$A:$A,INDEX($D:$E,MATCH("C",$D:$D,0),2))=0,"",SUMIFS(Dados!$G:$G,Dados!$E:$E,$B89,Dados!$C:$C,INDEX(L$3,1,1),Dados!$A:$A,INDEX($D:$E,MATCH("C",$D:$D,0),2))/COUNTIFS(Dados!$E:$E,$B89,Dados!$C:$C,INDEX(L$3,1,1),Dados!$A:$A,INDEX($D:$E,MATCH("C",$D:$D,0),2)))</f>
        <v/>
      </c>
      <c r="M89" s="66" t="str">
        <f ca="1">IF(COUNTIFS(Dados!$E:$E,$B89,Dados!$C:$C,INDEX(M$3,1,1),Dados!$A:$A,INDEX($D:$E,MATCH("C",$D:$D,0),2))=0,"",SUMIFS(Dados!$G:$G,Dados!$E:$E,$B89,Dados!$C:$C,INDEX(M$3,1,1),Dados!$A:$A,INDEX($D:$E,MATCH("C",$D:$D,0),2))/COUNTIFS(Dados!$E:$E,$B89,Dados!$C:$C,INDEX(M$3,1,1),Dados!$A:$A,INDEX($D:$E,MATCH("C",$D:$D,0),2)))</f>
        <v/>
      </c>
      <c r="N89" s="66" t="str">
        <f ca="1">IF(COUNTIFS(Dados!$E:$E,$B89,Dados!$C:$C,INDEX(N$3,1,1),Dados!$A:$A,INDEX($D:$E,MATCH("C",$D:$D,0),2))=0,"",SUMIFS(Dados!$G:$G,Dados!$E:$E,$B89,Dados!$C:$C,INDEX(N$3,1,1),Dados!$A:$A,INDEX($D:$E,MATCH("C",$D:$D,0),2))/COUNTIFS(Dados!$E:$E,$B89,Dados!$C:$C,INDEX(N$3,1,1),Dados!$A:$A,INDEX($D:$E,MATCH("C",$D:$D,0),2)))</f>
        <v/>
      </c>
      <c r="O89" s="66" t="str">
        <f ca="1">IF(COUNTIFS(Dados!$E:$E,$B89,Dados!$C:$C,INDEX(O$3,1,1),Dados!$A:$A,INDEX($D:$E,MATCH("C",$D:$D,0),2))=0,"",SUMIFS(Dados!$G:$G,Dados!$E:$E,$B89,Dados!$C:$C,INDEX(O$3,1,1),Dados!$A:$A,INDEX($D:$E,MATCH("C",$D:$D,0),2))/COUNTIFS(Dados!$E:$E,$B89,Dados!$C:$C,INDEX(O$3,1,1),Dados!$A:$A,INDEX($D:$E,MATCH("C",$D:$D,0),2)))</f>
        <v/>
      </c>
      <c r="P89" s="66" t="str">
        <f ca="1">IF(COUNTIFS(Dados!$E:$E,$B89,Dados!$C:$C,INDEX(P$3,1,1),Dados!$A:$A,INDEX($D:$E,MATCH("C",$D:$D,0),2))=0,"",SUMIFS(Dados!$G:$G,Dados!$E:$E,$B89,Dados!$C:$C,INDEX(P$3,1,1),Dados!$A:$A,INDEX($D:$E,MATCH("C",$D:$D,0),2))/COUNTIFS(Dados!$E:$E,$B89,Dados!$C:$C,INDEX(P$3,1,1),Dados!$A:$A,INDEX($D:$E,MATCH("C",$D:$D,0),2)))</f>
        <v/>
      </c>
      <c r="Q89" s="66" t="str">
        <f ca="1">IF(COUNTIFS(Dados!$E:$E,$B89,Dados!$C:$C,INDEX(Q$3,1,1),Dados!$A:$A,INDEX($D:$E,MATCH("C",$D:$D,0),2))=0,"",SUMIFS(Dados!$G:$G,Dados!$E:$E,$B89,Dados!$C:$C,INDEX(Q$3,1,1),Dados!$A:$A,INDEX($D:$E,MATCH("C",$D:$D,0),2))/COUNTIFS(Dados!$E:$E,$B89,Dados!$C:$C,INDEX(Q$3,1,1),Dados!$A:$A,INDEX($D:$E,MATCH("C",$D:$D,0),2)))</f>
        <v/>
      </c>
      <c r="R89" s="66" t="str">
        <f ca="1">IF(COUNTIFS(Dados!$E:$E,$B89,Dados!$C:$C,INDEX(R$3,1,1),Dados!$A:$A,INDEX($D:$E,MATCH("C",$D:$D,0),2))=0,"",SUMIFS(Dados!$G:$G,Dados!$E:$E,$B89,Dados!$C:$C,INDEX(R$3,1,1),Dados!$A:$A,INDEX($D:$E,MATCH("C",$D:$D,0),2))/COUNTIFS(Dados!$E:$E,$B89,Dados!$C:$C,INDEX(R$3,1,1),Dados!$A:$A,INDEX($D:$E,MATCH("C",$D:$D,0),2)))</f>
        <v/>
      </c>
      <c r="S89" s="66" t="str">
        <f ca="1">IF(COUNTIFS(Dados!$E:$E,$B89,Dados!$C:$C,INDEX(S$3,1,1),Dados!$A:$A,INDEX($D:$E,MATCH("C",$D:$D,0),2))=0,"",SUMIFS(Dados!$G:$G,Dados!$E:$E,$B89,Dados!$C:$C,INDEX(S$3,1,1),Dados!$A:$A,INDEX($D:$E,MATCH("C",$D:$D,0),2))/COUNTIFS(Dados!$E:$E,$B89,Dados!$C:$C,INDEX(S$3,1,1),Dados!$A:$A,INDEX($D:$E,MATCH("C",$D:$D,0),2)))</f>
        <v/>
      </c>
      <c r="T89" s="66" t="str">
        <f ca="1">IF(COUNTIFS(Dados!$E:$E,$B89,Dados!$C:$C,INDEX(T$3,1,1),Dados!$A:$A,INDEX($D:$E,MATCH("C",$D:$D,0),2))=0,"",SUMIFS(Dados!$G:$G,Dados!$E:$E,$B89,Dados!$C:$C,INDEX(T$3,1,1),Dados!$A:$A,INDEX($D:$E,MATCH("C",$D:$D,0),2))/COUNTIFS(Dados!$E:$E,$B89,Dados!$C:$C,INDEX(T$3,1,1),Dados!$A:$A,INDEX($D:$E,MATCH("C",$D:$D,0),2)))</f>
        <v/>
      </c>
      <c r="U89" s="66" t="str">
        <f ca="1">IF(COUNTIFS(Dados!$E:$E,$B89,Dados!$C:$C,INDEX(U$3,1,1),Dados!$A:$A,INDEX($D:$E,MATCH("C",$D:$D,0),2))=0,"",SUMIFS(Dados!$G:$G,Dados!$E:$E,$B89,Dados!$C:$C,INDEX(U$3,1,1),Dados!$A:$A,INDEX($D:$E,MATCH("C",$D:$D,0),2))/COUNTIFS(Dados!$E:$E,$B89,Dados!$C:$C,INDEX(U$3,1,1),Dados!$A:$A,INDEX($D:$E,MATCH("C",$D:$D,0),2)))</f>
        <v/>
      </c>
      <c r="V89" s="66" t="str">
        <f ca="1">IF(COUNTIFS(Dados!$E:$E,$B89,Dados!$C:$C,INDEX(V$3,1,1),Dados!$A:$A,INDEX($D:$E,MATCH("C",$D:$D,0),2))=0,"",SUMIFS(Dados!$G:$G,Dados!$E:$E,$B89,Dados!$C:$C,INDEX(V$3,1,1),Dados!$A:$A,INDEX($D:$E,MATCH("C",$D:$D,0),2))/COUNTIFS(Dados!$E:$E,$B89,Dados!$C:$C,INDEX(V$3,1,1),Dados!$A:$A,INDEX($D:$E,MATCH("C",$D:$D,0),2)))</f>
        <v/>
      </c>
    </row>
    <row r="90" spans="2:22" x14ac:dyDescent="0.25">
      <c r="B90" s="67" t="s">
        <v>1297</v>
      </c>
      <c r="C90" s="71">
        <f>VLOOKUP(B90,B4:C22,2,0)</f>
        <v>3</v>
      </c>
      <c r="D90" s="68" t="str">
        <f ca="1">IF(COUNTIFS(Dados!$E:$E,$B90,Dados!$C:$C,INDEX(D$3,1,1),Dados!$A:$A,INDEX($D:$E,MATCH("C",$D:$D,0),2))=0,"",SUMIFS(Dados!$G:$G,Dados!$E:$E,$B90,Dados!$C:$C,INDEX(D$3,1,1),Dados!$A:$A,INDEX($D:$E,MATCH("C",$D:$D,0),2))/COUNTIFS(Dados!$E:$E,$B90,Dados!$C:$C,INDEX(D$3,1,1),Dados!$A:$A,INDEX($D:$E,MATCH("C",$D:$D,0),2)))</f>
        <v/>
      </c>
      <c r="E90" s="68" t="str">
        <f ca="1">IF(COUNTIFS(Dados!$E:$E,$B90,Dados!$C:$C,INDEX(E$3,1,1),Dados!$A:$A,INDEX($D:$E,MATCH("C",$D:$D,0),2))=0,"",SUMIFS(Dados!$G:$G,Dados!$E:$E,$B90,Dados!$C:$C,INDEX(E$3,1,1),Dados!$A:$A,INDEX($D:$E,MATCH("C",$D:$D,0),2))/COUNTIFS(Dados!$E:$E,$B90,Dados!$C:$C,INDEX(E$3,1,1),Dados!$A:$A,INDEX($D:$E,MATCH("C",$D:$D,0),2)))</f>
        <v/>
      </c>
      <c r="F90" s="68" t="str">
        <f ca="1">IF(COUNTIFS(Dados!$E:$E,$B90,Dados!$C:$C,INDEX(F$3,1,1),Dados!$A:$A,INDEX($D:$E,MATCH("C",$D:$D,0),2))=0,"",SUMIFS(Dados!$G:$G,Dados!$E:$E,$B90,Dados!$C:$C,INDEX(F$3,1,1),Dados!$A:$A,INDEX($D:$E,MATCH("C",$D:$D,0),2))/COUNTIFS(Dados!$E:$E,$B90,Dados!$C:$C,INDEX(F$3,1,1),Dados!$A:$A,INDEX($D:$E,MATCH("C",$D:$D,0),2)))</f>
        <v/>
      </c>
      <c r="G90" s="68" t="str">
        <f ca="1">IF(COUNTIFS(Dados!$E:$E,$B90,Dados!$C:$C,INDEX(G$3,1,1),Dados!$A:$A,INDEX($D:$E,MATCH("C",$D:$D,0),2))=0,"",SUMIFS(Dados!$G:$G,Dados!$E:$E,$B90,Dados!$C:$C,INDEX(G$3,1,1),Dados!$A:$A,INDEX($D:$E,MATCH("C",$D:$D,0),2))/COUNTIFS(Dados!$E:$E,$B90,Dados!$C:$C,INDEX(G$3,1,1),Dados!$A:$A,INDEX($D:$E,MATCH("C",$D:$D,0),2)))</f>
        <v/>
      </c>
      <c r="H90" s="68" t="str">
        <f ca="1">IF(COUNTIFS(Dados!$E:$E,$B90,Dados!$C:$C,INDEX(H$3,1,1),Dados!$A:$A,INDEX($D:$E,MATCH("C",$D:$D,0),2))=0,"",SUMIFS(Dados!$G:$G,Dados!$E:$E,$B90,Dados!$C:$C,INDEX(H$3,1,1),Dados!$A:$A,INDEX($D:$E,MATCH("C",$D:$D,0),2))/COUNTIFS(Dados!$E:$E,$B90,Dados!$C:$C,INDEX(H$3,1,1),Dados!$A:$A,INDEX($D:$E,MATCH("C",$D:$D,0),2)))</f>
        <v/>
      </c>
      <c r="I90" s="68" t="str">
        <f ca="1">IF(COUNTIFS(Dados!$E:$E,$B90,Dados!$C:$C,INDEX(I$3,1,1),Dados!$A:$A,INDEX($D:$E,MATCH("C",$D:$D,0),2))=0,"",SUMIFS(Dados!$G:$G,Dados!$E:$E,$B90,Dados!$C:$C,INDEX(I$3,1,1),Dados!$A:$A,INDEX($D:$E,MATCH("C",$D:$D,0),2))/COUNTIFS(Dados!$E:$E,$B90,Dados!$C:$C,INDEX(I$3,1,1),Dados!$A:$A,INDEX($D:$E,MATCH("C",$D:$D,0),2)))</f>
        <v/>
      </c>
      <c r="J90" s="68" t="str">
        <f ca="1">IF(COUNTIFS(Dados!$E:$E,$B90,Dados!$C:$C,INDEX(J$3,1,1),Dados!$A:$A,INDEX($D:$E,MATCH("C",$D:$D,0),2))=0,"",SUMIFS(Dados!$G:$G,Dados!$E:$E,$B90,Dados!$C:$C,INDEX(J$3,1,1),Dados!$A:$A,INDEX($D:$E,MATCH("C",$D:$D,0),2))/COUNTIFS(Dados!$E:$E,$B90,Dados!$C:$C,INDEX(J$3,1,1),Dados!$A:$A,INDEX($D:$E,MATCH("C",$D:$D,0),2)))</f>
        <v/>
      </c>
      <c r="K90" s="68" t="str">
        <f ca="1">IF(COUNTIFS(Dados!$E:$E,$B90,Dados!$C:$C,INDEX(K$3,1,1),Dados!$A:$A,INDEX($D:$E,MATCH("C",$D:$D,0),2))=0,"",SUMIFS(Dados!$G:$G,Dados!$E:$E,$B90,Dados!$C:$C,INDEX(K$3,1,1),Dados!$A:$A,INDEX($D:$E,MATCH("C",$D:$D,0),2))/COUNTIFS(Dados!$E:$E,$B90,Dados!$C:$C,INDEX(K$3,1,1),Dados!$A:$A,INDEX($D:$E,MATCH("C",$D:$D,0),2)))</f>
        <v/>
      </c>
      <c r="L90" s="68" t="str">
        <f ca="1">IF(COUNTIFS(Dados!$E:$E,$B90,Dados!$C:$C,INDEX(L$3,1,1),Dados!$A:$A,INDEX($D:$E,MATCH("C",$D:$D,0),2))=0,"",SUMIFS(Dados!$G:$G,Dados!$E:$E,$B90,Dados!$C:$C,INDEX(L$3,1,1),Dados!$A:$A,INDEX($D:$E,MATCH("C",$D:$D,0),2))/COUNTIFS(Dados!$E:$E,$B90,Dados!$C:$C,INDEX(L$3,1,1),Dados!$A:$A,INDEX($D:$E,MATCH("C",$D:$D,0),2)))</f>
        <v/>
      </c>
      <c r="M90" s="68" t="str">
        <f ca="1">IF(COUNTIFS(Dados!$E:$E,$B90,Dados!$C:$C,INDEX(M$3,1,1),Dados!$A:$A,INDEX($D:$E,MATCH("C",$D:$D,0),2))=0,"",SUMIFS(Dados!$G:$G,Dados!$E:$E,$B90,Dados!$C:$C,INDEX(M$3,1,1),Dados!$A:$A,INDEX($D:$E,MATCH("C",$D:$D,0),2))/COUNTIFS(Dados!$E:$E,$B90,Dados!$C:$C,INDEX(M$3,1,1),Dados!$A:$A,INDEX($D:$E,MATCH("C",$D:$D,0),2)))</f>
        <v/>
      </c>
      <c r="N90" s="68" t="str">
        <f ca="1">IF(COUNTIFS(Dados!$E:$E,$B90,Dados!$C:$C,INDEX(N$3,1,1),Dados!$A:$A,INDEX($D:$E,MATCH("C",$D:$D,0),2))=0,"",SUMIFS(Dados!$G:$G,Dados!$E:$E,$B90,Dados!$C:$C,INDEX(N$3,1,1),Dados!$A:$A,INDEX($D:$E,MATCH("C",$D:$D,0),2))/COUNTIFS(Dados!$E:$E,$B90,Dados!$C:$C,INDEX(N$3,1,1),Dados!$A:$A,INDEX($D:$E,MATCH("C",$D:$D,0),2)))</f>
        <v/>
      </c>
      <c r="O90" s="68" t="str">
        <f ca="1">IF(COUNTIFS(Dados!$E:$E,$B90,Dados!$C:$C,INDEX(O$3,1,1),Dados!$A:$A,INDEX($D:$E,MATCH("C",$D:$D,0),2))=0,"",SUMIFS(Dados!$G:$G,Dados!$E:$E,$B90,Dados!$C:$C,INDEX(O$3,1,1),Dados!$A:$A,INDEX($D:$E,MATCH("C",$D:$D,0),2))/COUNTIFS(Dados!$E:$E,$B90,Dados!$C:$C,INDEX(O$3,1,1),Dados!$A:$A,INDEX($D:$E,MATCH("C",$D:$D,0),2)))</f>
        <v/>
      </c>
      <c r="P90" s="68" t="str">
        <f ca="1">IF(COUNTIFS(Dados!$E:$E,$B90,Dados!$C:$C,INDEX(P$3,1,1),Dados!$A:$A,INDEX($D:$E,MATCH("C",$D:$D,0),2))=0,"",SUMIFS(Dados!$G:$G,Dados!$E:$E,$B90,Dados!$C:$C,INDEX(P$3,1,1),Dados!$A:$A,INDEX($D:$E,MATCH("C",$D:$D,0),2))/COUNTIFS(Dados!$E:$E,$B90,Dados!$C:$C,INDEX(P$3,1,1),Dados!$A:$A,INDEX($D:$E,MATCH("C",$D:$D,0),2)))</f>
        <v/>
      </c>
      <c r="Q90" s="68" t="str">
        <f ca="1">IF(COUNTIFS(Dados!$E:$E,$B90,Dados!$C:$C,INDEX(Q$3,1,1),Dados!$A:$A,INDEX($D:$E,MATCH("C",$D:$D,0),2))=0,"",SUMIFS(Dados!$G:$G,Dados!$E:$E,$B90,Dados!$C:$C,INDEX(Q$3,1,1),Dados!$A:$A,INDEX($D:$E,MATCH("C",$D:$D,0),2))/COUNTIFS(Dados!$E:$E,$B90,Dados!$C:$C,INDEX(Q$3,1,1),Dados!$A:$A,INDEX($D:$E,MATCH("C",$D:$D,0),2)))</f>
        <v/>
      </c>
      <c r="R90" s="68" t="str">
        <f ca="1">IF(COUNTIFS(Dados!$E:$E,$B90,Dados!$C:$C,INDEX(R$3,1,1),Dados!$A:$A,INDEX($D:$E,MATCH("C",$D:$D,0),2))=0,"",SUMIFS(Dados!$G:$G,Dados!$E:$E,$B90,Dados!$C:$C,INDEX(R$3,1,1),Dados!$A:$A,INDEX($D:$E,MATCH("C",$D:$D,0),2))/COUNTIFS(Dados!$E:$E,$B90,Dados!$C:$C,INDEX(R$3,1,1),Dados!$A:$A,INDEX($D:$E,MATCH("C",$D:$D,0),2)))</f>
        <v/>
      </c>
      <c r="S90" s="68" t="str">
        <f ca="1">IF(COUNTIFS(Dados!$E:$E,$B90,Dados!$C:$C,INDEX(S$3,1,1),Dados!$A:$A,INDEX($D:$E,MATCH("C",$D:$D,0),2))=0,"",SUMIFS(Dados!$G:$G,Dados!$E:$E,$B90,Dados!$C:$C,INDEX(S$3,1,1),Dados!$A:$A,INDEX($D:$E,MATCH("C",$D:$D,0),2))/COUNTIFS(Dados!$E:$E,$B90,Dados!$C:$C,INDEX(S$3,1,1),Dados!$A:$A,INDEX($D:$E,MATCH("C",$D:$D,0),2)))</f>
        <v/>
      </c>
      <c r="T90" s="68" t="str">
        <f ca="1">IF(COUNTIFS(Dados!$E:$E,$B90,Dados!$C:$C,INDEX(T$3,1,1),Dados!$A:$A,INDEX($D:$E,MATCH("C",$D:$D,0),2))=0,"",SUMIFS(Dados!$G:$G,Dados!$E:$E,$B90,Dados!$C:$C,INDEX(T$3,1,1),Dados!$A:$A,INDEX($D:$E,MATCH("C",$D:$D,0),2))/COUNTIFS(Dados!$E:$E,$B90,Dados!$C:$C,INDEX(T$3,1,1),Dados!$A:$A,INDEX($D:$E,MATCH("C",$D:$D,0),2)))</f>
        <v/>
      </c>
      <c r="U90" s="68" t="str">
        <f ca="1">IF(COUNTIFS(Dados!$E:$E,$B90,Dados!$C:$C,INDEX(U$3,1,1),Dados!$A:$A,INDEX($D:$E,MATCH("C",$D:$D,0),2))=0,"",SUMIFS(Dados!$G:$G,Dados!$E:$E,$B90,Dados!$C:$C,INDEX(U$3,1,1),Dados!$A:$A,INDEX($D:$E,MATCH("C",$D:$D,0),2))/COUNTIFS(Dados!$E:$E,$B90,Dados!$C:$C,INDEX(U$3,1,1),Dados!$A:$A,INDEX($D:$E,MATCH("C",$D:$D,0),2)))</f>
        <v/>
      </c>
      <c r="V90" s="68" t="str">
        <f ca="1">IF(COUNTIFS(Dados!$E:$E,$B90,Dados!$C:$C,INDEX(V$3,1,1),Dados!$A:$A,INDEX($D:$E,MATCH("C",$D:$D,0),2))=0,"",SUMIFS(Dados!$G:$G,Dados!$E:$E,$B90,Dados!$C:$C,INDEX(V$3,1,1),Dados!$A:$A,INDEX($D:$E,MATCH("C",$D:$D,0),2))/COUNTIFS(Dados!$E:$E,$B90,Dados!$C:$C,INDEX(V$3,1,1),Dados!$A:$A,INDEX($D:$E,MATCH("C",$D:$D,0),2)))</f>
        <v/>
      </c>
    </row>
    <row r="91" spans="2:22" x14ac:dyDescent="0.25">
      <c r="B91" s="65" t="s">
        <v>1303</v>
      </c>
      <c r="C91" s="72">
        <f>VLOOKUP(B91,B4:C22,2,0)</f>
        <v>4</v>
      </c>
      <c r="D91" s="66" t="str">
        <f ca="1">IF(COUNTIFS(Dados!$E:$E,$B91,Dados!$C:$C,INDEX(D$3,1,1),Dados!$A:$A,INDEX($D:$E,MATCH("C",$D:$D,0),2))=0,"",SUMIFS(Dados!$G:$G,Dados!$E:$E,$B91,Dados!$C:$C,INDEX(D$3,1,1),Dados!$A:$A,INDEX($D:$E,MATCH("C",$D:$D,0),2))/COUNTIFS(Dados!$E:$E,$B91,Dados!$C:$C,INDEX(D$3,1,1),Dados!$A:$A,INDEX($D:$E,MATCH("C",$D:$D,0),2)))</f>
        <v/>
      </c>
      <c r="E91" s="66" t="str">
        <f ca="1">IF(COUNTIFS(Dados!$E:$E,$B91,Dados!$C:$C,INDEX(E$3,1,1),Dados!$A:$A,INDEX($D:$E,MATCH("C",$D:$D,0),2))=0,"",SUMIFS(Dados!$G:$G,Dados!$E:$E,$B91,Dados!$C:$C,INDEX(E$3,1,1),Dados!$A:$A,INDEX($D:$E,MATCH("C",$D:$D,0),2))/COUNTIFS(Dados!$E:$E,$B91,Dados!$C:$C,INDEX(E$3,1,1),Dados!$A:$A,INDEX($D:$E,MATCH("C",$D:$D,0),2)))</f>
        <v/>
      </c>
      <c r="F91" s="66" t="str">
        <f ca="1">IF(COUNTIFS(Dados!$E:$E,$B91,Dados!$C:$C,INDEX(F$3,1,1),Dados!$A:$A,INDEX($D:$E,MATCH("C",$D:$D,0),2))=0,"",SUMIFS(Dados!$G:$G,Dados!$E:$E,$B91,Dados!$C:$C,INDEX(F$3,1,1),Dados!$A:$A,INDEX($D:$E,MATCH("C",$D:$D,0),2))/COUNTIFS(Dados!$E:$E,$B91,Dados!$C:$C,INDEX(F$3,1,1),Dados!$A:$A,INDEX($D:$E,MATCH("C",$D:$D,0),2)))</f>
        <v/>
      </c>
      <c r="G91" s="66" t="str">
        <f ca="1">IF(COUNTIFS(Dados!$E:$E,$B91,Dados!$C:$C,INDEX(G$3,1,1),Dados!$A:$A,INDEX($D:$E,MATCH("C",$D:$D,0),2))=0,"",SUMIFS(Dados!$G:$G,Dados!$E:$E,$B91,Dados!$C:$C,INDEX(G$3,1,1),Dados!$A:$A,INDEX($D:$E,MATCH("C",$D:$D,0),2))/COUNTIFS(Dados!$E:$E,$B91,Dados!$C:$C,INDEX(G$3,1,1),Dados!$A:$A,INDEX($D:$E,MATCH("C",$D:$D,0),2)))</f>
        <v/>
      </c>
      <c r="H91" s="66" t="str">
        <f ca="1">IF(COUNTIFS(Dados!$E:$E,$B91,Dados!$C:$C,INDEX(H$3,1,1),Dados!$A:$A,INDEX($D:$E,MATCH("C",$D:$D,0),2))=0,"",SUMIFS(Dados!$G:$G,Dados!$E:$E,$B91,Dados!$C:$C,INDEX(H$3,1,1),Dados!$A:$A,INDEX($D:$E,MATCH("C",$D:$D,0),2))/COUNTIFS(Dados!$E:$E,$B91,Dados!$C:$C,INDEX(H$3,1,1),Dados!$A:$A,INDEX($D:$E,MATCH("C",$D:$D,0),2)))</f>
        <v/>
      </c>
      <c r="I91" s="66" t="str">
        <f ca="1">IF(COUNTIFS(Dados!$E:$E,$B91,Dados!$C:$C,INDEX(I$3,1,1),Dados!$A:$A,INDEX($D:$E,MATCH("C",$D:$D,0),2))=0,"",SUMIFS(Dados!$G:$G,Dados!$E:$E,$B91,Dados!$C:$C,INDEX(I$3,1,1),Dados!$A:$A,INDEX($D:$E,MATCH("C",$D:$D,0),2))/COUNTIFS(Dados!$E:$E,$B91,Dados!$C:$C,INDEX(I$3,1,1),Dados!$A:$A,INDEX($D:$E,MATCH("C",$D:$D,0),2)))</f>
        <v/>
      </c>
      <c r="J91" s="66" t="str">
        <f ca="1">IF(COUNTIFS(Dados!$E:$E,$B91,Dados!$C:$C,INDEX(J$3,1,1),Dados!$A:$A,INDEX($D:$E,MATCH("C",$D:$D,0),2))=0,"",SUMIFS(Dados!$G:$G,Dados!$E:$E,$B91,Dados!$C:$C,INDEX(J$3,1,1),Dados!$A:$A,INDEX($D:$E,MATCH("C",$D:$D,0),2))/COUNTIFS(Dados!$E:$E,$B91,Dados!$C:$C,INDEX(J$3,1,1),Dados!$A:$A,INDEX($D:$E,MATCH("C",$D:$D,0),2)))</f>
        <v/>
      </c>
      <c r="K91" s="66" t="str">
        <f ca="1">IF(COUNTIFS(Dados!$E:$E,$B91,Dados!$C:$C,INDEX(K$3,1,1),Dados!$A:$A,INDEX($D:$E,MATCH("C",$D:$D,0),2))=0,"",SUMIFS(Dados!$G:$G,Dados!$E:$E,$B91,Dados!$C:$C,INDEX(K$3,1,1),Dados!$A:$A,INDEX($D:$E,MATCH("C",$D:$D,0),2))/COUNTIFS(Dados!$E:$E,$B91,Dados!$C:$C,INDEX(K$3,1,1),Dados!$A:$A,INDEX($D:$E,MATCH("C",$D:$D,0),2)))</f>
        <v/>
      </c>
      <c r="L91" s="66" t="str">
        <f ca="1">IF(COUNTIFS(Dados!$E:$E,$B91,Dados!$C:$C,INDEX(L$3,1,1),Dados!$A:$A,INDEX($D:$E,MATCH("C",$D:$D,0),2))=0,"",SUMIFS(Dados!$G:$G,Dados!$E:$E,$B91,Dados!$C:$C,INDEX(L$3,1,1),Dados!$A:$A,INDEX($D:$E,MATCH("C",$D:$D,0),2))/COUNTIFS(Dados!$E:$E,$B91,Dados!$C:$C,INDEX(L$3,1,1),Dados!$A:$A,INDEX($D:$E,MATCH("C",$D:$D,0),2)))</f>
        <v/>
      </c>
      <c r="M91" s="66" t="str">
        <f ca="1">IF(COUNTIFS(Dados!$E:$E,$B91,Dados!$C:$C,INDEX(M$3,1,1),Dados!$A:$A,INDEX($D:$E,MATCH("C",$D:$D,0),2))=0,"",SUMIFS(Dados!$G:$G,Dados!$E:$E,$B91,Dados!$C:$C,INDEX(M$3,1,1),Dados!$A:$A,INDEX($D:$E,MATCH("C",$D:$D,0),2))/COUNTIFS(Dados!$E:$E,$B91,Dados!$C:$C,INDEX(M$3,1,1),Dados!$A:$A,INDEX($D:$E,MATCH("C",$D:$D,0),2)))</f>
        <v/>
      </c>
      <c r="N91" s="66" t="str">
        <f ca="1">IF(COUNTIFS(Dados!$E:$E,$B91,Dados!$C:$C,INDEX(N$3,1,1),Dados!$A:$A,INDEX($D:$E,MATCH("C",$D:$D,0),2))=0,"",SUMIFS(Dados!$G:$G,Dados!$E:$E,$B91,Dados!$C:$C,INDEX(N$3,1,1),Dados!$A:$A,INDEX($D:$E,MATCH("C",$D:$D,0),2))/COUNTIFS(Dados!$E:$E,$B91,Dados!$C:$C,INDEX(N$3,1,1),Dados!$A:$A,INDEX($D:$E,MATCH("C",$D:$D,0),2)))</f>
        <v/>
      </c>
      <c r="O91" s="66" t="str">
        <f ca="1">IF(COUNTIFS(Dados!$E:$E,$B91,Dados!$C:$C,INDEX(O$3,1,1),Dados!$A:$A,INDEX($D:$E,MATCH("C",$D:$D,0),2))=0,"",SUMIFS(Dados!$G:$G,Dados!$E:$E,$B91,Dados!$C:$C,INDEX(O$3,1,1),Dados!$A:$A,INDEX($D:$E,MATCH("C",$D:$D,0),2))/COUNTIFS(Dados!$E:$E,$B91,Dados!$C:$C,INDEX(O$3,1,1),Dados!$A:$A,INDEX($D:$E,MATCH("C",$D:$D,0),2)))</f>
        <v/>
      </c>
      <c r="P91" s="66" t="str">
        <f ca="1">IF(COUNTIFS(Dados!$E:$E,$B91,Dados!$C:$C,INDEX(P$3,1,1),Dados!$A:$A,INDEX($D:$E,MATCH("C",$D:$D,0),2))=0,"",SUMIFS(Dados!$G:$G,Dados!$E:$E,$B91,Dados!$C:$C,INDEX(P$3,1,1),Dados!$A:$A,INDEX($D:$E,MATCH("C",$D:$D,0),2))/COUNTIFS(Dados!$E:$E,$B91,Dados!$C:$C,INDEX(P$3,1,1),Dados!$A:$A,INDEX($D:$E,MATCH("C",$D:$D,0),2)))</f>
        <v/>
      </c>
      <c r="Q91" s="66" t="str">
        <f ca="1">IF(COUNTIFS(Dados!$E:$E,$B91,Dados!$C:$C,INDEX(Q$3,1,1),Dados!$A:$A,INDEX($D:$E,MATCH("C",$D:$D,0),2))=0,"",SUMIFS(Dados!$G:$G,Dados!$E:$E,$B91,Dados!$C:$C,INDEX(Q$3,1,1),Dados!$A:$A,INDEX($D:$E,MATCH("C",$D:$D,0),2))/COUNTIFS(Dados!$E:$E,$B91,Dados!$C:$C,INDEX(Q$3,1,1),Dados!$A:$A,INDEX($D:$E,MATCH("C",$D:$D,0),2)))</f>
        <v/>
      </c>
      <c r="R91" s="66" t="str">
        <f ca="1">IF(COUNTIFS(Dados!$E:$E,$B91,Dados!$C:$C,INDEX(R$3,1,1),Dados!$A:$A,INDEX($D:$E,MATCH("C",$D:$D,0),2))=0,"",SUMIFS(Dados!$G:$G,Dados!$E:$E,$B91,Dados!$C:$C,INDEX(R$3,1,1),Dados!$A:$A,INDEX($D:$E,MATCH("C",$D:$D,0),2))/COUNTIFS(Dados!$E:$E,$B91,Dados!$C:$C,INDEX(R$3,1,1),Dados!$A:$A,INDEX($D:$E,MATCH("C",$D:$D,0),2)))</f>
        <v/>
      </c>
      <c r="S91" s="66" t="str">
        <f ca="1">IF(COUNTIFS(Dados!$E:$E,$B91,Dados!$C:$C,INDEX(S$3,1,1),Dados!$A:$A,INDEX($D:$E,MATCH("C",$D:$D,0),2))=0,"",SUMIFS(Dados!$G:$G,Dados!$E:$E,$B91,Dados!$C:$C,INDEX(S$3,1,1),Dados!$A:$A,INDEX($D:$E,MATCH("C",$D:$D,0),2))/COUNTIFS(Dados!$E:$E,$B91,Dados!$C:$C,INDEX(S$3,1,1),Dados!$A:$A,INDEX($D:$E,MATCH("C",$D:$D,0),2)))</f>
        <v/>
      </c>
      <c r="T91" s="66" t="str">
        <f ca="1">IF(COUNTIFS(Dados!$E:$E,$B91,Dados!$C:$C,INDEX(T$3,1,1),Dados!$A:$A,INDEX($D:$E,MATCH("C",$D:$D,0),2))=0,"",SUMIFS(Dados!$G:$G,Dados!$E:$E,$B91,Dados!$C:$C,INDEX(T$3,1,1),Dados!$A:$A,INDEX($D:$E,MATCH("C",$D:$D,0),2))/COUNTIFS(Dados!$E:$E,$B91,Dados!$C:$C,INDEX(T$3,1,1),Dados!$A:$A,INDEX($D:$E,MATCH("C",$D:$D,0),2)))</f>
        <v/>
      </c>
      <c r="U91" s="66" t="str">
        <f ca="1">IF(COUNTIFS(Dados!$E:$E,$B91,Dados!$C:$C,INDEX(U$3,1,1),Dados!$A:$A,INDEX($D:$E,MATCH("C",$D:$D,0),2))=0,"",SUMIFS(Dados!$G:$G,Dados!$E:$E,$B91,Dados!$C:$C,INDEX(U$3,1,1),Dados!$A:$A,INDEX($D:$E,MATCH("C",$D:$D,0),2))/COUNTIFS(Dados!$E:$E,$B91,Dados!$C:$C,INDEX(U$3,1,1),Dados!$A:$A,INDEX($D:$E,MATCH("C",$D:$D,0),2)))</f>
        <v/>
      </c>
      <c r="V91" s="66" t="str">
        <f ca="1">IF(COUNTIFS(Dados!$E:$E,$B91,Dados!$C:$C,INDEX(V$3,1,1),Dados!$A:$A,INDEX($D:$E,MATCH("C",$D:$D,0),2))=0,"",SUMIFS(Dados!$G:$G,Dados!$E:$E,$B91,Dados!$C:$C,INDEX(V$3,1,1),Dados!$A:$A,INDEX($D:$E,MATCH("C",$D:$D,0),2))/COUNTIFS(Dados!$E:$E,$B91,Dados!$C:$C,INDEX(V$3,1,1),Dados!$A:$A,INDEX($D:$E,MATCH("C",$D:$D,0),2)))</f>
        <v/>
      </c>
    </row>
    <row r="92" spans="2:22" x14ac:dyDescent="0.25">
      <c r="B92" s="67" t="s">
        <v>1304</v>
      </c>
      <c r="C92" s="71">
        <f>VLOOKUP(B92,B4:C22,2,0)</f>
        <v>5</v>
      </c>
      <c r="D92" s="68" t="str">
        <f ca="1">IF(COUNTIFS(Dados!$E:$E,$B92,Dados!$C:$C,INDEX(D$3,1,1),Dados!$A:$A,INDEX($D:$E,MATCH("C",$D:$D,0),2))=0,"",SUMIFS(Dados!$G:$G,Dados!$E:$E,$B92,Dados!$C:$C,INDEX(D$3,1,1),Dados!$A:$A,INDEX($D:$E,MATCH("C",$D:$D,0),2))/COUNTIFS(Dados!$E:$E,$B92,Dados!$C:$C,INDEX(D$3,1,1),Dados!$A:$A,INDEX($D:$E,MATCH("C",$D:$D,0),2)))</f>
        <v/>
      </c>
      <c r="E92" s="68" t="str">
        <f ca="1">IF(COUNTIFS(Dados!$E:$E,$B92,Dados!$C:$C,INDEX(E$3,1,1),Dados!$A:$A,INDEX($D:$E,MATCH("C",$D:$D,0),2))=0,"",SUMIFS(Dados!$G:$G,Dados!$E:$E,$B92,Dados!$C:$C,INDEX(E$3,1,1),Dados!$A:$A,INDEX($D:$E,MATCH("C",$D:$D,0),2))/COUNTIFS(Dados!$E:$E,$B92,Dados!$C:$C,INDEX(E$3,1,1),Dados!$A:$A,INDEX($D:$E,MATCH("C",$D:$D,0),2)))</f>
        <v/>
      </c>
      <c r="F92" s="68" t="str">
        <f ca="1">IF(COUNTIFS(Dados!$E:$E,$B92,Dados!$C:$C,INDEX(F$3,1,1),Dados!$A:$A,INDEX($D:$E,MATCH("C",$D:$D,0),2))=0,"",SUMIFS(Dados!$G:$G,Dados!$E:$E,$B92,Dados!$C:$C,INDEX(F$3,1,1),Dados!$A:$A,INDEX($D:$E,MATCH("C",$D:$D,0),2))/COUNTIFS(Dados!$E:$E,$B92,Dados!$C:$C,INDEX(F$3,1,1),Dados!$A:$A,INDEX($D:$E,MATCH("C",$D:$D,0),2)))</f>
        <v/>
      </c>
      <c r="G92" s="68" t="str">
        <f ca="1">IF(COUNTIFS(Dados!$E:$E,$B92,Dados!$C:$C,INDEX(G$3,1,1),Dados!$A:$A,INDEX($D:$E,MATCH("C",$D:$D,0),2))=0,"",SUMIFS(Dados!$G:$G,Dados!$E:$E,$B92,Dados!$C:$C,INDEX(G$3,1,1),Dados!$A:$A,INDEX($D:$E,MATCH("C",$D:$D,0),2))/COUNTIFS(Dados!$E:$E,$B92,Dados!$C:$C,INDEX(G$3,1,1),Dados!$A:$A,INDEX($D:$E,MATCH("C",$D:$D,0),2)))</f>
        <v/>
      </c>
      <c r="H92" s="68" t="str">
        <f ca="1">IF(COUNTIFS(Dados!$E:$E,$B92,Dados!$C:$C,INDEX(H$3,1,1),Dados!$A:$A,INDEX($D:$E,MATCH("C",$D:$D,0),2))=0,"",SUMIFS(Dados!$G:$G,Dados!$E:$E,$B92,Dados!$C:$C,INDEX(H$3,1,1),Dados!$A:$A,INDEX($D:$E,MATCH("C",$D:$D,0),2))/COUNTIFS(Dados!$E:$E,$B92,Dados!$C:$C,INDEX(H$3,1,1),Dados!$A:$A,INDEX($D:$E,MATCH("C",$D:$D,0),2)))</f>
        <v/>
      </c>
      <c r="I92" s="68" t="str">
        <f ca="1">IF(COUNTIFS(Dados!$E:$E,$B92,Dados!$C:$C,INDEX(I$3,1,1),Dados!$A:$A,INDEX($D:$E,MATCH("C",$D:$D,0),2))=0,"",SUMIFS(Dados!$G:$G,Dados!$E:$E,$B92,Dados!$C:$C,INDEX(I$3,1,1),Dados!$A:$A,INDEX($D:$E,MATCH("C",$D:$D,0),2))/COUNTIFS(Dados!$E:$E,$B92,Dados!$C:$C,INDEX(I$3,1,1),Dados!$A:$A,INDEX($D:$E,MATCH("C",$D:$D,0),2)))</f>
        <v/>
      </c>
      <c r="J92" s="68" t="str">
        <f ca="1">IF(COUNTIFS(Dados!$E:$E,$B92,Dados!$C:$C,INDEX(J$3,1,1),Dados!$A:$A,INDEX($D:$E,MATCH("C",$D:$D,0),2))=0,"",SUMIFS(Dados!$G:$G,Dados!$E:$E,$B92,Dados!$C:$C,INDEX(J$3,1,1),Dados!$A:$A,INDEX($D:$E,MATCH("C",$D:$D,0),2))/COUNTIFS(Dados!$E:$E,$B92,Dados!$C:$C,INDEX(J$3,1,1),Dados!$A:$A,INDEX($D:$E,MATCH("C",$D:$D,0),2)))</f>
        <v/>
      </c>
      <c r="K92" s="68" t="str">
        <f ca="1">IF(COUNTIFS(Dados!$E:$E,$B92,Dados!$C:$C,INDEX(K$3,1,1),Dados!$A:$A,INDEX($D:$E,MATCH("C",$D:$D,0),2))=0,"",SUMIFS(Dados!$G:$G,Dados!$E:$E,$B92,Dados!$C:$C,INDEX(K$3,1,1),Dados!$A:$A,INDEX($D:$E,MATCH("C",$D:$D,0),2))/COUNTIFS(Dados!$E:$E,$B92,Dados!$C:$C,INDEX(K$3,1,1),Dados!$A:$A,INDEX($D:$E,MATCH("C",$D:$D,0),2)))</f>
        <v/>
      </c>
      <c r="L92" s="68" t="str">
        <f ca="1">IF(COUNTIFS(Dados!$E:$E,$B92,Dados!$C:$C,INDEX(L$3,1,1),Dados!$A:$A,INDEX($D:$E,MATCH("C",$D:$D,0),2))=0,"",SUMIFS(Dados!$G:$G,Dados!$E:$E,$B92,Dados!$C:$C,INDEX(L$3,1,1),Dados!$A:$A,INDEX($D:$E,MATCH("C",$D:$D,0),2))/COUNTIFS(Dados!$E:$E,$B92,Dados!$C:$C,INDEX(L$3,1,1),Dados!$A:$A,INDEX($D:$E,MATCH("C",$D:$D,0),2)))</f>
        <v/>
      </c>
      <c r="M92" s="68" t="str">
        <f ca="1">IF(COUNTIFS(Dados!$E:$E,$B92,Dados!$C:$C,INDEX(M$3,1,1),Dados!$A:$A,INDEX($D:$E,MATCH("C",$D:$D,0),2))=0,"",SUMIFS(Dados!$G:$G,Dados!$E:$E,$B92,Dados!$C:$C,INDEX(M$3,1,1),Dados!$A:$A,INDEX($D:$E,MATCH("C",$D:$D,0),2))/COUNTIFS(Dados!$E:$E,$B92,Dados!$C:$C,INDEX(M$3,1,1),Dados!$A:$A,INDEX($D:$E,MATCH("C",$D:$D,0),2)))</f>
        <v/>
      </c>
      <c r="N92" s="68" t="str">
        <f ca="1">IF(COUNTIFS(Dados!$E:$E,$B92,Dados!$C:$C,INDEX(N$3,1,1),Dados!$A:$A,INDEX($D:$E,MATCH("C",$D:$D,0),2))=0,"",SUMIFS(Dados!$G:$G,Dados!$E:$E,$B92,Dados!$C:$C,INDEX(N$3,1,1),Dados!$A:$A,INDEX($D:$E,MATCH("C",$D:$D,0),2))/COUNTIFS(Dados!$E:$E,$B92,Dados!$C:$C,INDEX(N$3,1,1),Dados!$A:$A,INDEX($D:$E,MATCH("C",$D:$D,0),2)))</f>
        <v/>
      </c>
      <c r="O92" s="68" t="str">
        <f ca="1">IF(COUNTIFS(Dados!$E:$E,$B92,Dados!$C:$C,INDEX(O$3,1,1),Dados!$A:$A,INDEX($D:$E,MATCH("C",$D:$D,0),2))=0,"",SUMIFS(Dados!$G:$G,Dados!$E:$E,$B92,Dados!$C:$C,INDEX(O$3,1,1),Dados!$A:$A,INDEX($D:$E,MATCH("C",$D:$D,0),2))/COUNTIFS(Dados!$E:$E,$B92,Dados!$C:$C,INDEX(O$3,1,1),Dados!$A:$A,INDEX($D:$E,MATCH("C",$D:$D,0),2)))</f>
        <v/>
      </c>
      <c r="P92" s="68" t="str">
        <f ca="1">IF(COUNTIFS(Dados!$E:$E,$B92,Dados!$C:$C,INDEX(P$3,1,1),Dados!$A:$A,INDEX($D:$E,MATCH("C",$D:$D,0),2))=0,"",SUMIFS(Dados!$G:$G,Dados!$E:$E,$B92,Dados!$C:$C,INDEX(P$3,1,1),Dados!$A:$A,INDEX($D:$E,MATCH("C",$D:$D,0),2))/COUNTIFS(Dados!$E:$E,$B92,Dados!$C:$C,INDEX(P$3,1,1),Dados!$A:$A,INDEX($D:$E,MATCH("C",$D:$D,0),2)))</f>
        <v/>
      </c>
      <c r="Q92" s="68" t="str">
        <f ca="1">IF(COUNTIFS(Dados!$E:$E,$B92,Dados!$C:$C,INDEX(Q$3,1,1),Dados!$A:$A,INDEX($D:$E,MATCH("C",$D:$D,0),2))=0,"",SUMIFS(Dados!$G:$G,Dados!$E:$E,$B92,Dados!$C:$C,INDEX(Q$3,1,1),Dados!$A:$A,INDEX($D:$E,MATCH("C",$D:$D,0),2))/COUNTIFS(Dados!$E:$E,$B92,Dados!$C:$C,INDEX(Q$3,1,1),Dados!$A:$A,INDEX($D:$E,MATCH("C",$D:$D,0),2)))</f>
        <v/>
      </c>
      <c r="R92" s="68" t="str">
        <f ca="1">IF(COUNTIFS(Dados!$E:$E,$B92,Dados!$C:$C,INDEX(R$3,1,1),Dados!$A:$A,INDEX($D:$E,MATCH("C",$D:$D,0),2))=0,"",SUMIFS(Dados!$G:$G,Dados!$E:$E,$B92,Dados!$C:$C,INDEX(R$3,1,1),Dados!$A:$A,INDEX($D:$E,MATCH("C",$D:$D,0),2))/COUNTIFS(Dados!$E:$E,$B92,Dados!$C:$C,INDEX(R$3,1,1),Dados!$A:$A,INDEX($D:$E,MATCH("C",$D:$D,0),2)))</f>
        <v/>
      </c>
      <c r="S92" s="68" t="str">
        <f ca="1">IF(COUNTIFS(Dados!$E:$E,$B92,Dados!$C:$C,INDEX(S$3,1,1),Dados!$A:$A,INDEX($D:$E,MATCH("C",$D:$D,0),2))=0,"",SUMIFS(Dados!$G:$G,Dados!$E:$E,$B92,Dados!$C:$C,INDEX(S$3,1,1),Dados!$A:$A,INDEX($D:$E,MATCH("C",$D:$D,0),2))/COUNTIFS(Dados!$E:$E,$B92,Dados!$C:$C,INDEX(S$3,1,1),Dados!$A:$A,INDEX($D:$E,MATCH("C",$D:$D,0),2)))</f>
        <v/>
      </c>
      <c r="T92" s="68" t="str">
        <f ca="1">IF(COUNTIFS(Dados!$E:$E,$B92,Dados!$C:$C,INDEX(T$3,1,1),Dados!$A:$A,INDEX($D:$E,MATCH("C",$D:$D,0),2))=0,"",SUMIFS(Dados!$G:$G,Dados!$E:$E,$B92,Dados!$C:$C,INDEX(T$3,1,1),Dados!$A:$A,INDEX($D:$E,MATCH("C",$D:$D,0),2))/COUNTIFS(Dados!$E:$E,$B92,Dados!$C:$C,INDEX(T$3,1,1),Dados!$A:$A,INDEX($D:$E,MATCH("C",$D:$D,0),2)))</f>
        <v/>
      </c>
      <c r="U92" s="68" t="str">
        <f ca="1">IF(COUNTIFS(Dados!$E:$E,$B92,Dados!$C:$C,INDEX(U$3,1,1),Dados!$A:$A,INDEX($D:$E,MATCH("C",$D:$D,0),2))=0,"",SUMIFS(Dados!$G:$G,Dados!$E:$E,$B92,Dados!$C:$C,INDEX(U$3,1,1),Dados!$A:$A,INDEX($D:$E,MATCH("C",$D:$D,0),2))/COUNTIFS(Dados!$E:$E,$B92,Dados!$C:$C,INDEX(U$3,1,1),Dados!$A:$A,INDEX($D:$E,MATCH("C",$D:$D,0),2)))</f>
        <v/>
      </c>
      <c r="V92" s="68" t="str">
        <f ca="1">IF(COUNTIFS(Dados!$E:$E,$B92,Dados!$C:$C,INDEX(V$3,1,1),Dados!$A:$A,INDEX($D:$E,MATCH("C",$D:$D,0),2))=0,"",SUMIFS(Dados!$G:$G,Dados!$E:$E,$B92,Dados!$C:$C,INDEX(V$3,1,1),Dados!$A:$A,INDEX($D:$E,MATCH("C",$D:$D,0),2))/COUNTIFS(Dados!$E:$E,$B92,Dados!$C:$C,INDEX(V$3,1,1),Dados!$A:$A,INDEX($D:$E,MATCH("C",$D:$D,0),2)))</f>
        <v/>
      </c>
    </row>
    <row r="93" spans="2:22" x14ac:dyDescent="0.25">
      <c r="B93" s="65" t="s">
        <v>1298</v>
      </c>
      <c r="C93" s="72">
        <f>VLOOKUP(B93,B4:C22,2,0)</f>
        <v>6</v>
      </c>
      <c r="D93" s="66" t="str">
        <f ca="1">IF(COUNTIFS(Dados!$E:$E,$B93,Dados!$C:$C,INDEX(D$3,1,1),Dados!$A:$A,INDEX($D:$E,MATCH("C",$D:$D,0),2))=0,"",SUMIFS(Dados!$G:$G,Dados!$E:$E,$B93,Dados!$C:$C,INDEX(D$3,1,1),Dados!$A:$A,INDEX($D:$E,MATCH("C",$D:$D,0),2))/COUNTIFS(Dados!$E:$E,$B93,Dados!$C:$C,INDEX(D$3,1,1),Dados!$A:$A,INDEX($D:$E,MATCH("C",$D:$D,0),2)))</f>
        <v/>
      </c>
      <c r="E93" s="66" t="str">
        <f ca="1">IF(COUNTIFS(Dados!$E:$E,$B93,Dados!$C:$C,INDEX(E$3,1,1),Dados!$A:$A,INDEX($D:$E,MATCH("C",$D:$D,0),2))=0,"",SUMIFS(Dados!$G:$G,Dados!$E:$E,$B93,Dados!$C:$C,INDEX(E$3,1,1),Dados!$A:$A,INDEX($D:$E,MATCH("C",$D:$D,0),2))/COUNTIFS(Dados!$E:$E,$B93,Dados!$C:$C,INDEX(E$3,1,1),Dados!$A:$A,INDEX($D:$E,MATCH("C",$D:$D,0),2)))</f>
        <v/>
      </c>
      <c r="F93" s="66" t="str">
        <f ca="1">IF(COUNTIFS(Dados!$E:$E,$B93,Dados!$C:$C,INDEX(F$3,1,1),Dados!$A:$A,INDEX($D:$E,MATCH("C",$D:$D,0),2))=0,"",SUMIFS(Dados!$G:$G,Dados!$E:$E,$B93,Dados!$C:$C,INDEX(F$3,1,1),Dados!$A:$A,INDEX($D:$E,MATCH("C",$D:$D,0),2))/COUNTIFS(Dados!$E:$E,$B93,Dados!$C:$C,INDEX(F$3,1,1),Dados!$A:$A,INDEX($D:$E,MATCH("C",$D:$D,0),2)))</f>
        <v/>
      </c>
      <c r="G93" s="66" t="str">
        <f ca="1">IF(COUNTIFS(Dados!$E:$E,$B93,Dados!$C:$C,INDEX(G$3,1,1),Dados!$A:$A,INDEX($D:$E,MATCH("C",$D:$D,0),2))=0,"",SUMIFS(Dados!$G:$G,Dados!$E:$E,$B93,Dados!$C:$C,INDEX(G$3,1,1),Dados!$A:$A,INDEX($D:$E,MATCH("C",$D:$D,0),2))/COUNTIFS(Dados!$E:$E,$B93,Dados!$C:$C,INDEX(G$3,1,1),Dados!$A:$A,INDEX($D:$E,MATCH("C",$D:$D,0),2)))</f>
        <v/>
      </c>
      <c r="H93" s="66" t="str">
        <f ca="1">IF(COUNTIFS(Dados!$E:$E,$B93,Dados!$C:$C,INDEX(H$3,1,1),Dados!$A:$A,INDEX($D:$E,MATCH("C",$D:$D,0),2))=0,"",SUMIFS(Dados!$G:$G,Dados!$E:$E,$B93,Dados!$C:$C,INDEX(H$3,1,1),Dados!$A:$A,INDEX($D:$E,MATCH("C",$D:$D,0),2))/COUNTIFS(Dados!$E:$E,$B93,Dados!$C:$C,INDEX(H$3,1,1),Dados!$A:$A,INDEX($D:$E,MATCH("C",$D:$D,0),2)))</f>
        <v/>
      </c>
      <c r="I93" s="66" t="str">
        <f ca="1">IF(COUNTIFS(Dados!$E:$E,$B93,Dados!$C:$C,INDEX(I$3,1,1),Dados!$A:$A,INDEX($D:$E,MATCH("C",$D:$D,0),2))=0,"",SUMIFS(Dados!$G:$G,Dados!$E:$E,$B93,Dados!$C:$C,INDEX(I$3,1,1),Dados!$A:$A,INDEX($D:$E,MATCH("C",$D:$D,0),2))/COUNTIFS(Dados!$E:$E,$B93,Dados!$C:$C,INDEX(I$3,1,1),Dados!$A:$A,INDEX($D:$E,MATCH("C",$D:$D,0),2)))</f>
        <v/>
      </c>
      <c r="J93" s="66" t="str">
        <f ca="1">IF(COUNTIFS(Dados!$E:$E,$B93,Dados!$C:$C,INDEX(J$3,1,1),Dados!$A:$A,INDEX($D:$E,MATCH("C",$D:$D,0),2))=0,"",SUMIFS(Dados!$G:$G,Dados!$E:$E,$B93,Dados!$C:$C,INDEX(J$3,1,1),Dados!$A:$A,INDEX($D:$E,MATCH("C",$D:$D,0),2))/COUNTIFS(Dados!$E:$E,$B93,Dados!$C:$C,INDEX(J$3,1,1),Dados!$A:$A,INDEX($D:$E,MATCH("C",$D:$D,0),2)))</f>
        <v/>
      </c>
      <c r="K93" s="66" t="str">
        <f ca="1">IF(COUNTIFS(Dados!$E:$E,$B93,Dados!$C:$C,INDEX(K$3,1,1),Dados!$A:$A,INDEX($D:$E,MATCH("C",$D:$D,0),2))=0,"",SUMIFS(Dados!$G:$G,Dados!$E:$E,$B93,Dados!$C:$C,INDEX(K$3,1,1),Dados!$A:$A,INDEX($D:$E,MATCH("C",$D:$D,0),2))/COUNTIFS(Dados!$E:$E,$B93,Dados!$C:$C,INDEX(K$3,1,1),Dados!$A:$A,INDEX($D:$E,MATCH("C",$D:$D,0),2)))</f>
        <v/>
      </c>
      <c r="L93" s="66" t="str">
        <f ca="1">IF(COUNTIFS(Dados!$E:$E,$B93,Dados!$C:$C,INDEX(L$3,1,1),Dados!$A:$A,INDEX($D:$E,MATCH("C",$D:$D,0),2))=0,"",SUMIFS(Dados!$G:$G,Dados!$E:$E,$B93,Dados!$C:$C,INDEX(L$3,1,1),Dados!$A:$A,INDEX($D:$E,MATCH("C",$D:$D,0),2))/COUNTIFS(Dados!$E:$E,$B93,Dados!$C:$C,INDEX(L$3,1,1),Dados!$A:$A,INDEX($D:$E,MATCH("C",$D:$D,0),2)))</f>
        <v/>
      </c>
      <c r="M93" s="66" t="str">
        <f ca="1">IF(COUNTIFS(Dados!$E:$E,$B93,Dados!$C:$C,INDEX(M$3,1,1),Dados!$A:$A,INDEX($D:$E,MATCH("C",$D:$D,0),2))=0,"",SUMIFS(Dados!$G:$G,Dados!$E:$E,$B93,Dados!$C:$C,INDEX(M$3,1,1),Dados!$A:$A,INDEX($D:$E,MATCH("C",$D:$D,0),2))/COUNTIFS(Dados!$E:$E,$B93,Dados!$C:$C,INDEX(M$3,1,1),Dados!$A:$A,INDEX($D:$E,MATCH("C",$D:$D,0),2)))</f>
        <v/>
      </c>
      <c r="N93" s="66" t="str">
        <f ca="1">IF(COUNTIFS(Dados!$E:$E,$B93,Dados!$C:$C,INDEX(N$3,1,1),Dados!$A:$A,INDEX($D:$E,MATCH("C",$D:$D,0),2))=0,"",SUMIFS(Dados!$G:$G,Dados!$E:$E,$B93,Dados!$C:$C,INDEX(N$3,1,1),Dados!$A:$A,INDEX($D:$E,MATCH("C",$D:$D,0),2))/COUNTIFS(Dados!$E:$E,$B93,Dados!$C:$C,INDEX(N$3,1,1),Dados!$A:$A,INDEX($D:$E,MATCH("C",$D:$D,0),2)))</f>
        <v/>
      </c>
      <c r="O93" s="66" t="str">
        <f ca="1">IF(COUNTIFS(Dados!$E:$E,$B93,Dados!$C:$C,INDEX(O$3,1,1),Dados!$A:$A,INDEX($D:$E,MATCH("C",$D:$D,0),2))=0,"",SUMIFS(Dados!$G:$G,Dados!$E:$E,$B93,Dados!$C:$C,INDEX(O$3,1,1),Dados!$A:$A,INDEX($D:$E,MATCH("C",$D:$D,0),2))/COUNTIFS(Dados!$E:$E,$B93,Dados!$C:$C,INDEX(O$3,1,1),Dados!$A:$A,INDEX($D:$E,MATCH("C",$D:$D,0),2)))</f>
        <v/>
      </c>
      <c r="P93" s="66" t="str">
        <f ca="1">IF(COUNTIFS(Dados!$E:$E,$B93,Dados!$C:$C,INDEX(P$3,1,1),Dados!$A:$A,INDEX($D:$E,MATCH("C",$D:$D,0),2))=0,"",SUMIFS(Dados!$G:$G,Dados!$E:$E,$B93,Dados!$C:$C,INDEX(P$3,1,1),Dados!$A:$A,INDEX($D:$E,MATCH("C",$D:$D,0),2))/COUNTIFS(Dados!$E:$E,$B93,Dados!$C:$C,INDEX(P$3,1,1),Dados!$A:$A,INDEX($D:$E,MATCH("C",$D:$D,0),2)))</f>
        <v/>
      </c>
      <c r="Q93" s="66" t="str">
        <f ca="1">IF(COUNTIFS(Dados!$E:$E,$B93,Dados!$C:$C,INDEX(Q$3,1,1),Dados!$A:$A,INDEX($D:$E,MATCH("C",$D:$D,0),2))=0,"",SUMIFS(Dados!$G:$G,Dados!$E:$E,$B93,Dados!$C:$C,INDEX(Q$3,1,1),Dados!$A:$A,INDEX($D:$E,MATCH("C",$D:$D,0),2))/COUNTIFS(Dados!$E:$E,$B93,Dados!$C:$C,INDEX(Q$3,1,1),Dados!$A:$A,INDEX($D:$E,MATCH("C",$D:$D,0),2)))</f>
        <v/>
      </c>
      <c r="R93" s="66" t="str">
        <f ca="1">IF(COUNTIFS(Dados!$E:$E,$B93,Dados!$C:$C,INDEX(R$3,1,1),Dados!$A:$A,INDEX($D:$E,MATCH("C",$D:$D,0),2))=0,"",SUMIFS(Dados!$G:$G,Dados!$E:$E,$B93,Dados!$C:$C,INDEX(R$3,1,1),Dados!$A:$A,INDEX($D:$E,MATCH("C",$D:$D,0),2))/COUNTIFS(Dados!$E:$E,$B93,Dados!$C:$C,INDEX(R$3,1,1),Dados!$A:$A,INDEX($D:$E,MATCH("C",$D:$D,0),2)))</f>
        <v/>
      </c>
      <c r="S93" s="66" t="str">
        <f ca="1">IF(COUNTIFS(Dados!$E:$E,$B93,Dados!$C:$C,INDEX(S$3,1,1),Dados!$A:$A,INDEX($D:$E,MATCH("C",$D:$D,0),2))=0,"",SUMIFS(Dados!$G:$G,Dados!$E:$E,$B93,Dados!$C:$C,INDEX(S$3,1,1),Dados!$A:$A,INDEX($D:$E,MATCH("C",$D:$D,0),2))/COUNTIFS(Dados!$E:$E,$B93,Dados!$C:$C,INDEX(S$3,1,1),Dados!$A:$A,INDEX($D:$E,MATCH("C",$D:$D,0),2)))</f>
        <v/>
      </c>
      <c r="T93" s="66" t="str">
        <f ca="1">IF(COUNTIFS(Dados!$E:$E,$B93,Dados!$C:$C,INDEX(T$3,1,1),Dados!$A:$A,INDEX($D:$E,MATCH("C",$D:$D,0),2))=0,"",SUMIFS(Dados!$G:$G,Dados!$E:$E,$B93,Dados!$C:$C,INDEX(T$3,1,1),Dados!$A:$A,INDEX($D:$E,MATCH("C",$D:$D,0),2))/COUNTIFS(Dados!$E:$E,$B93,Dados!$C:$C,INDEX(T$3,1,1),Dados!$A:$A,INDEX($D:$E,MATCH("C",$D:$D,0),2)))</f>
        <v/>
      </c>
      <c r="U93" s="66" t="str">
        <f ca="1">IF(COUNTIFS(Dados!$E:$E,$B93,Dados!$C:$C,INDEX(U$3,1,1),Dados!$A:$A,INDEX($D:$E,MATCH("C",$D:$D,0),2))=0,"",SUMIFS(Dados!$G:$G,Dados!$E:$E,$B93,Dados!$C:$C,INDEX(U$3,1,1),Dados!$A:$A,INDEX($D:$E,MATCH("C",$D:$D,0),2))/COUNTIFS(Dados!$E:$E,$B93,Dados!$C:$C,INDEX(U$3,1,1),Dados!$A:$A,INDEX($D:$E,MATCH("C",$D:$D,0),2)))</f>
        <v/>
      </c>
      <c r="V93" s="66" t="str">
        <f ca="1">IF(COUNTIFS(Dados!$E:$E,$B93,Dados!$C:$C,INDEX(V$3,1,1),Dados!$A:$A,INDEX($D:$E,MATCH("C",$D:$D,0),2))=0,"",SUMIFS(Dados!$G:$G,Dados!$E:$E,$B93,Dados!$C:$C,INDEX(V$3,1,1),Dados!$A:$A,INDEX($D:$E,MATCH("C",$D:$D,0),2))/COUNTIFS(Dados!$E:$E,$B93,Dados!$C:$C,INDEX(V$3,1,1),Dados!$A:$A,INDEX($D:$E,MATCH("C",$D:$D,0),2)))</f>
        <v/>
      </c>
    </row>
    <row r="94" spans="2:22" x14ac:dyDescent="0.25">
      <c r="B94" s="67" t="s">
        <v>65</v>
      </c>
      <c r="C94" s="71">
        <f>VLOOKUP(B94,B4:C22,2,0)</f>
        <v>7</v>
      </c>
      <c r="D94" s="68" t="str">
        <f ca="1">IF(COUNTIFS(Dados!$E:$E,$B94,Dados!$C:$C,INDEX(D$3,1,1),Dados!$A:$A,INDEX($D:$E,MATCH("C",$D:$D,0),2))=0,"",SUMIFS(Dados!$G:$G,Dados!$E:$E,$B94,Dados!$C:$C,INDEX(D$3,1,1),Dados!$A:$A,INDEX($D:$E,MATCH("C",$D:$D,0),2))/COUNTIFS(Dados!$E:$E,$B94,Dados!$C:$C,INDEX(D$3,1,1),Dados!$A:$A,INDEX($D:$E,MATCH("C",$D:$D,0),2)))</f>
        <v/>
      </c>
      <c r="E94" s="68" t="str">
        <f ca="1">IF(COUNTIFS(Dados!$E:$E,$B94,Dados!$C:$C,INDEX(E$3,1,1),Dados!$A:$A,INDEX($D:$E,MATCH("C",$D:$D,0),2))=0,"",SUMIFS(Dados!$G:$G,Dados!$E:$E,$B94,Dados!$C:$C,INDEX(E$3,1,1),Dados!$A:$A,INDEX($D:$E,MATCH("C",$D:$D,0),2))/COUNTIFS(Dados!$E:$E,$B94,Dados!$C:$C,INDEX(E$3,1,1),Dados!$A:$A,INDEX($D:$E,MATCH("C",$D:$D,0),2)))</f>
        <v/>
      </c>
      <c r="F94" s="68" t="str">
        <f ca="1">IF(COUNTIFS(Dados!$E:$E,$B94,Dados!$C:$C,INDEX(F$3,1,1),Dados!$A:$A,INDEX($D:$E,MATCH("C",$D:$D,0),2))=0,"",SUMIFS(Dados!$G:$G,Dados!$E:$E,$B94,Dados!$C:$C,INDEX(F$3,1,1),Dados!$A:$A,INDEX($D:$E,MATCH("C",$D:$D,0),2))/COUNTIFS(Dados!$E:$E,$B94,Dados!$C:$C,INDEX(F$3,1,1),Dados!$A:$A,INDEX($D:$E,MATCH("C",$D:$D,0),2)))</f>
        <v/>
      </c>
      <c r="G94" s="68" t="str">
        <f ca="1">IF(COUNTIFS(Dados!$E:$E,$B94,Dados!$C:$C,INDEX(G$3,1,1),Dados!$A:$A,INDEX($D:$E,MATCH("C",$D:$D,0),2))=0,"",SUMIFS(Dados!$G:$G,Dados!$E:$E,$B94,Dados!$C:$C,INDEX(G$3,1,1),Dados!$A:$A,INDEX($D:$E,MATCH("C",$D:$D,0),2))/COUNTIFS(Dados!$E:$E,$B94,Dados!$C:$C,INDEX(G$3,1,1),Dados!$A:$A,INDEX($D:$E,MATCH("C",$D:$D,0),2)))</f>
        <v/>
      </c>
      <c r="H94" s="68" t="str">
        <f ca="1">IF(COUNTIFS(Dados!$E:$E,$B94,Dados!$C:$C,INDEX(H$3,1,1),Dados!$A:$A,INDEX($D:$E,MATCH("C",$D:$D,0),2))=0,"",SUMIFS(Dados!$G:$G,Dados!$E:$E,$B94,Dados!$C:$C,INDEX(H$3,1,1),Dados!$A:$A,INDEX($D:$E,MATCH("C",$D:$D,0),2))/COUNTIFS(Dados!$E:$E,$B94,Dados!$C:$C,INDEX(H$3,1,1),Dados!$A:$A,INDEX($D:$E,MATCH("C",$D:$D,0),2)))</f>
        <v/>
      </c>
      <c r="I94" s="68" t="str">
        <f ca="1">IF(COUNTIFS(Dados!$E:$E,$B94,Dados!$C:$C,INDEX(I$3,1,1),Dados!$A:$A,INDEX($D:$E,MATCH("C",$D:$D,0),2))=0,"",SUMIFS(Dados!$G:$G,Dados!$E:$E,$B94,Dados!$C:$C,INDEX(I$3,1,1),Dados!$A:$A,INDEX($D:$E,MATCH("C",$D:$D,0),2))/COUNTIFS(Dados!$E:$E,$B94,Dados!$C:$C,INDEX(I$3,1,1),Dados!$A:$A,INDEX($D:$E,MATCH("C",$D:$D,0),2)))</f>
        <v/>
      </c>
      <c r="J94" s="68" t="str">
        <f ca="1">IF(COUNTIFS(Dados!$E:$E,$B94,Dados!$C:$C,INDEX(J$3,1,1),Dados!$A:$A,INDEX($D:$E,MATCH("C",$D:$D,0),2))=0,"",SUMIFS(Dados!$G:$G,Dados!$E:$E,$B94,Dados!$C:$C,INDEX(J$3,1,1),Dados!$A:$A,INDEX($D:$E,MATCH("C",$D:$D,0),2))/COUNTIFS(Dados!$E:$E,$B94,Dados!$C:$C,INDEX(J$3,1,1),Dados!$A:$A,INDEX($D:$E,MATCH("C",$D:$D,0),2)))</f>
        <v/>
      </c>
      <c r="K94" s="68" t="str">
        <f ca="1">IF(COUNTIFS(Dados!$E:$E,$B94,Dados!$C:$C,INDEX(K$3,1,1),Dados!$A:$A,INDEX($D:$E,MATCH("C",$D:$D,0),2))=0,"",SUMIFS(Dados!$G:$G,Dados!$E:$E,$B94,Dados!$C:$C,INDEX(K$3,1,1),Dados!$A:$A,INDEX($D:$E,MATCH("C",$D:$D,0),2))/COUNTIFS(Dados!$E:$E,$B94,Dados!$C:$C,INDEX(K$3,1,1),Dados!$A:$A,INDEX($D:$E,MATCH("C",$D:$D,0),2)))</f>
        <v/>
      </c>
      <c r="L94" s="68" t="str">
        <f ca="1">IF(COUNTIFS(Dados!$E:$E,$B94,Dados!$C:$C,INDEX(L$3,1,1),Dados!$A:$A,INDEX($D:$E,MATCH("C",$D:$D,0),2))=0,"",SUMIFS(Dados!$G:$G,Dados!$E:$E,$B94,Dados!$C:$C,INDEX(L$3,1,1),Dados!$A:$A,INDEX($D:$E,MATCH("C",$D:$D,0),2))/COUNTIFS(Dados!$E:$E,$B94,Dados!$C:$C,INDEX(L$3,1,1),Dados!$A:$A,INDEX($D:$E,MATCH("C",$D:$D,0),2)))</f>
        <v/>
      </c>
      <c r="M94" s="68" t="str">
        <f ca="1">IF(COUNTIFS(Dados!$E:$E,$B94,Dados!$C:$C,INDEX(M$3,1,1),Dados!$A:$A,INDEX($D:$E,MATCH("C",$D:$D,0),2))=0,"",SUMIFS(Dados!$G:$G,Dados!$E:$E,$B94,Dados!$C:$C,INDEX(M$3,1,1),Dados!$A:$A,INDEX($D:$E,MATCH("C",$D:$D,0),2))/COUNTIFS(Dados!$E:$E,$B94,Dados!$C:$C,INDEX(M$3,1,1),Dados!$A:$A,INDEX($D:$E,MATCH("C",$D:$D,0),2)))</f>
        <v/>
      </c>
      <c r="N94" s="68" t="str">
        <f ca="1">IF(COUNTIFS(Dados!$E:$E,$B94,Dados!$C:$C,INDEX(N$3,1,1),Dados!$A:$A,INDEX($D:$E,MATCH("C",$D:$D,0),2))=0,"",SUMIFS(Dados!$G:$G,Dados!$E:$E,$B94,Dados!$C:$C,INDEX(N$3,1,1),Dados!$A:$A,INDEX($D:$E,MATCH("C",$D:$D,0),2))/COUNTIFS(Dados!$E:$E,$B94,Dados!$C:$C,INDEX(N$3,1,1),Dados!$A:$A,INDEX($D:$E,MATCH("C",$D:$D,0),2)))</f>
        <v/>
      </c>
      <c r="O94" s="68" t="str">
        <f ca="1">IF(COUNTIFS(Dados!$E:$E,$B94,Dados!$C:$C,INDEX(O$3,1,1),Dados!$A:$A,INDEX($D:$E,MATCH("C",$D:$D,0),2))=0,"",SUMIFS(Dados!$G:$G,Dados!$E:$E,$B94,Dados!$C:$C,INDEX(O$3,1,1),Dados!$A:$A,INDEX($D:$E,MATCH("C",$D:$D,0),2))/COUNTIFS(Dados!$E:$E,$B94,Dados!$C:$C,INDEX(O$3,1,1),Dados!$A:$A,INDEX($D:$E,MATCH("C",$D:$D,0),2)))</f>
        <v/>
      </c>
      <c r="P94" s="68" t="str">
        <f ca="1">IF(COUNTIFS(Dados!$E:$E,$B94,Dados!$C:$C,INDEX(P$3,1,1),Dados!$A:$A,INDEX($D:$E,MATCH("C",$D:$D,0),2))=0,"",SUMIFS(Dados!$G:$G,Dados!$E:$E,$B94,Dados!$C:$C,INDEX(P$3,1,1),Dados!$A:$A,INDEX($D:$E,MATCH("C",$D:$D,0),2))/COUNTIFS(Dados!$E:$E,$B94,Dados!$C:$C,INDEX(P$3,1,1),Dados!$A:$A,INDEX($D:$E,MATCH("C",$D:$D,0),2)))</f>
        <v/>
      </c>
      <c r="Q94" s="68" t="str">
        <f ca="1">IF(COUNTIFS(Dados!$E:$E,$B94,Dados!$C:$C,INDEX(Q$3,1,1),Dados!$A:$A,INDEX($D:$E,MATCH("C",$D:$D,0),2))=0,"",SUMIFS(Dados!$G:$G,Dados!$E:$E,$B94,Dados!$C:$C,INDEX(Q$3,1,1),Dados!$A:$A,INDEX($D:$E,MATCH("C",$D:$D,0),2))/COUNTIFS(Dados!$E:$E,$B94,Dados!$C:$C,INDEX(Q$3,1,1),Dados!$A:$A,INDEX($D:$E,MATCH("C",$D:$D,0),2)))</f>
        <v/>
      </c>
      <c r="R94" s="68" t="str">
        <f ca="1">IF(COUNTIFS(Dados!$E:$E,$B94,Dados!$C:$C,INDEX(R$3,1,1),Dados!$A:$A,INDEX($D:$E,MATCH("C",$D:$D,0),2))=0,"",SUMIFS(Dados!$G:$G,Dados!$E:$E,$B94,Dados!$C:$C,INDEX(R$3,1,1),Dados!$A:$A,INDEX($D:$E,MATCH("C",$D:$D,0),2))/COUNTIFS(Dados!$E:$E,$B94,Dados!$C:$C,INDEX(R$3,1,1),Dados!$A:$A,INDEX($D:$E,MATCH("C",$D:$D,0),2)))</f>
        <v/>
      </c>
      <c r="S94" s="68" t="str">
        <f ca="1">IF(COUNTIFS(Dados!$E:$E,$B94,Dados!$C:$C,INDEX(S$3,1,1),Dados!$A:$A,INDEX($D:$E,MATCH("C",$D:$D,0),2))=0,"",SUMIFS(Dados!$G:$G,Dados!$E:$E,$B94,Dados!$C:$C,INDEX(S$3,1,1),Dados!$A:$A,INDEX($D:$E,MATCH("C",$D:$D,0),2))/COUNTIFS(Dados!$E:$E,$B94,Dados!$C:$C,INDEX(S$3,1,1),Dados!$A:$A,INDEX($D:$E,MATCH("C",$D:$D,0),2)))</f>
        <v/>
      </c>
      <c r="T94" s="68" t="str">
        <f ca="1">IF(COUNTIFS(Dados!$E:$E,$B94,Dados!$C:$C,INDEX(T$3,1,1),Dados!$A:$A,INDEX($D:$E,MATCH("C",$D:$D,0),2))=0,"",SUMIFS(Dados!$G:$G,Dados!$E:$E,$B94,Dados!$C:$C,INDEX(T$3,1,1),Dados!$A:$A,INDEX($D:$E,MATCH("C",$D:$D,0),2))/COUNTIFS(Dados!$E:$E,$B94,Dados!$C:$C,INDEX(T$3,1,1),Dados!$A:$A,INDEX($D:$E,MATCH("C",$D:$D,0),2)))</f>
        <v/>
      </c>
      <c r="U94" s="68" t="str">
        <f ca="1">IF(COUNTIFS(Dados!$E:$E,$B94,Dados!$C:$C,INDEX(U$3,1,1),Dados!$A:$A,INDEX($D:$E,MATCH("C",$D:$D,0),2))=0,"",SUMIFS(Dados!$G:$G,Dados!$E:$E,$B94,Dados!$C:$C,INDEX(U$3,1,1),Dados!$A:$A,INDEX($D:$E,MATCH("C",$D:$D,0),2))/COUNTIFS(Dados!$E:$E,$B94,Dados!$C:$C,INDEX(U$3,1,1),Dados!$A:$A,INDEX($D:$E,MATCH("C",$D:$D,0),2)))</f>
        <v/>
      </c>
      <c r="V94" s="68" t="str">
        <f ca="1">IF(COUNTIFS(Dados!$E:$E,$B94,Dados!$C:$C,INDEX(V$3,1,1),Dados!$A:$A,INDEX($D:$E,MATCH("C",$D:$D,0),2))=0,"",SUMIFS(Dados!$G:$G,Dados!$E:$E,$B94,Dados!$C:$C,INDEX(V$3,1,1),Dados!$A:$A,INDEX($D:$E,MATCH("C",$D:$D,0),2))/COUNTIFS(Dados!$E:$E,$B94,Dados!$C:$C,INDEX(V$3,1,1),Dados!$A:$A,INDEX($D:$E,MATCH("C",$D:$D,0),2)))</f>
        <v/>
      </c>
    </row>
    <row r="95" spans="2:22" x14ac:dyDescent="0.25">
      <c r="B95" s="65" t="s">
        <v>32</v>
      </c>
      <c r="C95" s="72">
        <f>VLOOKUP(B95,B4:C22,2,0)</f>
        <v>8</v>
      </c>
      <c r="D95" s="66" t="str">
        <f ca="1">IF(COUNTIFS(Dados!$E:$E,$B95,Dados!$C:$C,INDEX(D$3,1,1),Dados!$A:$A,INDEX($D:$E,MATCH("C",$D:$D,0),2))=0,"",SUMIFS(Dados!$G:$G,Dados!$E:$E,$B95,Dados!$C:$C,INDEX(D$3,1,1),Dados!$A:$A,INDEX($D:$E,MATCH("C",$D:$D,0),2))/COUNTIFS(Dados!$E:$E,$B95,Dados!$C:$C,INDEX(D$3,1,1),Dados!$A:$A,INDEX($D:$E,MATCH("C",$D:$D,0),2)))</f>
        <v/>
      </c>
      <c r="E95" s="66" t="str">
        <f ca="1">IF(COUNTIFS(Dados!$E:$E,$B95,Dados!$C:$C,INDEX(E$3,1,1),Dados!$A:$A,INDEX($D:$E,MATCH("C",$D:$D,0),2))=0,"",SUMIFS(Dados!$G:$G,Dados!$E:$E,$B95,Dados!$C:$C,INDEX(E$3,1,1),Dados!$A:$A,INDEX($D:$E,MATCH("C",$D:$D,0),2))/COUNTIFS(Dados!$E:$E,$B95,Dados!$C:$C,INDEX(E$3,1,1),Dados!$A:$A,INDEX($D:$E,MATCH("C",$D:$D,0),2)))</f>
        <v/>
      </c>
      <c r="F95" s="66" t="str">
        <f ca="1">IF(COUNTIFS(Dados!$E:$E,$B95,Dados!$C:$C,INDEX(F$3,1,1),Dados!$A:$A,INDEX($D:$E,MATCH("C",$D:$D,0),2))=0,"",SUMIFS(Dados!$G:$G,Dados!$E:$E,$B95,Dados!$C:$C,INDEX(F$3,1,1),Dados!$A:$A,INDEX($D:$E,MATCH("C",$D:$D,0),2))/COUNTIFS(Dados!$E:$E,$B95,Dados!$C:$C,INDEX(F$3,1,1),Dados!$A:$A,INDEX($D:$E,MATCH("C",$D:$D,0),2)))</f>
        <v/>
      </c>
      <c r="G95" s="66" t="str">
        <f ca="1">IF(COUNTIFS(Dados!$E:$E,$B95,Dados!$C:$C,INDEX(G$3,1,1),Dados!$A:$A,INDEX($D:$E,MATCH("C",$D:$D,0),2))=0,"",SUMIFS(Dados!$G:$G,Dados!$E:$E,$B95,Dados!$C:$C,INDEX(G$3,1,1),Dados!$A:$A,INDEX($D:$E,MATCH("C",$D:$D,0),2))/COUNTIFS(Dados!$E:$E,$B95,Dados!$C:$C,INDEX(G$3,1,1),Dados!$A:$A,INDEX($D:$E,MATCH("C",$D:$D,0),2)))</f>
        <v/>
      </c>
      <c r="H95" s="66" t="str">
        <f ca="1">IF(COUNTIFS(Dados!$E:$E,$B95,Dados!$C:$C,INDEX(H$3,1,1),Dados!$A:$A,INDEX($D:$E,MATCH("C",$D:$D,0),2))=0,"",SUMIFS(Dados!$G:$G,Dados!$E:$E,$B95,Dados!$C:$C,INDEX(H$3,1,1),Dados!$A:$A,INDEX($D:$E,MATCH("C",$D:$D,0),2))/COUNTIFS(Dados!$E:$E,$B95,Dados!$C:$C,INDEX(H$3,1,1),Dados!$A:$A,INDEX($D:$E,MATCH("C",$D:$D,0),2)))</f>
        <v/>
      </c>
      <c r="I95" s="66" t="str">
        <f ca="1">IF(COUNTIFS(Dados!$E:$E,$B95,Dados!$C:$C,INDEX(I$3,1,1),Dados!$A:$A,INDEX($D:$E,MATCH("C",$D:$D,0),2))=0,"",SUMIFS(Dados!$G:$G,Dados!$E:$E,$B95,Dados!$C:$C,INDEX(I$3,1,1),Dados!$A:$A,INDEX($D:$E,MATCH("C",$D:$D,0),2))/COUNTIFS(Dados!$E:$E,$B95,Dados!$C:$C,INDEX(I$3,1,1),Dados!$A:$A,INDEX($D:$E,MATCH("C",$D:$D,0),2)))</f>
        <v/>
      </c>
      <c r="J95" s="66" t="str">
        <f ca="1">IF(COUNTIFS(Dados!$E:$E,$B95,Dados!$C:$C,INDEX(J$3,1,1),Dados!$A:$A,INDEX($D:$E,MATCH("C",$D:$D,0),2))=0,"",SUMIFS(Dados!$G:$G,Dados!$E:$E,$B95,Dados!$C:$C,INDEX(J$3,1,1),Dados!$A:$A,INDEX($D:$E,MATCH("C",$D:$D,0),2))/COUNTIFS(Dados!$E:$E,$B95,Dados!$C:$C,INDEX(J$3,1,1),Dados!$A:$A,INDEX($D:$E,MATCH("C",$D:$D,0),2)))</f>
        <v/>
      </c>
      <c r="K95" s="66" t="str">
        <f ca="1">IF(COUNTIFS(Dados!$E:$E,$B95,Dados!$C:$C,INDEX(K$3,1,1),Dados!$A:$A,INDEX($D:$E,MATCH("C",$D:$D,0),2))=0,"",SUMIFS(Dados!$G:$G,Dados!$E:$E,$B95,Dados!$C:$C,INDEX(K$3,1,1),Dados!$A:$A,INDEX($D:$E,MATCH("C",$D:$D,0),2))/COUNTIFS(Dados!$E:$E,$B95,Dados!$C:$C,INDEX(K$3,1,1),Dados!$A:$A,INDEX($D:$E,MATCH("C",$D:$D,0),2)))</f>
        <v/>
      </c>
      <c r="L95" s="66" t="str">
        <f ca="1">IF(COUNTIFS(Dados!$E:$E,$B95,Dados!$C:$C,INDEX(L$3,1,1),Dados!$A:$A,INDEX($D:$E,MATCH("C",$D:$D,0),2))=0,"",SUMIFS(Dados!$G:$G,Dados!$E:$E,$B95,Dados!$C:$C,INDEX(L$3,1,1),Dados!$A:$A,INDEX($D:$E,MATCH("C",$D:$D,0),2))/COUNTIFS(Dados!$E:$E,$B95,Dados!$C:$C,INDEX(L$3,1,1),Dados!$A:$A,INDEX($D:$E,MATCH("C",$D:$D,0),2)))</f>
        <v/>
      </c>
      <c r="M95" s="66" t="str">
        <f ca="1">IF(COUNTIFS(Dados!$E:$E,$B95,Dados!$C:$C,INDEX(M$3,1,1),Dados!$A:$A,INDEX($D:$E,MATCH("C",$D:$D,0),2))=0,"",SUMIFS(Dados!$G:$G,Dados!$E:$E,$B95,Dados!$C:$C,INDEX(M$3,1,1),Dados!$A:$A,INDEX($D:$E,MATCH("C",$D:$D,0),2))/COUNTIFS(Dados!$E:$E,$B95,Dados!$C:$C,INDEX(M$3,1,1),Dados!$A:$A,INDEX($D:$E,MATCH("C",$D:$D,0),2)))</f>
        <v/>
      </c>
      <c r="N95" s="66" t="str">
        <f ca="1">IF(COUNTIFS(Dados!$E:$E,$B95,Dados!$C:$C,INDEX(N$3,1,1),Dados!$A:$A,INDEX($D:$E,MATCH("C",$D:$D,0),2))=0,"",SUMIFS(Dados!$G:$G,Dados!$E:$E,$B95,Dados!$C:$C,INDEX(N$3,1,1),Dados!$A:$A,INDEX($D:$E,MATCH("C",$D:$D,0),2))/COUNTIFS(Dados!$E:$E,$B95,Dados!$C:$C,INDEX(N$3,1,1),Dados!$A:$A,INDEX($D:$E,MATCH("C",$D:$D,0),2)))</f>
        <v/>
      </c>
      <c r="O95" s="66" t="str">
        <f ca="1">IF(COUNTIFS(Dados!$E:$E,$B95,Dados!$C:$C,INDEX(O$3,1,1),Dados!$A:$A,INDEX($D:$E,MATCH("C",$D:$D,0),2))=0,"",SUMIFS(Dados!$G:$G,Dados!$E:$E,$B95,Dados!$C:$C,INDEX(O$3,1,1),Dados!$A:$A,INDEX($D:$E,MATCH("C",$D:$D,0),2))/COUNTIFS(Dados!$E:$E,$B95,Dados!$C:$C,INDEX(O$3,1,1),Dados!$A:$A,INDEX($D:$E,MATCH("C",$D:$D,0),2)))</f>
        <v/>
      </c>
      <c r="P95" s="66" t="str">
        <f ca="1">IF(COUNTIFS(Dados!$E:$E,$B95,Dados!$C:$C,INDEX(P$3,1,1),Dados!$A:$A,INDEX($D:$E,MATCH("C",$D:$D,0),2))=0,"",SUMIFS(Dados!$G:$G,Dados!$E:$E,$B95,Dados!$C:$C,INDEX(P$3,1,1),Dados!$A:$A,INDEX($D:$E,MATCH("C",$D:$D,0),2))/COUNTIFS(Dados!$E:$E,$B95,Dados!$C:$C,INDEX(P$3,1,1),Dados!$A:$A,INDEX($D:$E,MATCH("C",$D:$D,0),2)))</f>
        <v/>
      </c>
      <c r="Q95" s="66" t="str">
        <f ca="1">IF(COUNTIFS(Dados!$E:$E,$B95,Dados!$C:$C,INDEX(Q$3,1,1),Dados!$A:$A,INDEX($D:$E,MATCH("C",$D:$D,0),2))=0,"",SUMIFS(Dados!$G:$G,Dados!$E:$E,$B95,Dados!$C:$C,INDEX(Q$3,1,1),Dados!$A:$A,INDEX($D:$E,MATCH("C",$D:$D,0),2))/COUNTIFS(Dados!$E:$E,$B95,Dados!$C:$C,INDEX(Q$3,1,1),Dados!$A:$A,INDEX($D:$E,MATCH("C",$D:$D,0),2)))</f>
        <v/>
      </c>
      <c r="R95" s="66" t="str">
        <f ca="1">IF(COUNTIFS(Dados!$E:$E,$B95,Dados!$C:$C,INDEX(R$3,1,1),Dados!$A:$A,INDEX($D:$E,MATCH("C",$D:$D,0),2))=0,"",SUMIFS(Dados!$G:$G,Dados!$E:$E,$B95,Dados!$C:$C,INDEX(R$3,1,1),Dados!$A:$A,INDEX($D:$E,MATCH("C",$D:$D,0),2))/COUNTIFS(Dados!$E:$E,$B95,Dados!$C:$C,INDEX(R$3,1,1),Dados!$A:$A,INDEX($D:$E,MATCH("C",$D:$D,0),2)))</f>
        <v/>
      </c>
      <c r="S95" s="66" t="str">
        <f ca="1">IF(COUNTIFS(Dados!$E:$E,$B95,Dados!$C:$C,INDEX(S$3,1,1),Dados!$A:$A,INDEX($D:$E,MATCH("C",$D:$D,0),2))=0,"",SUMIFS(Dados!$G:$G,Dados!$E:$E,$B95,Dados!$C:$C,INDEX(S$3,1,1),Dados!$A:$A,INDEX($D:$E,MATCH("C",$D:$D,0),2))/COUNTIFS(Dados!$E:$E,$B95,Dados!$C:$C,INDEX(S$3,1,1),Dados!$A:$A,INDEX($D:$E,MATCH("C",$D:$D,0),2)))</f>
        <v/>
      </c>
      <c r="T95" s="66" t="str">
        <f ca="1">IF(COUNTIFS(Dados!$E:$E,$B95,Dados!$C:$C,INDEX(T$3,1,1),Dados!$A:$A,INDEX($D:$E,MATCH("C",$D:$D,0),2))=0,"",SUMIFS(Dados!$G:$G,Dados!$E:$E,$B95,Dados!$C:$C,INDEX(T$3,1,1),Dados!$A:$A,INDEX($D:$E,MATCH("C",$D:$D,0),2))/COUNTIFS(Dados!$E:$E,$B95,Dados!$C:$C,INDEX(T$3,1,1),Dados!$A:$A,INDEX($D:$E,MATCH("C",$D:$D,0),2)))</f>
        <v/>
      </c>
      <c r="U95" s="66" t="str">
        <f ca="1">IF(COUNTIFS(Dados!$E:$E,$B95,Dados!$C:$C,INDEX(U$3,1,1),Dados!$A:$A,INDEX($D:$E,MATCH("C",$D:$D,0),2))=0,"",SUMIFS(Dados!$G:$G,Dados!$E:$E,$B95,Dados!$C:$C,INDEX(U$3,1,1),Dados!$A:$A,INDEX($D:$E,MATCH("C",$D:$D,0),2))/COUNTIFS(Dados!$E:$E,$B95,Dados!$C:$C,INDEX(U$3,1,1),Dados!$A:$A,INDEX($D:$E,MATCH("C",$D:$D,0),2)))</f>
        <v/>
      </c>
      <c r="V95" s="66" t="str">
        <f ca="1">IF(COUNTIFS(Dados!$E:$E,$B95,Dados!$C:$C,INDEX(V$3,1,1),Dados!$A:$A,INDEX($D:$E,MATCH("C",$D:$D,0),2))=0,"",SUMIFS(Dados!$G:$G,Dados!$E:$E,$B95,Dados!$C:$C,INDEX(V$3,1,1),Dados!$A:$A,INDEX($D:$E,MATCH("C",$D:$D,0),2))/COUNTIFS(Dados!$E:$E,$B95,Dados!$C:$C,INDEX(V$3,1,1),Dados!$A:$A,INDEX($D:$E,MATCH("C",$D:$D,0),2)))</f>
        <v/>
      </c>
    </row>
    <row r="96" spans="2:22" x14ac:dyDescent="0.25">
      <c r="B96" s="67" t="s">
        <v>44</v>
      </c>
      <c r="C96" s="71">
        <f>VLOOKUP(B96,B4:C22,2,0)</f>
        <v>9</v>
      </c>
      <c r="D96" s="68" t="str">
        <f ca="1">IF(COUNTIFS(Dados!$E:$E,$B96,Dados!$C:$C,INDEX(D$3,1,1),Dados!$A:$A,INDEX($D:$E,MATCH("C",$D:$D,0),2))=0,"",SUMIFS(Dados!$G:$G,Dados!$E:$E,$B96,Dados!$C:$C,INDEX(D$3,1,1),Dados!$A:$A,INDEX($D:$E,MATCH("C",$D:$D,0),2))/COUNTIFS(Dados!$E:$E,$B96,Dados!$C:$C,INDEX(D$3,1,1),Dados!$A:$A,INDEX($D:$E,MATCH("C",$D:$D,0),2)))</f>
        <v/>
      </c>
      <c r="E96" s="68" t="str">
        <f ca="1">IF(COUNTIFS(Dados!$E:$E,$B96,Dados!$C:$C,INDEX(E$3,1,1),Dados!$A:$A,INDEX($D:$E,MATCH("C",$D:$D,0),2))=0,"",SUMIFS(Dados!$G:$G,Dados!$E:$E,$B96,Dados!$C:$C,INDEX(E$3,1,1),Dados!$A:$A,INDEX($D:$E,MATCH("C",$D:$D,0),2))/COUNTIFS(Dados!$E:$E,$B96,Dados!$C:$C,INDEX(E$3,1,1),Dados!$A:$A,INDEX($D:$E,MATCH("C",$D:$D,0),2)))</f>
        <v/>
      </c>
      <c r="F96" s="68" t="str">
        <f ca="1">IF(COUNTIFS(Dados!$E:$E,$B96,Dados!$C:$C,INDEX(F$3,1,1),Dados!$A:$A,INDEX($D:$E,MATCH("C",$D:$D,0),2))=0,"",SUMIFS(Dados!$G:$G,Dados!$E:$E,$B96,Dados!$C:$C,INDEX(F$3,1,1),Dados!$A:$A,INDEX($D:$E,MATCH("C",$D:$D,0),2))/COUNTIFS(Dados!$E:$E,$B96,Dados!$C:$C,INDEX(F$3,1,1),Dados!$A:$A,INDEX($D:$E,MATCH("C",$D:$D,0),2)))</f>
        <v/>
      </c>
      <c r="G96" s="68" t="str">
        <f ca="1">IF(COUNTIFS(Dados!$E:$E,$B96,Dados!$C:$C,INDEX(G$3,1,1),Dados!$A:$A,INDEX($D:$E,MATCH("C",$D:$D,0),2))=0,"",SUMIFS(Dados!$G:$G,Dados!$E:$E,$B96,Dados!$C:$C,INDEX(G$3,1,1),Dados!$A:$A,INDEX($D:$E,MATCH("C",$D:$D,0),2))/COUNTIFS(Dados!$E:$E,$B96,Dados!$C:$C,INDEX(G$3,1,1),Dados!$A:$A,INDEX($D:$E,MATCH("C",$D:$D,0),2)))</f>
        <v/>
      </c>
      <c r="H96" s="68" t="str">
        <f ca="1">IF(COUNTIFS(Dados!$E:$E,$B96,Dados!$C:$C,INDEX(H$3,1,1),Dados!$A:$A,INDEX($D:$E,MATCH("C",$D:$D,0),2))=0,"",SUMIFS(Dados!$G:$G,Dados!$E:$E,$B96,Dados!$C:$C,INDEX(H$3,1,1),Dados!$A:$A,INDEX($D:$E,MATCH("C",$D:$D,0),2))/COUNTIFS(Dados!$E:$E,$B96,Dados!$C:$C,INDEX(H$3,1,1),Dados!$A:$A,INDEX($D:$E,MATCH("C",$D:$D,0),2)))</f>
        <v/>
      </c>
      <c r="I96" s="68" t="str">
        <f ca="1">IF(COUNTIFS(Dados!$E:$E,$B96,Dados!$C:$C,INDEX(I$3,1,1),Dados!$A:$A,INDEX($D:$E,MATCH("C",$D:$D,0),2))=0,"",SUMIFS(Dados!$G:$G,Dados!$E:$E,$B96,Dados!$C:$C,INDEX(I$3,1,1),Dados!$A:$A,INDEX($D:$E,MATCH("C",$D:$D,0),2))/COUNTIFS(Dados!$E:$E,$B96,Dados!$C:$C,INDEX(I$3,1,1),Dados!$A:$A,INDEX($D:$E,MATCH("C",$D:$D,0),2)))</f>
        <v/>
      </c>
      <c r="J96" s="68" t="str">
        <f ca="1">IF(COUNTIFS(Dados!$E:$E,$B96,Dados!$C:$C,INDEX(J$3,1,1),Dados!$A:$A,INDEX($D:$E,MATCH("C",$D:$D,0),2))=0,"",SUMIFS(Dados!$G:$G,Dados!$E:$E,$B96,Dados!$C:$C,INDEX(J$3,1,1),Dados!$A:$A,INDEX($D:$E,MATCH("C",$D:$D,0),2))/COUNTIFS(Dados!$E:$E,$B96,Dados!$C:$C,INDEX(J$3,1,1),Dados!$A:$A,INDEX($D:$E,MATCH("C",$D:$D,0),2)))</f>
        <v/>
      </c>
      <c r="K96" s="68" t="str">
        <f ca="1">IF(COUNTIFS(Dados!$E:$E,$B96,Dados!$C:$C,INDEX(K$3,1,1),Dados!$A:$A,INDEX($D:$E,MATCH("C",$D:$D,0),2))=0,"",SUMIFS(Dados!$G:$G,Dados!$E:$E,$B96,Dados!$C:$C,INDEX(K$3,1,1),Dados!$A:$A,INDEX($D:$E,MATCH("C",$D:$D,0),2))/COUNTIFS(Dados!$E:$E,$B96,Dados!$C:$C,INDEX(K$3,1,1),Dados!$A:$A,INDEX($D:$E,MATCH("C",$D:$D,0),2)))</f>
        <v/>
      </c>
      <c r="L96" s="68" t="str">
        <f ca="1">IF(COUNTIFS(Dados!$E:$E,$B96,Dados!$C:$C,INDEX(L$3,1,1),Dados!$A:$A,INDEX($D:$E,MATCH("C",$D:$D,0),2))=0,"",SUMIFS(Dados!$G:$G,Dados!$E:$E,$B96,Dados!$C:$C,INDEX(L$3,1,1),Dados!$A:$A,INDEX($D:$E,MATCH("C",$D:$D,0),2))/COUNTIFS(Dados!$E:$E,$B96,Dados!$C:$C,INDEX(L$3,1,1),Dados!$A:$A,INDEX($D:$E,MATCH("C",$D:$D,0),2)))</f>
        <v/>
      </c>
      <c r="M96" s="68" t="str">
        <f ca="1">IF(COUNTIFS(Dados!$E:$E,$B96,Dados!$C:$C,INDEX(M$3,1,1),Dados!$A:$A,INDEX($D:$E,MATCH("C",$D:$D,0),2))=0,"",SUMIFS(Dados!$G:$G,Dados!$E:$E,$B96,Dados!$C:$C,INDEX(M$3,1,1),Dados!$A:$A,INDEX($D:$E,MATCH("C",$D:$D,0),2))/COUNTIFS(Dados!$E:$E,$B96,Dados!$C:$C,INDEX(M$3,1,1),Dados!$A:$A,INDEX($D:$E,MATCH("C",$D:$D,0),2)))</f>
        <v/>
      </c>
      <c r="N96" s="68" t="str">
        <f ca="1">IF(COUNTIFS(Dados!$E:$E,$B96,Dados!$C:$C,INDEX(N$3,1,1),Dados!$A:$A,INDEX($D:$E,MATCH("C",$D:$D,0),2))=0,"",SUMIFS(Dados!$G:$G,Dados!$E:$E,$B96,Dados!$C:$C,INDEX(N$3,1,1),Dados!$A:$A,INDEX($D:$E,MATCH("C",$D:$D,0),2))/COUNTIFS(Dados!$E:$E,$B96,Dados!$C:$C,INDEX(N$3,1,1),Dados!$A:$A,INDEX($D:$E,MATCH("C",$D:$D,0),2)))</f>
        <v/>
      </c>
      <c r="O96" s="68" t="str">
        <f ca="1">IF(COUNTIFS(Dados!$E:$E,$B96,Dados!$C:$C,INDEX(O$3,1,1),Dados!$A:$A,INDEX($D:$E,MATCH("C",$D:$D,0),2))=0,"",SUMIFS(Dados!$G:$G,Dados!$E:$E,$B96,Dados!$C:$C,INDEX(O$3,1,1),Dados!$A:$A,INDEX($D:$E,MATCH("C",$D:$D,0),2))/COUNTIFS(Dados!$E:$E,$B96,Dados!$C:$C,INDEX(O$3,1,1),Dados!$A:$A,INDEX($D:$E,MATCH("C",$D:$D,0),2)))</f>
        <v/>
      </c>
      <c r="P96" s="68" t="str">
        <f ca="1">IF(COUNTIFS(Dados!$E:$E,$B96,Dados!$C:$C,INDEX(P$3,1,1),Dados!$A:$A,INDEX($D:$E,MATCH("C",$D:$D,0),2))=0,"",SUMIFS(Dados!$G:$G,Dados!$E:$E,$B96,Dados!$C:$C,INDEX(P$3,1,1),Dados!$A:$A,INDEX($D:$E,MATCH("C",$D:$D,0),2))/COUNTIFS(Dados!$E:$E,$B96,Dados!$C:$C,INDEX(P$3,1,1),Dados!$A:$A,INDEX($D:$E,MATCH("C",$D:$D,0),2)))</f>
        <v/>
      </c>
      <c r="Q96" s="68" t="str">
        <f ca="1">IF(COUNTIFS(Dados!$E:$E,$B96,Dados!$C:$C,INDEX(Q$3,1,1),Dados!$A:$A,INDEX($D:$E,MATCH("C",$D:$D,0),2))=0,"",SUMIFS(Dados!$G:$G,Dados!$E:$E,$B96,Dados!$C:$C,INDEX(Q$3,1,1),Dados!$A:$A,INDEX($D:$E,MATCH("C",$D:$D,0),2))/COUNTIFS(Dados!$E:$E,$B96,Dados!$C:$C,INDEX(Q$3,1,1),Dados!$A:$A,INDEX($D:$E,MATCH("C",$D:$D,0),2)))</f>
        <v/>
      </c>
      <c r="R96" s="68" t="str">
        <f ca="1">IF(COUNTIFS(Dados!$E:$E,$B96,Dados!$C:$C,INDEX(R$3,1,1),Dados!$A:$A,INDEX($D:$E,MATCH("C",$D:$D,0),2))=0,"",SUMIFS(Dados!$G:$G,Dados!$E:$E,$B96,Dados!$C:$C,INDEX(R$3,1,1),Dados!$A:$A,INDEX($D:$E,MATCH("C",$D:$D,0),2))/COUNTIFS(Dados!$E:$E,$B96,Dados!$C:$C,INDEX(R$3,1,1),Dados!$A:$A,INDEX($D:$E,MATCH("C",$D:$D,0),2)))</f>
        <v/>
      </c>
      <c r="S96" s="68" t="str">
        <f ca="1">IF(COUNTIFS(Dados!$E:$E,$B96,Dados!$C:$C,INDEX(S$3,1,1),Dados!$A:$A,INDEX($D:$E,MATCH("C",$D:$D,0),2))=0,"",SUMIFS(Dados!$G:$G,Dados!$E:$E,$B96,Dados!$C:$C,INDEX(S$3,1,1),Dados!$A:$A,INDEX($D:$E,MATCH("C",$D:$D,0),2))/COUNTIFS(Dados!$E:$E,$B96,Dados!$C:$C,INDEX(S$3,1,1),Dados!$A:$A,INDEX($D:$E,MATCH("C",$D:$D,0),2)))</f>
        <v/>
      </c>
      <c r="T96" s="68" t="str">
        <f ca="1">IF(COUNTIFS(Dados!$E:$E,$B96,Dados!$C:$C,INDEX(T$3,1,1),Dados!$A:$A,INDEX($D:$E,MATCH("C",$D:$D,0),2))=0,"",SUMIFS(Dados!$G:$G,Dados!$E:$E,$B96,Dados!$C:$C,INDEX(T$3,1,1),Dados!$A:$A,INDEX($D:$E,MATCH("C",$D:$D,0),2))/COUNTIFS(Dados!$E:$E,$B96,Dados!$C:$C,INDEX(T$3,1,1),Dados!$A:$A,INDEX($D:$E,MATCH("C",$D:$D,0),2)))</f>
        <v/>
      </c>
      <c r="U96" s="68" t="str">
        <f ca="1">IF(COUNTIFS(Dados!$E:$E,$B96,Dados!$C:$C,INDEX(U$3,1,1),Dados!$A:$A,INDEX($D:$E,MATCH("C",$D:$D,0),2))=0,"",SUMIFS(Dados!$G:$G,Dados!$E:$E,$B96,Dados!$C:$C,INDEX(U$3,1,1),Dados!$A:$A,INDEX($D:$E,MATCH("C",$D:$D,0),2))/COUNTIFS(Dados!$E:$E,$B96,Dados!$C:$C,INDEX(U$3,1,1),Dados!$A:$A,INDEX($D:$E,MATCH("C",$D:$D,0),2)))</f>
        <v/>
      </c>
      <c r="V96" s="68" t="str">
        <f ca="1">IF(COUNTIFS(Dados!$E:$E,$B96,Dados!$C:$C,INDEX(V$3,1,1),Dados!$A:$A,INDEX($D:$E,MATCH("C",$D:$D,0),2))=0,"",SUMIFS(Dados!$G:$G,Dados!$E:$E,$B96,Dados!$C:$C,INDEX(V$3,1,1),Dados!$A:$A,INDEX($D:$E,MATCH("C",$D:$D,0),2))/COUNTIFS(Dados!$E:$E,$B96,Dados!$C:$C,INDEX(V$3,1,1),Dados!$A:$A,INDEX($D:$E,MATCH("C",$D:$D,0),2)))</f>
        <v/>
      </c>
    </row>
    <row r="97" spans="2:22" x14ac:dyDescent="0.25">
      <c r="B97" s="65" t="s">
        <v>147</v>
      </c>
      <c r="C97" s="72">
        <f>VLOOKUP(B97,B4:C22,2,0)</f>
        <v>10</v>
      </c>
      <c r="D97" s="66" t="str">
        <f ca="1">IF(COUNTIFS(Dados!$E:$E,$B97,Dados!$C:$C,INDEX(D$3,1,1),Dados!$A:$A,INDEX($D:$E,MATCH("C",$D:$D,0),2))=0,"",SUMIFS(Dados!$G:$G,Dados!$E:$E,$B97,Dados!$C:$C,INDEX(D$3,1,1),Dados!$A:$A,INDEX($D:$E,MATCH("C",$D:$D,0),2))/COUNTIFS(Dados!$E:$E,$B97,Dados!$C:$C,INDEX(D$3,1,1),Dados!$A:$A,INDEX($D:$E,MATCH("C",$D:$D,0),2)))</f>
        <v/>
      </c>
      <c r="E97" s="66" t="str">
        <f ca="1">IF(COUNTIFS(Dados!$E:$E,$B97,Dados!$C:$C,INDEX(E$3,1,1),Dados!$A:$A,INDEX($D:$E,MATCH("C",$D:$D,0),2))=0,"",SUMIFS(Dados!$G:$G,Dados!$E:$E,$B97,Dados!$C:$C,INDEX(E$3,1,1),Dados!$A:$A,INDEX($D:$E,MATCH("C",$D:$D,0),2))/COUNTIFS(Dados!$E:$E,$B97,Dados!$C:$C,INDEX(E$3,1,1),Dados!$A:$A,INDEX($D:$E,MATCH("C",$D:$D,0),2)))</f>
        <v/>
      </c>
      <c r="F97" s="66" t="str">
        <f ca="1">IF(COUNTIFS(Dados!$E:$E,$B97,Dados!$C:$C,INDEX(F$3,1,1),Dados!$A:$A,INDEX($D:$E,MATCH("C",$D:$D,0),2))=0,"",SUMIFS(Dados!$G:$G,Dados!$E:$E,$B97,Dados!$C:$C,INDEX(F$3,1,1),Dados!$A:$A,INDEX($D:$E,MATCH("C",$D:$D,0),2))/COUNTIFS(Dados!$E:$E,$B97,Dados!$C:$C,INDEX(F$3,1,1),Dados!$A:$A,INDEX($D:$E,MATCH("C",$D:$D,0),2)))</f>
        <v/>
      </c>
      <c r="G97" s="66" t="str">
        <f ca="1">IF(COUNTIFS(Dados!$E:$E,$B97,Dados!$C:$C,INDEX(G$3,1,1),Dados!$A:$A,INDEX($D:$E,MATCH("C",$D:$D,0),2))=0,"",SUMIFS(Dados!$G:$G,Dados!$E:$E,$B97,Dados!$C:$C,INDEX(G$3,1,1),Dados!$A:$A,INDEX($D:$E,MATCH("C",$D:$D,0),2))/COUNTIFS(Dados!$E:$E,$B97,Dados!$C:$C,INDEX(G$3,1,1),Dados!$A:$A,INDEX($D:$E,MATCH("C",$D:$D,0),2)))</f>
        <v/>
      </c>
      <c r="H97" s="66" t="str">
        <f ca="1">IF(COUNTIFS(Dados!$E:$E,$B97,Dados!$C:$C,INDEX(H$3,1,1),Dados!$A:$A,INDEX($D:$E,MATCH("C",$D:$D,0),2))=0,"",SUMIFS(Dados!$G:$G,Dados!$E:$E,$B97,Dados!$C:$C,INDEX(H$3,1,1),Dados!$A:$A,INDEX($D:$E,MATCH("C",$D:$D,0),2))/COUNTIFS(Dados!$E:$E,$B97,Dados!$C:$C,INDEX(H$3,1,1),Dados!$A:$A,INDEX($D:$E,MATCH("C",$D:$D,0),2)))</f>
        <v/>
      </c>
      <c r="I97" s="66" t="str">
        <f ca="1">IF(COUNTIFS(Dados!$E:$E,$B97,Dados!$C:$C,INDEX(I$3,1,1),Dados!$A:$A,INDEX($D:$E,MATCH("C",$D:$D,0),2))=0,"",SUMIFS(Dados!$G:$G,Dados!$E:$E,$B97,Dados!$C:$C,INDEX(I$3,1,1),Dados!$A:$A,INDEX($D:$E,MATCH("C",$D:$D,0),2))/COUNTIFS(Dados!$E:$E,$B97,Dados!$C:$C,INDEX(I$3,1,1),Dados!$A:$A,INDEX($D:$E,MATCH("C",$D:$D,0),2)))</f>
        <v/>
      </c>
      <c r="J97" s="66" t="str">
        <f ca="1">IF(COUNTIFS(Dados!$E:$E,$B97,Dados!$C:$C,INDEX(J$3,1,1),Dados!$A:$A,INDEX($D:$E,MATCH("C",$D:$D,0),2))=0,"",SUMIFS(Dados!$G:$G,Dados!$E:$E,$B97,Dados!$C:$C,INDEX(J$3,1,1),Dados!$A:$A,INDEX($D:$E,MATCH("C",$D:$D,0),2))/COUNTIFS(Dados!$E:$E,$B97,Dados!$C:$C,INDEX(J$3,1,1),Dados!$A:$A,INDEX($D:$E,MATCH("C",$D:$D,0),2)))</f>
        <v/>
      </c>
      <c r="K97" s="66" t="str">
        <f ca="1">IF(COUNTIFS(Dados!$E:$E,$B97,Dados!$C:$C,INDEX(K$3,1,1),Dados!$A:$A,INDEX($D:$E,MATCH("C",$D:$D,0),2))=0,"",SUMIFS(Dados!$G:$G,Dados!$E:$E,$B97,Dados!$C:$C,INDEX(K$3,1,1),Dados!$A:$A,INDEX($D:$E,MATCH("C",$D:$D,0),2))/COUNTIFS(Dados!$E:$E,$B97,Dados!$C:$C,INDEX(K$3,1,1),Dados!$A:$A,INDEX($D:$E,MATCH("C",$D:$D,0),2)))</f>
        <v/>
      </c>
      <c r="L97" s="66" t="str">
        <f ca="1">IF(COUNTIFS(Dados!$E:$E,$B97,Dados!$C:$C,INDEX(L$3,1,1),Dados!$A:$A,INDEX($D:$E,MATCH("C",$D:$D,0),2))=0,"",SUMIFS(Dados!$G:$G,Dados!$E:$E,$B97,Dados!$C:$C,INDEX(L$3,1,1),Dados!$A:$A,INDEX($D:$E,MATCH("C",$D:$D,0),2))/COUNTIFS(Dados!$E:$E,$B97,Dados!$C:$C,INDEX(L$3,1,1),Dados!$A:$A,INDEX($D:$E,MATCH("C",$D:$D,0),2)))</f>
        <v/>
      </c>
      <c r="M97" s="66" t="str">
        <f ca="1">IF(COUNTIFS(Dados!$E:$E,$B97,Dados!$C:$C,INDEX(M$3,1,1),Dados!$A:$A,INDEX($D:$E,MATCH("C",$D:$D,0),2))=0,"",SUMIFS(Dados!$G:$G,Dados!$E:$E,$B97,Dados!$C:$C,INDEX(M$3,1,1),Dados!$A:$A,INDEX($D:$E,MATCH("C",$D:$D,0),2))/COUNTIFS(Dados!$E:$E,$B97,Dados!$C:$C,INDEX(M$3,1,1),Dados!$A:$A,INDEX($D:$E,MATCH("C",$D:$D,0),2)))</f>
        <v/>
      </c>
      <c r="N97" s="66" t="str">
        <f ca="1">IF(COUNTIFS(Dados!$E:$E,$B97,Dados!$C:$C,INDEX(N$3,1,1),Dados!$A:$A,INDEX($D:$E,MATCH("C",$D:$D,0),2))=0,"",SUMIFS(Dados!$G:$G,Dados!$E:$E,$B97,Dados!$C:$C,INDEX(N$3,1,1),Dados!$A:$A,INDEX($D:$E,MATCH("C",$D:$D,0),2))/COUNTIFS(Dados!$E:$E,$B97,Dados!$C:$C,INDEX(N$3,1,1),Dados!$A:$A,INDEX($D:$E,MATCH("C",$D:$D,0),2)))</f>
        <v/>
      </c>
      <c r="O97" s="66" t="str">
        <f ca="1">IF(COUNTIFS(Dados!$E:$E,$B97,Dados!$C:$C,INDEX(O$3,1,1),Dados!$A:$A,INDEX($D:$E,MATCH("C",$D:$D,0),2))=0,"",SUMIFS(Dados!$G:$G,Dados!$E:$E,$B97,Dados!$C:$C,INDEX(O$3,1,1),Dados!$A:$A,INDEX($D:$E,MATCH("C",$D:$D,0),2))/COUNTIFS(Dados!$E:$E,$B97,Dados!$C:$C,INDEX(O$3,1,1),Dados!$A:$A,INDEX($D:$E,MATCH("C",$D:$D,0),2)))</f>
        <v/>
      </c>
      <c r="P97" s="66" t="str">
        <f ca="1">IF(COUNTIFS(Dados!$E:$E,$B97,Dados!$C:$C,INDEX(P$3,1,1),Dados!$A:$A,INDEX($D:$E,MATCH("C",$D:$D,0),2))=0,"",SUMIFS(Dados!$G:$G,Dados!$E:$E,$B97,Dados!$C:$C,INDEX(P$3,1,1),Dados!$A:$A,INDEX($D:$E,MATCH("C",$D:$D,0),2))/COUNTIFS(Dados!$E:$E,$B97,Dados!$C:$C,INDEX(P$3,1,1),Dados!$A:$A,INDEX($D:$E,MATCH("C",$D:$D,0),2)))</f>
        <v/>
      </c>
      <c r="Q97" s="66" t="str">
        <f ca="1">IF(COUNTIFS(Dados!$E:$E,$B97,Dados!$C:$C,INDEX(Q$3,1,1),Dados!$A:$A,INDEX($D:$E,MATCH("C",$D:$D,0),2))=0,"",SUMIFS(Dados!$G:$G,Dados!$E:$E,$B97,Dados!$C:$C,INDEX(Q$3,1,1),Dados!$A:$A,INDEX($D:$E,MATCH("C",$D:$D,0),2))/COUNTIFS(Dados!$E:$E,$B97,Dados!$C:$C,INDEX(Q$3,1,1),Dados!$A:$A,INDEX($D:$E,MATCH("C",$D:$D,0),2)))</f>
        <v/>
      </c>
      <c r="R97" s="66" t="str">
        <f ca="1">IF(COUNTIFS(Dados!$E:$E,$B97,Dados!$C:$C,INDEX(R$3,1,1),Dados!$A:$A,INDEX($D:$E,MATCH("C",$D:$D,0),2))=0,"",SUMIFS(Dados!$G:$G,Dados!$E:$E,$B97,Dados!$C:$C,INDEX(R$3,1,1),Dados!$A:$A,INDEX($D:$E,MATCH("C",$D:$D,0),2))/COUNTIFS(Dados!$E:$E,$B97,Dados!$C:$C,INDEX(R$3,1,1),Dados!$A:$A,INDEX($D:$E,MATCH("C",$D:$D,0),2)))</f>
        <v/>
      </c>
      <c r="S97" s="66" t="str">
        <f ca="1">IF(COUNTIFS(Dados!$E:$E,$B97,Dados!$C:$C,INDEX(S$3,1,1),Dados!$A:$A,INDEX($D:$E,MATCH("C",$D:$D,0),2))=0,"",SUMIFS(Dados!$G:$G,Dados!$E:$E,$B97,Dados!$C:$C,INDEX(S$3,1,1),Dados!$A:$A,INDEX($D:$E,MATCH("C",$D:$D,0),2))/COUNTIFS(Dados!$E:$E,$B97,Dados!$C:$C,INDEX(S$3,1,1),Dados!$A:$A,INDEX($D:$E,MATCH("C",$D:$D,0),2)))</f>
        <v/>
      </c>
      <c r="T97" s="66" t="str">
        <f ca="1">IF(COUNTIFS(Dados!$E:$E,$B97,Dados!$C:$C,INDEX(T$3,1,1),Dados!$A:$A,INDEX($D:$E,MATCH("C",$D:$D,0),2))=0,"",SUMIFS(Dados!$G:$G,Dados!$E:$E,$B97,Dados!$C:$C,INDEX(T$3,1,1),Dados!$A:$A,INDEX($D:$E,MATCH("C",$D:$D,0),2))/COUNTIFS(Dados!$E:$E,$B97,Dados!$C:$C,INDEX(T$3,1,1),Dados!$A:$A,INDEX($D:$E,MATCH("C",$D:$D,0),2)))</f>
        <v/>
      </c>
      <c r="U97" s="66" t="str">
        <f ca="1">IF(COUNTIFS(Dados!$E:$E,$B97,Dados!$C:$C,INDEX(U$3,1,1),Dados!$A:$A,INDEX($D:$E,MATCH("C",$D:$D,0),2))=0,"",SUMIFS(Dados!$G:$G,Dados!$E:$E,$B97,Dados!$C:$C,INDEX(U$3,1,1),Dados!$A:$A,INDEX($D:$E,MATCH("C",$D:$D,0),2))/COUNTIFS(Dados!$E:$E,$B97,Dados!$C:$C,INDEX(U$3,1,1),Dados!$A:$A,INDEX($D:$E,MATCH("C",$D:$D,0),2)))</f>
        <v/>
      </c>
      <c r="V97" s="66" t="str">
        <f ca="1">IF(COUNTIFS(Dados!$E:$E,$B97,Dados!$C:$C,INDEX(V$3,1,1),Dados!$A:$A,INDEX($D:$E,MATCH("C",$D:$D,0),2))=0,"",SUMIFS(Dados!$G:$G,Dados!$E:$E,$B97,Dados!$C:$C,INDEX(V$3,1,1),Dados!$A:$A,INDEX($D:$E,MATCH("C",$D:$D,0),2))/COUNTIFS(Dados!$E:$E,$B97,Dados!$C:$C,INDEX(V$3,1,1),Dados!$A:$A,INDEX($D:$E,MATCH("C",$D:$D,0),2)))</f>
        <v/>
      </c>
    </row>
    <row r="98" spans="2:22" x14ac:dyDescent="0.25">
      <c r="B98" s="67" t="s">
        <v>898</v>
      </c>
      <c r="C98" s="71">
        <f>VLOOKUP(B98,B4:C22,2,0)</f>
        <v>11</v>
      </c>
      <c r="D98" s="68" t="str">
        <f ca="1">IF(COUNTIFS(Dados!$E:$E,$B98,Dados!$C:$C,INDEX(D$3,1,1),Dados!$A:$A,INDEX($D:$E,MATCH("C",$D:$D,0),2))=0,"",SUMIFS(Dados!$G:$G,Dados!$E:$E,$B98,Dados!$C:$C,INDEX(D$3,1,1),Dados!$A:$A,INDEX($D:$E,MATCH("C",$D:$D,0),2))/COUNTIFS(Dados!$E:$E,$B98,Dados!$C:$C,INDEX(D$3,1,1),Dados!$A:$A,INDEX($D:$E,MATCH("C",$D:$D,0),2)))</f>
        <v/>
      </c>
      <c r="E98" s="68" t="str">
        <f ca="1">IF(COUNTIFS(Dados!$E:$E,$B98,Dados!$C:$C,INDEX(E$3,1,1),Dados!$A:$A,INDEX($D:$E,MATCH("C",$D:$D,0),2))=0,"",SUMIFS(Dados!$G:$G,Dados!$E:$E,$B98,Dados!$C:$C,INDEX(E$3,1,1),Dados!$A:$A,INDEX($D:$E,MATCH("C",$D:$D,0),2))/COUNTIFS(Dados!$E:$E,$B98,Dados!$C:$C,INDEX(E$3,1,1),Dados!$A:$A,INDEX($D:$E,MATCH("C",$D:$D,0),2)))</f>
        <v/>
      </c>
      <c r="F98" s="68" t="str">
        <f ca="1">IF(COUNTIFS(Dados!$E:$E,$B98,Dados!$C:$C,INDEX(F$3,1,1),Dados!$A:$A,INDEX($D:$E,MATCH("C",$D:$D,0),2))=0,"",SUMIFS(Dados!$G:$G,Dados!$E:$E,$B98,Dados!$C:$C,INDEX(F$3,1,1),Dados!$A:$A,INDEX($D:$E,MATCH("C",$D:$D,0),2))/COUNTIFS(Dados!$E:$E,$B98,Dados!$C:$C,INDEX(F$3,1,1),Dados!$A:$A,INDEX($D:$E,MATCH("C",$D:$D,0),2)))</f>
        <v/>
      </c>
      <c r="G98" s="68" t="str">
        <f ca="1">IF(COUNTIFS(Dados!$E:$E,$B98,Dados!$C:$C,INDEX(G$3,1,1),Dados!$A:$A,INDEX($D:$E,MATCH("C",$D:$D,0),2))=0,"",SUMIFS(Dados!$G:$G,Dados!$E:$E,$B98,Dados!$C:$C,INDEX(G$3,1,1),Dados!$A:$A,INDEX($D:$E,MATCH("C",$D:$D,0),2))/COUNTIFS(Dados!$E:$E,$B98,Dados!$C:$C,INDEX(G$3,1,1),Dados!$A:$A,INDEX($D:$E,MATCH("C",$D:$D,0),2)))</f>
        <v/>
      </c>
      <c r="H98" s="68" t="str">
        <f ca="1">IF(COUNTIFS(Dados!$E:$E,$B98,Dados!$C:$C,INDEX(H$3,1,1),Dados!$A:$A,INDEX($D:$E,MATCH("C",$D:$D,0),2))=0,"",SUMIFS(Dados!$G:$G,Dados!$E:$E,$B98,Dados!$C:$C,INDEX(H$3,1,1),Dados!$A:$A,INDEX($D:$E,MATCH("C",$D:$D,0),2))/COUNTIFS(Dados!$E:$E,$B98,Dados!$C:$C,INDEX(H$3,1,1),Dados!$A:$A,INDEX($D:$E,MATCH("C",$D:$D,0),2)))</f>
        <v/>
      </c>
      <c r="I98" s="68" t="str">
        <f ca="1">IF(COUNTIFS(Dados!$E:$E,$B98,Dados!$C:$C,INDEX(I$3,1,1),Dados!$A:$A,INDEX($D:$E,MATCH("C",$D:$D,0),2))=0,"",SUMIFS(Dados!$G:$G,Dados!$E:$E,$B98,Dados!$C:$C,INDEX(I$3,1,1),Dados!$A:$A,INDEX($D:$E,MATCH("C",$D:$D,0),2))/COUNTIFS(Dados!$E:$E,$B98,Dados!$C:$C,INDEX(I$3,1,1),Dados!$A:$A,INDEX($D:$E,MATCH("C",$D:$D,0),2)))</f>
        <v/>
      </c>
      <c r="J98" s="68" t="str">
        <f ca="1">IF(COUNTIFS(Dados!$E:$E,$B98,Dados!$C:$C,INDEX(J$3,1,1),Dados!$A:$A,INDEX($D:$E,MATCH("C",$D:$D,0),2))=0,"",SUMIFS(Dados!$G:$G,Dados!$E:$E,$B98,Dados!$C:$C,INDEX(J$3,1,1),Dados!$A:$A,INDEX($D:$E,MATCH("C",$D:$D,0),2))/COUNTIFS(Dados!$E:$E,$B98,Dados!$C:$C,INDEX(J$3,1,1),Dados!$A:$A,INDEX($D:$E,MATCH("C",$D:$D,0),2)))</f>
        <v/>
      </c>
      <c r="K98" s="68" t="str">
        <f ca="1">IF(COUNTIFS(Dados!$E:$E,$B98,Dados!$C:$C,INDEX(K$3,1,1),Dados!$A:$A,INDEX($D:$E,MATCH("C",$D:$D,0),2))=0,"",SUMIFS(Dados!$G:$G,Dados!$E:$E,$B98,Dados!$C:$C,INDEX(K$3,1,1),Dados!$A:$A,INDEX($D:$E,MATCH("C",$D:$D,0),2))/COUNTIFS(Dados!$E:$E,$B98,Dados!$C:$C,INDEX(K$3,1,1),Dados!$A:$A,INDEX($D:$E,MATCH("C",$D:$D,0),2)))</f>
        <v/>
      </c>
      <c r="L98" s="68" t="str">
        <f ca="1">IF(COUNTIFS(Dados!$E:$E,$B98,Dados!$C:$C,INDEX(L$3,1,1),Dados!$A:$A,INDEX($D:$E,MATCH("C",$D:$D,0),2))=0,"",SUMIFS(Dados!$G:$G,Dados!$E:$E,$B98,Dados!$C:$C,INDEX(L$3,1,1),Dados!$A:$A,INDEX($D:$E,MATCH("C",$D:$D,0),2))/COUNTIFS(Dados!$E:$E,$B98,Dados!$C:$C,INDEX(L$3,1,1),Dados!$A:$A,INDEX($D:$E,MATCH("C",$D:$D,0),2)))</f>
        <v/>
      </c>
      <c r="M98" s="68" t="str">
        <f ca="1">IF(COUNTIFS(Dados!$E:$E,$B98,Dados!$C:$C,INDEX(M$3,1,1),Dados!$A:$A,INDEX($D:$E,MATCH("C",$D:$D,0),2))=0,"",SUMIFS(Dados!$G:$G,Dados!$E:$E,$B98,Dados!$C:$C,INDEX(M$3,1,1),Dados!$A:$A,INDEX($D:$E,MATCH("C",$D:$D,0),2))/COUNTIFS(Dados!$E:$E,$B98,Dados!$C:$C,INDEX(M$3,1,1),Dados!$A:$A,INDEX($D:$E,MATCH("C",$D:$D,0),2)))</f>
        <v/>
      </c>
      <c r="N98" s="68" t="str">
        <f ca="1">IF(COUNTIFS(Dados!$E:$E,$B98,Dados!$C:$C,INDEX(N$3,1,1),Dados!$A:$A,INDEX($D:$E,MATCH("C",$D:$D,0),2))=0,"",SUMIFS(Dados!$G:$G,Dados!$E:$E,$B98,Dados!$C:$C,INDEX(N$3,1,1),Dados!$A:$A,INDEX($D:$E,MATCH("C",$D:$D,0),2))/COUNTIFS(Dados!$E:$E,$B98,Dados!$C:$C,INDEX(N$3,1,1),Dados!$A:$A,INDEX($D:$E,MATCH("C",$D:$D,0),2)))</f>
        <v/>
      </c>
      <c r="O98" s="68" t="str">
        <f ca="1">IF(COUNTIFS(Dados!$E:$E,$B98,Dados!$C:$C,INDEX(O$3,1,1),Dados!$A:$A,INDEX($D:$E,MATCH("C",$D:$D,0),2))=0,"",SUMIFS(Dados!$G:$G,Dados!$E:$E,$B98,Dados!$C:$C,INDEX(O$3,1,1),Dados!$A:$A,INDEX($D:$E,MATCH("C",$D:$D,0),2))/COUNTIFS(Dados!$E:$E,$B98,Dados!$C:$C,INDEX(O$3,1,1),Dados!$A:$A,INDEX($D:$E,MATCH("C",$D:$D,0),2)))</f>
        <v/>
      </c>
      <c r="P98" s="68" t="str">
        <f ca="1">IF(COUNTIFS(Dados!$E:$E,$B98,Dados!$C:$C,INDEX(P$3,1,1),Dados!$A:$A,INDEX($D:$E,MATCH("C",$D:$D,0),2))=0,"",SUMIFS(Dados!$G:$G,Dados!$E:$E,$B98,Dados!$C:$C,INDEX(P$3,1,1),Dados!$A:$A,INDEX($D:$E,MATCH("C",$D:$D,0),2))/COUNTIFS(Dados!$E:$E,$B98,Dados!$C:$C,INDEX(P$3,1,1),Dados!$A:$A,INDEX($D:$E,MATCH("C",$D:$D,0),2)))</f>
        <v/>
      </c>
      <c r="Q98" s="68" t="str">
        <f ca="1">IF(COUNTIFS(Dados!$E:$E,$B98,Dados!$C:$C,INDEX(Q$3,1,1),Dados!$A:$A,INDEX($D:$E,MATCH("C",$D:$D,0),2))=0,"",SUMIFS(Dados!$G:$G,Dados!$E:$E,$B98,Dados!$C:$C,INDEX(Q$3,1,1),Dados!$A:$A,INDEX($D:$E,MATCH("C",$D:$D,0),2))/COUNTIFS(Dados!$E:$E,$B98,Dados!$C:$C,INDEX(Q$3,1,1),Dados!$A:$A,INDEX($D:$E,MATCH("C",$D:$D,0),2)))</f>
        <v/>
      </c>
      <c r="R98" s="68" t="str">
        <f ca="1">IF(COUNTIFS(Dados!$E:$E,$B98,Dados!$C:$C,INDEX(R$3,1,1),Dados!$A:$A,INDEX($D:$E,MATCH("C",$D:$D,0),2))=0,"",SUMIFS(Dados!$G:$G,Dados!$E:$E,$B98,Dados!$C:$C,INDEX(R$3,1,1),Dados!$A:$A,INDEX($D:$E,MATCH("C",$D:$D,0),2))/COUNTIFS(Dados!$E:$E,$B98,Dados!$C:$C,INDEX(R$3,1,1),Dados!$A:$A,INDEX($D:$E,MATCH("C",$D:$D,0),2)))</f>
        <v/>
      </c>
      <c r="S98" s="68" t="str">
        <f ca="1">IF(COUNTIFS(Dados!$E:$E,$B98,Dados!$C:$C,INDEX(S$3,1,1),Dados!$A:$A,INDEX($D:$E,MATCH("C",$D:$D,0),2))=0,"",SUMIFS(Dados!$G:$G,Dados!$E:$E,$B98,Dados!$C:$C,INDEX(S$3,1,1),Dados!$A:$A,INDEX($D:$E,MATCH("C",$D:$D,0),2))/COUNTIFS(Dados!$E:$E,$B98,Dados!$C:$C,INDEX(S$3,1,1),Dados!$A:$A,INDEX($D:$E,MATCH("C",$D:$D,0),2)))</f>
        <v/>
      </c>
      <c r="T98" s="68" t="str">
        <f ca="1">IF(COUNTIFS(Dados!$E:$E,$B98,Dados!$C:$C,INDEX(T$3,1,1),Dados!$A:$A,INDEX($D:$E,MATCH("C",$D:$D,0),2))=0,"",SUMIFS(Dados!$G:$G,Dados!$E:$E,$B98,Dados!$C:$C,INDEX(T$3,1,1),Dados!$A:$A,INDEX($D:$E,MATCH("C",$D:$D,0),2))/COUNTIFS(Dados!$E:$E,$B98,Dados!$C:$C,INDEX(T$3,1,1),Dados!$A:$A,INDEX($D:$E,MATCH("C",$D:$D,0),2)))</f>
        <v/>
      </c>
      <c r="U98" s="68" t="str">
        <f ca="1">IF(COUNTIFS(Dados!$E:$E,$B98,Dados!$C:$C,INDEX(U$3,1,1),Dados!$A:$A,INDEX($D:$E,MATCH("C",$D:$D,0),2))=0,"",SUMIFS(Dados!$G:$G,Dados!$E:$E,$B98,Dados!$C:$C,INDEX(U$3,1,1),Dados!$A:$A,INDEX($D:$E,MATCH("C",$D:$D,0),2))/COUNTIFS(Dados!$E:$E,$B98,Dados!$C:$C,INDEX(U$3,1,1),Dados!$A:$A,INDEX($D:$E,MATCH("C",$D:$D,0),2)))</f>
        <v/>
      </c>
      <c r="V98" s="68" t="str">
        <f ca="1">IF(COUNTIFS(Dados!$E:$E,$B98,Dados!$C:$C,INDEX(V$3,1,1),Dados!$A:$A,INDEX($D:$E,MATCH("C",$D:$D,0),2))=0,"",SUMIFS(Dados!$G:$G,Dados!$E:$E,$B98,Dados!$C:$C,INDEX(V$3,1,1),Dados!$A:$A,INDEX($D:$E,MATCH("C",$D:$D,0),2))/COUNTIFS(Dados!$E:$E,$B98,Dados!$C:$C,INDEX(V$3,1,1),Dados!$A:$A,INDEX($D:$E,MATCH("C",$D:$D,0),2)))</f>
        <v/>
      </c>
    </row>
    <row r="99" spans="2:22" x14ac:dyDescent="0.25">
      <c r="B99" s="65" t="s">
        <v>1301</v>
      </c>
      <c r="C99" s="72">
        <f>VLOOKUP(B99,B4:C22,2,0)</f>
        <v>12</v>
      </c>
      <c r="D99" s="66" t="str">
        <f ca="1">IF(COUNTIFS(Dados!$E:$E,$B99,Dados!$C:$C,INDEX(D$3,1,1),Dados!$A:$A,INDEX($D:$E,MATCH("C",$D:$D,0),2))=0,"",SUMIFS(Dados!$G:$G,Dados!$E:$E,$B99,Dados!$C:$C,INDEX(D$3,1,1),Dados!$A:$A,INDEX($D:$E,MATCH("C",$D:$D,0),2))/COUNTIFS(Dados!$E:$E,$B99,Dados!$C:$C,INDEX(D$3,1,1),Dados!$A:$A,INDEX($D:$E,MATCH("C",$D:$D,0),2)))</f>
        <v/>
      </c>
      <c r="E99" s="66" t="str">
        <f ca="1">IF(COUNTIFS(Dados!$E:$E,$B99,Dados!$C:$C,INDEX(E$3,1,1),Dados!$A:$A,INDEX($D:$E,MATCH("C",$D:$D,0),2))=0,"",SUMIFS(Dados!$G:$G,Dados!$E:$E,$B99,Dados!$C:$C,INDEX(E$3,1,1),Dados!$A:$A,INDEX($D:$E,MATCH("C",$D:$D,0),2))/COUNTIFS(Dados!$E:$E,$B99,Dados!$C:$C,INDEX(E$3,1,1),Dados!$A:$A,INDEX($D:$E,MATCH("C",$D:$D,0),2)))</f>
        <v/>
      </c>
      <c r="F99" s="66" t="str">
        <f ca="1">IF(COUNTIFS(Dados!$E:$E,$B99,Dados!$C:$C,INDEX(F$3,1,1),Dados!$A:$A,INDEX($D:$E,MATCH("C",$D:$D,0),2))=0,"",SUMIFS(Dados!$G:$G,Dados!$E:$E,$B99,Dados!$C:$C,INDEX(F$3,1,1),Dados!$A:$A,INDEX($D:$E,MATCH("C",$D:$D,0),2))/COUNTIFS(Dados!$E:$E,$B99,Dados!$C:$C,INDEX(F$3,1,1),Dados!$A:$A,INDEX($D:$E,MATCH("C",$D:$D,0),2)))</f>
        <v/>
      </c>
      <c r="G99" s="66" t="str">
        <f ca="1">IF(COUNTIFS(Dados!$E:$E,$B99,Dados!$C:$C,INDEX(G$3,1,1),Dados!$A:$A,INDEX($D:$E,MATCH("C",$D:$D,0),2))=0,"",SUMIFS(Dados!$G:$G,Dados!$E:$E,$B99,Dados!$C:$C,INDEX(G$3,1,1),Dados!$A:$A,INDEX($D:$E,MATCH("C",$D:$D,0),2))/COUNTIFS(Dados!$E:$E,$B99,Dados!$C:$C,INDEX(G$3,1,1),Dados!$A:$A,INDEX($D:$E,MATCH("C",$D:$D,0),2)))</f>
        <v/>
      </c>
      <c r="H99" s="66" t="str">
        <f ca="1">IF(COUNTIFS(Dados!$E:$E,$B99,Dados!$C:$C,INDEX(H$3,1,1),Dados!$A:$A,INDEX($D:$E,MATCH("C",$D:$D,0),2))=0,"",SUMIFS(Dados!$G:$G,Dados!$E:$E,$B99,Dados!$C:$C,INDEX(H$3,1,1),Dados!$A:$A,INDEX($D:$E,MATCH("C",$D:$D,0),2))/COUNTIFS(Dados!$E:$E,$B99,Dados!$C:$C,INDEX(H$3,1,1),Dados!$A:$A,INDEX($D:$E,MATCH("C",$D:$D,0),2)))</f>
        <v/>
      </c>
      <c r="I99" s="66" t="str">
        <f ca="1">IF(COUNTIFS(Dados!$E:$E,$B99,Dados!$C:$C,INDEX(I$3,1,1),Dados!$A:$A,INDEX($D:$E,MATCH("C",$D:$D,0),2))=0,"",SUMIFS(Dados!$G:$G,Dados!$E:$E,$B99,Dados!$C:$C,INDEX(I$3,1,1),Dados!$A:$A,INDEX($D:$E,MATCH("C",$D:$D,0),2))/COUNTIFS(Dados!$E:$E,$B99,Dados!$C:$C,INDEX(I$3,1,1),Dados!$A:$A,INDEX($D:$E,MATCH("C",$D:$D,0),2)))</f>
        <v/>
      </c>
      <c r="J99" s="66" t="str">
        <f ca="1">IF(COUNTIFS(Dados!$E:$E,$B99,Dados!$C:$C,INDEX(J$3,1,1),Dados!$A:$A,INDEX($D:$E,MATCH("C",$D:$D,0),2))=0,"",SUMIFS(Dados!$G:$G,Dados!$E:$E,$B99,Dados!$C:$C,INDEX(J$3,1,1),Dados!$A:$A,INDEX($D:$E,MATCH("C",$D:$D,0),2))/COUNTIFS(Dados!$E:$E,$B99,Dados!$C:$C,INDEX(J$3,1,1),Dados!$A:$A,INDEX($D:$E,MATCH("C",$D:$D,0),2)))</f>
        <v/>
      </c>
      <c r="K99" s="66" t="str">
        <f ca="1">IF(COUNTIFS(Dados!$E:$E,$B99,Dados!$C:$C,INDEX(K$3,1,1),Dados!$A:$A,INDEX($D:$E,MATCH("C",$D:$D,0),2))=0,"",SUMIFS(Dados!$G:$G,Dados!$E:$E,$B99,Dados!$C:$C,INDEX(K$3,1,1),Dados!$A:$A,INDEX($D:$E,MATCH("C",$D:$D,0),2))/COUNTIFS(Dados!$E:$E,$B99,Dados!$C:$C,INDEX(K$3,1,1),Dados!$A:$A,INDEX($D:$E,MATCH("C",$D:$D,0),2)))</f>
        <v/>
      </c>
      <c r="L99" s="66" t="str">
        <f ca="1">IF(COUNTIFS(Dados!$E:$E,$B99,Dados!$C:$C,INDEX(L$3,1,1),Dados!$A:$A,INDEX($D:$E,MATCH("C",$D:$D,0),2))=0,"",SUMIFS(Dados!$G:$G,Dados!$E:$E,$B99,Dados!$C:$C,INDEX(L$3,1,1),Dados!$A:$A,INDEX($D:$E,MATCH("C",$D:$D,0),2))/COUNTIFS(Dados!$E:$E,$B99,Dados!$C:$C,INDEX(L$3,1,1),Dados!$A:$A,INDEX($D:$E,MATCH("C",$D:$D,0),2)))</f>
        <v/>
      </c>
      <c r="M99" s="66" t="str">
        <f ca="1">IF(COUNTIFS(Dados!$E:$E,$B99,Dados!$C:$C,INDEX(M$3,1,1),Dados!$A:$A,INDEX($D:$E,MATCH("C",$D:$D,0),2))=0,"",SUMIFS(Dados!$G:$G,Dados!$E:$E,$B99,Dados!$C:$C,INDEX(M$3,1,1),Dados!$A:$A,INDEX($D:$E,MATCH("C",$D:$D,0),2))/COUNTIFS(Dados!$E:$E,$B99,Dados!$C:$C,INDEX(M$3,1,1),Dados!$A:$A,INDEX($D:$E,MATCH("C",$D:$D,0),2)))</f>
        <v/>
      </c>
      <c r="N99" s="66" t="str">
        <f ca="1">IF(COUNTIFS(Dados!$E:$E,$B99,Dados!$C:$C,INDEX(N$3,1,1),Dados!$A:$A,INDEX($D:$E,MATCH("C",$D:$D,0),2))=0,"",SUMIFS(Dados!$G:$G,Dados!$E:$E,$B99,Dados!$C:$C,INDEX(N$3,1,1),Dados!$A:$A,INDEX($D:$E,MATCH("C",$D:$D,0),2))/COUNTIFS(Dados!$E:$E,$B99,Dados!$C:$C,INDEX(N$3,1,1),Dados!$A:$A,INDEX($D:$E,MATCH("C",$D:$D,0),2)))</f>
        <v/>
      </c>
      <c r="O99" s="66" t="str">
        <f ca="1">IF(COUNTIFS(Dados!$E:$E,$B99,Dados!$C:$C,INDEX(O$3,1,1),Dados!$A:$A,INDEX($D:$E,MATCH("C",$D:$D,0),2))=0,"",SUMIFS(Dados!$G:$G,Dados!$E:$E,$B99,Dados!$C:$C,INDEX(O$3,1,1),Dados!$A:$A,INDEX($D:$E,MATCH("C",$D:$D,0),2))/COUNTIFS(Dados!$E:$E,$B99,Dados!$C:$C,INDEX(O$3,1,1),Dados!$A:$A,INDEX($D:$E,MATCH("C",$D:$D,0),2)))</f>
        <v/>
      </c>
      <c r="P99" s="66" t="str">
        <f ca="1">IF(COUNTIFS(Dados!$E:$E,$B99,Dados!$C:$C,INDEX(P$3,1,1),Dados!$A:$A,INDEX($D:$E,MATCH("C",$D:$D,0),2))=0,"",SUMIFS(Dados!$G:$G,Dados!$E:$E,$B99,Dados!$C:$C,INDEX(P$3,1,1),Dados!$A:$A,INDEX($D:$E,MATCH("C",$D:$D,0),2))/COUNTIFS(Dados!$E:$E,$B99,Dados!$C:$C,INDEX(P$3,1,1),Dados!$A:$A,INDEX($D:$E,MATCH("C",$D:$D,0),2)))</f>
        <v/>
      </c>
      <c r="Q99" s="66" t="str">
        <f ca="1">IF(COUNTIFS(Dados!$E:$E,$B99,Dados!$C:$C,INDEX(Q$3,1,1),Dados!$A:$A,INDEX($D:$E,MATCH("C",$D:$D,0),2))=0,"",SUMIFS(Dados!$G:$G,Dados!$E:$E,$B99,Dados!$C:$C,INDEX(Q$3,1,1),Dados!$A:$A,INDEX($D:$E,MATCH("C",$D:$D,0),2))/COUNTIFS(Dados!$E:$E,$B99,Dados!$C:$C,INDEX(Q$3,1,1),Dados!$A:$A,INDEX($D:$E,MATCH("C",$D:$D,0),2)))</f>
        <v/>
      </c>
      <c r="R99" s="66" t="str">
        <f ca="1">IF(COUNTIFS(Dados!$E:$E,$B99,Dados!$C:$C,INDEX(R$3,1,1),Dados!$A:$A,INDEX($D:$E,MATCH("C",$D:$D,0),2))=0,"",SUMIFS(Dados!$G:$G,Dados!$E:$E,$B99,Dados!$C:$C,INDEX(R$3,1,1),Dados!$A:$A,INDEX($D:$E,MATCH("C",$D:$D,0),2))/COUNTIFS(Dados!$E:$E,$B99,Dados!$C:$C,INDEX(R$3,1,1),Dados!$A:$A,INDEX($D:$E,MATCH("C",$D:$D,0),2)))</f>
        <v/>
      </c>
      <c r="S99" s="66" t="str">
        <f ca="1">IF(COUNTIFS(Dados!$E:$E,$B99,Dados!$C:$C,INDEX(S$3,1,1),Dados!$A:$A,INDEX($D:$E,MATCH("C",$D:$D,0),2))=0,"",SUMIFS(Dados!$G:$G,Dados!$E:$E,$B99,Dados!$C:$C,INDEX(S$3,1,1),Dados!$A:$A,INDEX($D:$E,MATCH("C",$D:$D,0),2))/COUNTIFS(Dados!$E:$E,$B99,Dados!$C:$C,INDEX(S$3,1,1),Dados!$A:$A,INDEX($D:$E,MATCH("C",$D:$D,0),2)))</f>
        <v/>
      </c>
      <c r="T99" s="66" t="str">
        <f ca="1">IF(COUNTIFS(Dados!$E:$E,$B99,Dados!$C:$C,INDEX(T$3,1,1),Dados!$A:$A,INDEX($D:$E,MATCH("C",$D:$D,0),2))=0,"",SUMIFS(Dados!$G:$G,Dados!$E:$E,$B99,Dados!$C:$C,INDEX(T$3,1,1),Dados!$A:$A,INDEX($D:$E,MATCH("C",$D:$D,0),2))/COUNTIFS(Dados!$E:$E,$B99,Dados!$C:$C,INDEX(T$3,1,1),Dados!$A:$A,INDEX($D:$E,MATCH("C",$D:$D,0),2)))</f>
        <v/>
      </c>
      <c r="U99" s="66" t="str">
        <f ca="1">IF(COUNTIFS(Dados!$E:$E,$B99,Dados!$C:$C,INDEX(U$3,1,1),Dados!$A:$A,INDEX($D:$E,MATCH("C",$D:$D,0),2))=0,"",SUMIFS(Dados!$G:$G,Dados!$E:$E,$B99,Dados!$C:$C,INDEX(U$3,1,1),Dados!$A:$A,INDEX($D:$E,MATCH("C",$D:$D,0),2))/COUNTIFS(Dados!$E:$E,$B99,Dados!$C:$C,INDEX(U$3,1,1),Dados!$A:$A,INDEX($D:$E,MATCH("C",$D:$D,0),2)))</f>
        <v/>
      </c>
      <c r="V99" s="66" t="str">
        <f ca="1">IF(COUNTIFS(Dados!$E:$E,$B99,Dados!$C:$C,INDEX(V$3,1,1),Dados!$A:$A,INDEX($D:$E,MATCH("C",$D:$D,0),2))=0,"",SUMIFS(Dados!$G:$G,Dados!$E:$E,$B99,Dados!$C:$C,INDEX(V$3,1,1),Dados!$A:$A,INDEX($D:$E,MATCH("C",$D:$D,0),2))/COUNTIFS(Dados!$E:$E,$B99,Dados!$C:$C,INDEX(V$3,1,1),Dados!$A:$A,INDEX($D:$E,MATCH("C",$D:$D,0),2)))</f>
        <v/>
      </c>
    </row>
    <row r="100" spans="2:22" x14ac:dyDescent="0.25">
      <c r="B100" s="67" t="s">
        <v>1302</v>
      </c>
      <c r="C100" s="71">
        <f>VLOOKUP(B100,B4:C22,2,0)</f>
        <v>13</v>
      </c>
      <c r="D100" s="68" t="str">
        <f ca="1">IF(COUNTIFS(Dados!$E:$E,$B100,Dados!$C:$C,INDEX(D$3,1,1),Dados!$A:$A,INDEX($D:$E,MATCH("C",$D:$D,0),2))=0,"",SUMIFS(Dados!$G:$G,Dados!$E:$E,$B100,Dados!$C:$C,INDEX(D$3,1,1),Dados!$A:$A,INDEX($D:$E,MATCH("C",$D:$D,0),2))/COUNTIFS(Dados!$E:$E,$B100,Dados!$C:$C,INDEX(D$3,1,1),Dados!$A:$A,INDEX($D:$E,MATCH("C",$D:$D,0),2)))</f>
        <v/>
      </c>
      <c r="E100" s="68" t="str">
        <f ca="1">IF(COUNTIFS(Dados!$E:$E,$B100,Dados!$C:$C,INDEX(E$3,1,1),Dados!$A:$A,INDEX($D:$E,MATCH("C",$D:$D,0),2))=0,"",SUMIFS(Dados!$G:$G,Dados!$E:$E,$B100,Dados!$C:$C,INDEX(E$3,1,1),Dados!$A:$A,INDEX($D:$E,MATCH("C",$D:$D,0),2))/COUNTIFS(Dados!$E:$E,$B100,Dados!$C:$C,INDEX(E$3,1,1),Dados!$A:$A,INDEX($D:$E,MATCH("C",$D:$D,0),2)))</f>
        <v/>
      </c>
      <c r="F100" s="68" t="str">
        <f ca="1">IF(COUNTIFS(Dados!$E:$E,$B100,Dados!$C:$C,INDEX(F$3,1,1),Dados!$A:$A,INDEX($D:$E,MATCH("C",$D:$D,0),2))=0,"",SUMIFS(Dados!$G:$G,Dados!$E:$E,$B100,Dados!$C:$C,INDEX(F$3,1,1),Dados!$A:$A,INDEX($D:$E,MATCH("C",$D:$D,0),2))/COUNTIFS(Dados!$E:$E,$B100,Dados!$C:$C,INDEX(F$3,1,1),Dados!$A:$A,INDEX($D:$E,MATCH("C",$D:$D,0),2)))</f>
        <v/>
      </c>
      <c r="G100" s="68" t="str">
        <f ca="1">IF(COUNTIFS(Dados!$E:$E,$B100,Dados!$C:$C,INDEX(G$3,1,1),Dados!$A:$A,INDEX($D:$E,MATCH("C",$D:$D,0),2))=0,"",SUMIFS(Dados!$G:$G,Dados!$E:$E,$B100,Dados!$C:$C,INDEX(G$3,1,1),Dados!$A:$A,INDEX($D:$E,MATCH("C",$D:$D,0),2))/COUNTIFS(Dados!$E:$E,$B100,Dados!$C:$C,INDEX(G$3,1,1),Dados!$A:$A,INDEX($D:$E,MATCH("C",$D:$D,0),2)))</f>
        <v/>
      </c>
      <c r="H100" s="68" t="str">
        <f ca="1">IF(COUNTIFS(Dados!$E:$E,$B100,Dados!$C:$C,INDEX(H$3,1,1),Dados!$A:$A,INDEX($D:$E,MATCH("C",$D:$D,0),2))=0,"",SUMIFS(Dados!$G:$G,Dados!$E:$E,$B100,Dados!$C:$C,INDEX(H$3,1,1),Dados!$A:$A,INDEX($D:$E,MATCH("C",$D:$D,0),2))/COUNTIFS(Dados!$E:$E,$B100,Dados!$C:$C,INDEX(H$3,1,1),Dados!$A:$A,INDEX($D:$E,MATCH("C",$D:$D,0),2)))</f>
        <v/>
      </c>
      <c r="I100" s="68" t="str">
        <f ca="1">IF(COUNTIFS(Dados!$E:$E,$B100,Dados!$C:$C,INDEX(I$3,1,1),Dados!$A:$A,INDEX($D:$E,MATCH("C",$D:$D,0),2))=0,"",SUMIFS(Dados!$G:$G,Dados!$E:$E,$B100,Dados!$C:$C,INDEX(I$3,1,1),Dados!$A:$A,INDEX($D:$E,MATCH("C",$D:$D,0),2))/COUNTIFS(Dados!$E:$E,$B100,Dados!$C:$C,INDEX(I$3,1,1),Dados!$A:$A,INDEX($D:$E,MATCH("C",$D:$D,0),2)))</f>
        <v/>
      </c>
      <c r="J100" s="68" t="str">
        <f ca="1">IF(COUNTIFS(Dados!$E:$E,$B100,Dados!$C:$C,INDEX(J$3,1,1),Dados!$A:$A,INDEX($D:$E,MATCH("C",$D:$D,0),2))=0,"",SUMIFS(Dados!$G:$G,Dados!$E:$E,$B100,Dados!$C:$C,INDEX(J$3,1,1),Dados!$A:$A,INDEX($D:$E,MATCH("C",$D:$D,0),2))/COUNTIFS(Dados!$E:$E,$B100,Dados!$C:$C,INDEX(J$3,1,1),Dados!$A:$A,INDEX($D:$E,MATCH("C",$D:$D,0),2)))</f>
        <v/>
      </c>
      <c r="K100" s="68" t="str">
        <f ca="1">IF(COUNTIFS(Dados!$E:$E,$B100,Dados!$C:$C,INDEX(K$3,1,1),Dados!$A:$A,INDEX($D:$E,MATCH("C",$D:$D,0),2))=0,"",SUMIFS(Dados!$G:$G,Dados!$E:$E,$B100,Dados!$C:$C,INDEX(K$3,1,1),Dados!$A:$A,INDEX($D:$E,MATCH("C",$D:$D,0),2))/COUNTIFS(Dados!$E:$E,$B100,Dados!$C:$C,INDEX(K$3,1,1),Dados!$A:$A,INDEX($D:$E,MATCH("C",$D:$D,0),2)))</f>
        <v/>
      </c>
      <c r="L100" s="68" t="str">
        <f ca="1">IF(COUNTIFS(Dados!$E:$E,$B100,Dados!$C:$C,INDEX(L$3,1,1),Dados!$A:$A,INDEX($D:$E,MATCH("C",$D:$D,0),2))=0,"",SUMIFS(Dados!$G:$G,Dados!$E:$E,$B100,Dados!$C:$C,INDEX(L$3,1,1),Dados!$A:$A,INDEX($D:$E,MATCH("C",$D:$D,0),2))/COUNTIFS(Dados!$E:$E,$B100,Dados!$C:$C,INDEX(L$3,1,1),Dados!$A:$A,INDEX($D:$E,MATCH("C",$D:$D,0),2)))</f>
        <v/>
      </c>
      <c r="M100" s="68" t="str">
        <f ca="1">IF(COUNTIFS(Dados!$E:$E,$B100,Dados!$C:$C,INDEX(M$3,1,1),Dados!$A:$A,INDEX($D:$E,MATCH("C",$D:$D,0),2))=0,"",SUMIFS(Dados!$G:$G,Dados!$E:$E,$B100,Dados!$C:$C,INDEX(M$3,1,1),Dados!$A:$A,INDEX($D:$E,MATCH("C",$D:$D,0),2))/COUNTIFS(Dados!$E:$E,$B100,Dados!$C:$C,INDEX(M$3,1,1),Dados!$A:$A,INDEX($D:$E,MATCH("C",$D:$D,0),2)))</f>
        <v/>
      </c>
      <c r="N100" s="68" t="str">
        <f ca="1">IF(COUNTIFS(Dados!$E:$E,$B100,Dados!$C:$C,INDEX(N$3,1,1),Dados!$A:$A,INDEX($D:$E,MATCH("C",$D:$D,0),2))=0,"",SUMIFS(Dados!$G:$G,Dados!$E:$E,$B100,Dados!$C:$C,INDEX(N$3,1,1),Dados!$A:$A,INDEX($D:$E,MATCH("C",$D:$D,0),2))/COUNTIFS(Dados!$E:$E,$B100,Dados!$C:$C,INDEX(N$3,1,1),Dados!$A:$A,INDEX($D:$E,MATCH("C",$D:$D,0),2)))</f>
        <v/>
      </c>
      <c r="O100" s="68" t="str">
        <f ca="1">IF(COUNTIFS(Dados!$E:$E,$B100,Dados!$C:$C,INDEX(O$3,1,1),Dados!$A:$A,INDEX($D:$E,MATCH("C",$D:$D,0),2))=0,"",SUMIFS(Dados!$G:$G,Dados!$E:$E,$B100,Dados!$C:$C,INDEX(O$3,1,1),Dados!$A:$A,INDEX($D:$E,MATCH("C",$D:$D,0),2))/COUNTIFS(Dados!$E:$E,$B100,Dados!$C:$C,INDEX(O$3,1,1),Dados!$A:$A,INDEX($D:$E,MATCH("C",$D:$D,0),2)))</f>
        <v/>
      </c>
      <c r="P100" s="68" t="str">
        <f ca="1">IF(COUNTIFS(Dados!$E:$E,$B100,Dados!$C:$C,INDEX(P$3,1,1),Dados!$A:$A,INDEX($D:$E,MATCH("C",$D:$D,0),2))=0,"",SUMIFS(Dados!$G:$G,Dados!$E:$E,$B100,Dados!$C:$C,INDEX(P$3,1,1),Dados!$A:$A,INDEX($D:$E,MATCH("C",$D:$D,0),2))/COUNTIFS(Dados!$E:$E,$B100,Dados!$C:$C,INDEX(P$3,1,1),Dados!$A:$A,INDEX($D:$E,MATCH("C",$D:$D,0),2)))</f>
        <v/>
      </c>
      <c r="Q100" s="68" t="str">
        <f ca="1">IF(COUNTIFS(Dados!$E:$E,$B100,Dados!$C:$C,INDEX(Q$3,1,1),Dados!$A:$A,INDEX($D:$E,MATCH("C",$D:$D,0),2))=0,"",SUMIFS(Dados!$G:$G,Dados!$E:$E,$B100,Dados!$C:$C,INDEX(Q$3,1,1),Dados!$A:$A,INDEX($D:$E,MATCH("C",$D:$D,0),2))/COUNTIFS(Dados!$E:$E,$B100,Dados!$C:$C,INDEX(Q$3,1,1),Dados!$A:$A,INDEX($D:$E,MATCH("C",$D:$D,0),2)))</f>
        <v/>
      </c>
      <c r="R100" s="68" t="str">
        <f ca="1">IF(COUNTIFS(Dados!$E:$E,$B100,Dados!$C:$C,INDEX(R$3,1,1),Dados!$A:$A,INDEX($D:$E,MATCH("C",$D:$D,0),2))=0,"",SUMIFS(Dados!$G:$G,Dados!$E:$E,$B100,Dados!$C:$C,INDEX(R$3,1,1),Dados!$A:$A,INDEX($D:$E,MATCH("C",$D:$D,0),2))/COUNTIFS(Dados!$E:$E,$B100,Dados!$C:$C,INDEX(R$3,1,1),Dados!$A:$A,INDEX($D:$E,MATCH("C",$D:$D,0),2)))</f>
        <v/>
      </c>
      <c r="S100" s="68" t="str">
        <f ca="1">IF(COUNTIFS(Dados!$E:$E,$B100,Dados!$C:$C,INDEX(S$3,1,1),Dados!$A:$A,INDEX($D:$E,MATCH("C",$D:$D,0),2))=0,"",SUMIFS(Dados!$G:$G,Dados!$E:$E,$B100,Dados!$C:$C,INDEX(S$3,1,1),Dados!$A:$A,INDEX($D:$E,MATCH("C",$D:$D,0),2))/COUNTIFS(Dados!$E:$E,$B100,Dados!$C:$C,INDEX(S$3,1,1),Dados!$A:$A,INDEX($D:$E,MATCH("C",$D:$D,0),2)))</f>
        <v/>
      </c>
      <c r="T100" s="68" t="str">
        <f ca="1">IF(COUNTIFS(Dados!$E:$E,$B100,Dados!$C:$C,INDEX(T$3,1,1),Dados!$A:$A,INDEX($D:$E,MATCH("C",$D:$D,0),2))=0,"",SUMIFS(Dados!$G:$G,Dados!$E:$E,$B100,Dados!$C:$C,INDEX(T$3,1,1),Dados!$A:$A,INDEX($D:$E,MATCH("C",$D:$D,0),2))/COUNTIFS(Dados!$E:$E,$B100,Dados!$C:$C,INDEX(T$3,1,1),Dados!$A:$A,INDEX($D:$E,MATCH("C",$D:$D,0),2)))</f>
        <v/>
      </c>
      <c r="U100" s="68" t="str">
        <f ca="1">IF(COUNTIFS(Dados!$E:$E,$B100,Dados!$C:$C,INDEX(U$3,1,1),Dados!$A:$A,INDEX($D:$E,MATCH("C",$D:$D,0),2))=0,"",SUMIFS(Dados!$G:$G,Dados!$E:$E,$B100,Dados!$C:$C,INDEX(U$3,1,1),Dados!$A:$A,INDEX($D:$E,MATCH("C",$D:$D,0),2))/COUNTIFS(Dados!$E:$E,$B100,Dados!$C:$C,INDEX(U$3,1,1),Dados!$A:$A,INDEX($D:$E,MATCH("C",$D:$D,0),2)))</f>
        <v/>
      </c>
      <c r="V100" s="68" t="str">
        <f ca="1">IF(COUNTIFS(Dados!$E:$E,$B100,Dados!$C:$C,INDEX(V$3,1,1),Dados!$A:$A,INDEX($D:$E,MATCH("C",$D:$D,0),2))=0,"",SUMIFS(Dados!$G:$G,Dados!$E:$E,$B100,Dados!$C:$C,INDEX(V$3,1,1),Dados!$A:$A,INDEX($D:$E,MATCH("C",$D:$D,0),2))/COUNTIFS(Dados!$E:$E,$B100,Dados!$C:$C,INDEX(V$3,1,1),Dados!$A:$A,INDEX($D:$E,MATCH("C",$D:$D,0),2)))</f>
        <v/>
      </c>
    </row>
    <row r="101" spans="2:22" x14ac:dyDescent="0.25">
      <c r="B101" s="65" t="s">
        <v>1296</v>
      </c>
      <c r="C101" s="72">
        <f>VLOOKUP(B101,B4:C22,2,0)</f>
        <v>14</v>
      </c>
      <c r="D101" s="66" t="str">
        <f ca="1">IF(COUNTIFS(Dados!$E:$E,$B101,Dados!$C:$C,INDEX(D$3,1,1),Dados!$A:$A,INDEX($D:$E,MATCH("C",$D:$D,0),2))=0,"",SUMIFS(Dados!$G:$G,Dados!$E:$E,$B101,Dados!$C:$C,INDEX(D$3,1,1),Dados!$A:$A,INDEX($D:$E,MATCH("C",$D:$D,0),2))/COUNTIFS(Dados!$E:$E,$B101,Dados!$C:$C,INDEX(D$3,1,1),Dados!$A:$A,INDEX($D:$E,MATCH("C",$D:$D,0),2)))</f>
        <v/>
      </c>
      <c r="E101" s="66" t="str">
        <f ca="1">IF(COUNTIFS(Dados!$E:$E,$B101,Dados!$C:$C,INDEX(E$3,1,1),Dados!$A:$A,INDEX($D:$E,MATCH("C",$D:$D,0),2))=0,"",SUMIFS(Dados!$G:$G,Dados!$E:$E,$B101,Dados!$C:$C,INDEX(E$3,1,1),Dados!$A:$A,INDEX($D:$E,MATCH("C",$D:$D,0),2))/COUNTIFS(Dados!$E:$E,$B101,Dados!$C:$C,INDEX(E$3,1,1),Dados!$A:$A,INDEX($D:$E,MATCH("C",$D:$D,0),2)))</f>
        <v/>
      </c>
      <c r="F101" s="66" t="str">
        <f ca="1">IF(COUNTIFS(Dados!$E:$E,$B101,Dados!$C:$C,INDEX(F$3,1,1),Dados!$A:$A,INDEX($D:$E,MATCH("C",$D:$D,0),2))=0,"",SUMIFS(Dados!$G:$G,Dados!$E:$E,$B101,Dados!$C:$C,INDEX(F$3,1,1),Dados!$A:$A,INDEX($D:$E,MATCH("C",$D:$D,0),2))/COUNTIFS(Dados!$E:$E,$B101,Dados!$C:$C,INDEX(F$3,1,1),Dados!$A:$A,INDEX($D:$E,MATCH("C",$D:$D,0),2)))</f>
        <v/>
      </c>
      <c r="G101" s="66" t="str">
        <f ca="1">IF(COUNTIFS(Dados!$E:$E,$B101,Dados!$C:$C,INDEX(G$3,1,1),Dados!$A:$A,INDEX($D:$E,MATCH("C",$D:$D,0),2))=0,"",SUMIFS(Dados!$G:$G,Dados!$E:$E,$B101,Dados!$C:$C,INDEX(G$3,1,1),Dados!$A:$A,INDEX($D:$E,MATCH("C",$D:$D,0),2))/COUNTIFS(Dados!$E:$E,$B101,Dados!$C:$C,INDEX(G$3,1,1),Dados!$A:$A,INDEX($D:$E,MATCH("C",$D:$D,0),2)))</f>
        <v/>
      </c>
      <c r="H101" s="66" t="str">
        <f ca="1">IF(COUNTIFS(Dados!$E:$E,$B101,Dados!$C:$C,INDEX(H$3,1,1),Dados!$A:$A,INDEX($D:$E,MATCH("C",$D:$D,0),2))=0,"",SUMIFS(Dados!$G:$G,Dados!$E:$E,$B101,Dados!$C:$C,INDEX(H$3,1,1),Dados!$A:$A,INDEX($D:$E,MATCH("C",$D:$D,0),2))/COUNTIFS(Dados!$E:$E,$B101,Dados!$C:$C,INDEX(H$3,1,1),Dados!$A:$A,INDEX($D:$E,MATCH("C",$D:$D,0),2)))</f>
        <v/>
      </c>
      <c r="I101" s="66" t="str">
        <f ca="1">IF(COUNTIFS(Dados!$E:$E,$B101,Dados!$C:$C,INDEX(I$3,1,1),Dados!$A:$A,INDEX($D:$E,MATCH("C",$D:$D,0),2))=0,"",SUMIFS(Dados!$G:$G,Dados!$E:$E,$B101,Dados!$C:$C,INDEX(I$3,1,1),Dados!$A:$A,INDEX($D:$E,MATCH("C",$D:$D,0),2))/COUNTIFS(Dados!$E:$E,$B101,Dados!$C:$C,INDEX(I$3,1,1),Dados!$A:$A,INDEX($D:$E,MATCH("C",$D:$D,0),2)))</f>
        <v/>
      </c>
      <c r="J101" s="66" t="str">
        <f ca="1">IF(COUNTIFS(Dados!$E:$E,$B101,Dados!$C:$C,INDEX(J$3,1,1),Dados!$A:$A,INDEX($D:$E,MATCH("C",$D:$D,0),2))=0,"",SUMIFS(Dados!$G:$G,Dados!$E:$E,$B101,Dados!$C:$C,INDEX(J$3,1,1),Dados!$A:$A,INDEX($D:$E,MATCH("C",$D:$D,0),2))/COUNTIFS(Dados!$E:$E,$B101,Dados!$C:$C,INDEX(J$3,1,1),Dados!$A:$A,INDEX($D:$E,MATCH("C",$D:$D,0),2)))</f>
        <v/>
      </c>
      <c r="K101" s="66" t="str">
        <f ca="1">IF(COUNTIFS(Dados!$E:$E,$B101,Dados!$C:$C,INDEX(K$3,1,1),Dados!$A:$A,INDEX($D:$E,MATCH("C",$D:$D,0),2))=0,"",SUMIFS(Dados!$G:$G,Dados!$E:$E,$B101,Dados!$C:$C,INDEX(K$3,1,1),Dados!$A:$A,INDEX($D:$E,MATCH("C",$D:$D,0),2))/COUNTIFS(Dados!$E:$E,$B101,Dados!$C:$C,INDEX(K$3,1,1),Dados!$A:$A,INDEX($D:$E,MATCH("C",$D:$D,0),2)))</f>
        <v/>
      </c>
      <c r="L101" s="66" t="str">
        <f ca="1">IF(COUNTIFS(Dados!$E:$E,$B101,Dados!$C:$C,INDEX(L$3,1,1),Dados!$A:$A,INDEX($D:$E,MATCH("C",$D:$D,0),2))=0,"",SUMIFS(Dados!$G:$G,Dados!$E:$E,$B101,Dados!$C:$C,INDEX(L$3,1,1),Dados!$A:$A,INDEX($D:$E,MATCH("C",$D:$D,0),2))/COUNTIFS(Dados!$E:$E,$B101,Dados!$C:$C,INDEX(L$3,1,1),Dados!$A:$A,INDEX($D:$E,MATCH("C",$D:$D,0),2)))</f>
        <v/>
      </c>
      <c r="M101" s="66" t="str">
        <f ca="1">IF(COUNTIFS(Dados!$E:$E,$B101,Dados!$C:$C,INDEX(M$3,1,1),Dados!$A:$A,INDEX($D:$E,MATCH("C",$D:$D,0),2))=0,"",SUMIFS(Dados!$G:$G,Dados!$E:$E,$B101,Dados!$C:$C,INDEX(M$3,1,1),Dados!$A:$A,INDEX($D:$E,MATCH("C",$D:$D,0),2))/COUNTIFS(Dados!$E:$E,$B101,Dados!$C:$C,INDEX(M$3,1,1),Dados!$A:$A,INDEX($D:$E,MATCH("C",$D:$D,0),2)))</f>
        <v/>
      </c>
      <c r="N101" s="66" t="str">
        <f ca="1">IF(COUNTIFS(Dados!$E:$E,$B101,Dados!$C:$C,INDEX(N$3,1,1),Dados!$A:$A,INDEX($D:$E,MATCH("C",$D:$D,0),2))=0,"",SUMIFS(Dados!$G:$G,Dados!$E:$E,$B101,Dados!$C:$C,INDEX(N$3,1,1),Dados!$A:$A,INDEX($D:$E,MATCH("C",$D:$D,0),2))/COUNTIFS(Dados!$E:$E,$B101,Dados!$C:$C,INDEX(N$3,1,1),Dados!$A:$A,INDEX($D:$E,MATCH("C",$D:$D,0),2)))</f>
        <v/>
      </c>
      <c r="O101" s="66" t="str">
        <f ca="1">IF(COUNTIFS(Dados!$E:$E,$B101,Dados!$C:$C,INDEX(O$3,1,1),Dados!$A:$A,INDEX($D:$E,MATCH("C",$D:$D,0),2))=0,"",SUMIFS(Dados!$G:$G,Dados!$E:$E,$B101,Dados!$C:$C,INDEX(O$3,1,1),Dados!$A:$A,INDEX($D:$E,MATCH("C",$D:$D,0),2))/COUNTIFS(Dados!$E:$E,$B101,Dados!$C:$C,INDEX(O$3,1,1),Dados!$A:$A,INDEX($D:$E,MATCH("C",$D:$D,0),2)))</f>
        <v/>
      </c>
      <c r="P101" s="66" t="str">
        <f ca="1">IF(COUNTIFS(Dados!$E:$E,$B101,Dados!$C:$C,INDEX(P$3,1,1),Dados!$A:$A,INDEX($D:$E,MATCH("C",$D:$D,0),2))=0,"",SUMIFS(Dados!$G:$G,Dados!$E:$E,$B101,Dados!$C:$C,INDEX(P$3,1,1),Dados!$A:$A,INDEX($D:$E,MATCH("C",$D:$D,0),2))/COUNTIFS(Dados!$E:$E,$B101,Dados!$C:$C,INDEX(P$3,1,1),Dados!$A:$A,INDEX($D:$E,MATCH("C",$D:$D,0),2)))</f>
        <v/>
      </c>
      <c r="Q101" s="66" t="str">
        <f ca="1">IF(COUNTIFS(Dados!$E:$E,$B101,Dados!$C:$C,INDEX(Q$3,1,1),Dados!$A:$A,INDEX($D:$E,MATCH("C",$D:$D,0),2))=0,"",SUMIFS(Dados!$G:$G,Dados!$E:$E,$B101,Dados!$C:$C,INDEX(Q$3,1,1),Dados!$A:$A,INDEX($D:$E,MATCH("C",$D:$D,0),2))/COUNTIFS(Dados!$E:$E,$B101,Dados!$C:$C,INDEX(Q$3,1,1),Dados!$A:$A,INDEX($D:$E,MATCH("C",$D:$D,0),2)))</f>
        <v/>
      </c>
      <c r="R101" s="66" t="str">
        <f ca="1">IF(COUNTIFS(Dados!$E:$E,$B101,Dados!$C:$C,INDEX(R$3,1,1),Dados!$A:$A,INDEX($D:$E,MATCH("C",$D:$D,0),2))=0,"",SUMIFS(Dados!$G:$G,Dados!$E:$E,$B101,Dados!$C:$C,INDEX(R$3,1,1),Dados!$A:$A,INDEX($D:$E,MATCH("C",$D:$D,0),2))/COUNTIFS(Dados!$E:$E,$B101,Dados!$C:$C,INDEX(R$3,1,1),Dados!$A:$A,INDEX($D:$E,MATCH("C",$D:$D,0),2)))</f>
        <v/>
      </c>
      <c r="S101" s="66" t="str">
        <f ca="1">IF(COUNTIFS(Dados!$E:$E,$B101,Dados!$C:$C,INDEX(S$3,1,1),Dados!$A:$A,INDEX($D:$E,MATCH("C",$D:$D,0),2))=0,"",SUMIFS(Dados!$G:$G,Dados!$E:$E,$B101,Dados!$C:$C,INDEX(S$3,1,1),Dados!$A:$A,INDEX($D:$E,MATCH("C",$D:$D,0),2))/COUNTIFS(Dados!$E:$E,$B101,Dados!$C:$C,INDEX(S$3,1,1),Dados!$A:$A,INDEX($D:$E,MATCH("C",$D:$D,0),2)))</f>
        <v/>
      </c>
      <c r="T101" s="66" t="str">
        <f ca="1">IF(COUNTIFS(Dados!$E:$E,$B101,Dados!$C:$C,INDEX(T$3,1,1),Dados!$A:$A,INDEX($D:$E,MATCH("C",$D:$D,0),2))=0,"",SUMIFS(Dados!$G:$G,Dados!$E:$E,$B101,Dados!$C:$C,INDEX(T$3,1,1),Dados!$A:$A,INDEX($D:$E,MATCH("C",$D:$D,0),2))/COUNTIFS(Dados!$E:$E,$B101,Dados!$C:$C,INDEX(T$3,1,1),Dados!$A:$A,INDEX($D:$E,MATCH("C",$D:$D,0),2)))</f>
        <v/>
      </c>
      <c r="U101" s="66" t="str">
        <f ca="1">IF(COUNTIFS(Dados!$E:$E,$B101,Dados!$C:$C,INDEX(U$3,1,1),Dados!$A:$A,INDEX($D:$E,MATCH("C",$D:$D,0),2))=0,"",SUMIFS(Dados!$G:$G,Dados!$E:$E,$B101,Dados!$C:$C,INDEX(U$3,1,1),Dados!$A:$A,INDEX($D:$E,MATCH("C",$D:$D,0),2))/COUNTIFS(Dados!$E:$E,$B101,Dados!$C:$C,INDEX(U$3,1,1),Dados!$A:$A,INDEX($D:$E,MATCH("C",$D:$D,0),2)))</f>
        <v/>
      </c>
      <c r="V101" s="66" t="str">
        <f ca="1">IF(COUNTIFS(Dados!$E:$E,$B101,Dados!$C:$C,INDEX(V$3,1,1),Dados!$A:$A,INDEX($D:$E,MATCH("C",$D:$D,0),2))=0,"",SUMIFS(Dados!$G:$G,Dados!$E:$E,$B101,Dados!$C:$C,INDEX(V$3,1,1),Dados!$A:$A,INDEX($D:$E,MATCH("C",$D:$D,0),2))/COUNTIFS(Dados!$E:$E,$B101,Dados!$C:$C,INDEX(V$3,1,1),Dados!$A:$A,INDEX($D:$E,MATCH("C",$D:$D,0),2)))</f>
        <v/>
      </c>
    </row>
    <row r="102" spans="2:22" x14ac:dyDescent="0.25">
      <c r="B102" s="67" t="s">
        <v>33</v>
      </c>
      <c r="C102" s="71">
        <f>VLOOKUP(B102,B4:C22,2,0)</f>
        <v>15</v>
      </c>
      <c r="D102" s="68" t="str">
        <f ca="1">IF(COUNTIFS(Dados!$E:$E,$B102,Dados!$C:$C,INDEX(D$3,1,1),Dados!$A:$A,INDEX($D:$E,MATCH("C",$D:$D,0),2))=0,"",SUMIFS(Dados!$G:$G,Dados!$E:$E,$B102,Dados!$C:$C,INDEX(D$3,1,1),Dados!$A:$A,INDEX($D:$E,MATCH("C",$D:$D,0),2))/COUNTIFS(Dados!$E:$E,$B102,Dados!$C:$C,INDEX(D$3,1,1),Dados!$A:$A,INDEX($D:$E,MATCH("C",$D:$D,0),2)))</f>
        <v/>
      </c>
      <c r="E102" s="68" t="str">
        <f ca="1">IF(COUNTIFS(Dados!$E:$E,$B102,Dados!$C:$C,INDEX(E$3,1,1),Dados!$A:$A,INDEX($D:$E,MATCH("C",$D:$D,0),2))=0,"",SUMIFS(Dados!$G:$G,Dados!$E:$E,$B102,Dados!$C:$C,INDEX(E$3,1,1),Dados!$A:$A,INDEX($D:$E,MATCH("C",$D:$D,0),2))/COUNTIFS(Dados!$E:$E,$B102,Dados!$C:$C,INDEX(E$3,1,1),Dados!$A:$A,INDEX($D:$E,MATCH("C",$D:$D,0),2)))</f>
        <v/>
      </c>
      <c r="F102" s="68" t="str">
        <f ca="1">IF(COUNTIFS(Dados!$E:$E,$B102,Dados!$C:$C,INDEX(F$3,1,1),Dados!$A:$A,INDEX($D:$E,MATCH("C",$D:$D,0),2))=0,"",SUMIFS(Dados!$G:$G,Dados!$E:$E,$B102,Dados!$C:$C,INDEX(F$3,1,1),Dados!$A:$A,INDEX($D:$E,MATCH("C",$D:$D,0),2))/COUNTIFS(Dados!$E:$E,$B102,Dados!$C:$C,INDEX(F$3,1,1),Dados!$A:$A,INDEX($D:$E,MATCH("C",$D:$D,0),2)))</f>
        <v/>
      </c>
      <c r="G102" s="68" t="str">
        <f ca="1">IF(COUNTIFS(Dados!$E:$E,$B102,Dados!$C:$C,INDEX(G$3,1,1),Dados!$A:$A,INDEX($D:$E,MATCH("C",$D:$D,0),2))=0,"",SUMIFS(Dados!$G:$G,Dados!$E:$E,$B102,Dados!$C:$C,INDEX(G$3,1,1),Dados!$A:$A,INDEX($D:$E,MATCH("C",$D:$D,0),2))/COUNTIFS(Dados!$E:$E,$B102,Dados!$C:$C,INDEX(G$3,1,1),Dados!$A:$A,INDEX($D:$E,MATCH("C",$D:$D,0),2)))</f>
        <v/>
      </c>
      <c r="H102" s="68" t="str">
        <f ca="1">IF(COUNTIFS(Dados!$E:$E,$B102,Dados!$C:$C,INDEX(H$3,1,1),Dados!$A:$A,INDEX($D:$E,MATCH("C",$D:$D,0),2))=0,"",SUMIFS(Dados!$G:$G,Dados!$E:$E,$B102,Dados!$C:$C,INDEX(H$3,1,1),Dados!$A:$A,INDEX($D:$E,MATCH("C",$D:$D,0),2))/COUNTIFS(Dados!$E:$E,$B102,Dados!$C:$C,INDEX(H$3,1,1),Dados!$A:$A,INDEX($D:$E,MATCH("C",$D:$D,0),2)))</f>
        <v/>
      </c>
      <c r="I102" s="68" t="str">
        <f ca="1">IF(COUNTIFS(Dados!$E:$E,$B102,Dados!$C:$C,INDEX(I$3,1,1),Dados!$A:$A,INDEX($D:$E,MATCH("C",$D:$D,0),2))=0,"",SUMIFS(Dados!$G:$G,Dados!$E:$E,$B102,Dados!$C:$C,INDEX(I$3,1,1),Dados!$A:$A,INDEX($D:$E,MATCH("C",$D:$D,0),2))/COUNTIFS(Dados!$E:$E,$B102,Dados!$C:$C,INDEX(I$3,1,1),Dados!$A:$A,INDEX($D:$E,MATCH("C",$D:$D,0),2)))</f>
        <v/>
      </c>
      <c r="J102" s="68" t="str">
        <f ca="1">IF(COUNTIFS(Dados!$E:$E,$B102,Dados!$C:$C,INDEX(J$3,1,1),Dados!$A:$A,INDEX($D:$E,MATCH("C",$D:$D,0),2))=0,"",SUMIFS(Dados!$G:$G,Dados!$E:$E,$B102,Dados!$C:$C,INDEX(J$3,1,1),Dados!$A:$A,INDEX($D:$E,MATCH("C",$D:$D,0),2))/COUNTIFS(Dados!$E:$E,$B102,Dados!$C:$C,INDEX(J$3,1,1),Dados!$A:$A,INDEX($D:$E,MATCH("C",$D:$D,0),2)))</f>
        <v/>
      </c>
      <c r="K102" s="68" t="str">
        <f ca="1">IF(COUNTIFS(Dados!$E:$E,$B102,Dados!$C:$C,INDEX(K$3,1,1),Dados!$A:$A,INDEX($D:$E,MATCH("C",$D:$D,0),2))=0,"",SUMIFS(Dados!$G:$G,Dados!$E:$E,$B102,Dados!$C:$C,INDEX(K$3,1,1),Dados!$A:$A,INDEX($D:$E,MATCH("C",$D:$D,0),2))/COUNTIFS(Dados!$E:$E,$B102,Dados!$C:$C,INDEX(K$3,1,1),Dados!$A:$A,INDEX($D:$E,MATCH("C",$D:$D,0),2)))</f>
        <v/>
      </c>
      <c r="L102" s="68" t="str">
        <f ca="1">IF(COUNTIFS(Dados!$E:$E,$B102,Dados!$C:$C,INDEX(L$3,1,1),Dados!$A:$A,INDEX($D:$E,MATCH("C",$D:$D,0),2))=0,"",SUMIFS(Dados!$G:$G,Dados!$E:$E,$B102,Dados!$C:$C,INDEX(L$3,1,1),Dados!$A:$A,INDEX($D:$E,MATCH("C",$D:$D,0),2))/COUNTIFS(Dados!$E:$E,$B102,Dados!$C:$C,INDEX(L$3,1,1),Dados!$A:$A,INDEX($D:$E,MATCH("C",$D:$D,0),2)))</f>
        <v/>
      </c>
      <c r="M102" s="68" t="str">
        <f ca="1">IF(COUNTIFS(Dados!$E:$E,$B102,Dados!$C:$C,INDEX(M$3,1,1),Dados!$A:$A,INDEX($D:$E,MATCH("C",$D:$D,0),2))=0,"",SUMIFS(Dados!$G:$G,Dados!$E:$E,$B102,Dados!$C:$C,INDEX(M$3,1,1),Dados!$A:$A,INDEX($D:$E,MATCH("C",$D:$D,0),2))/COUNTIFS(Dados!$E:$E,$B102,Dados!$C:$C,INDEX(M$3,1,1),Dados!$A:$A,INDEX($D:$E,MATCH("C",$D:$D,0),2)))</f>
        <v/>
      </c>
      <c r="N102" s="68" t="str">
        <f ca="1">IF(COUNTIFS(Dados!$E:$E,$B102,Dados!$C:$C,INDEX(N$3,1,1),Dados!$A:$A,INDEX($D:$E,MATCH("C",$D:$D,0),2))=0,"",SUMIFS(Dados!$G:$G,Dados!$E:$E,$B102,Dados!$C:$C,INDEX(N$3,1,1),Dados!$A:$A,INDEX($D:$E,MATCH("C",$D:$D,0),2))/COUNTIFS(Dados!$E:$E,$B102,Dados!$C:$C,INDEX(N$3,1,1),Dados!$A:$A,INDEX($D:$E,MATCH("C",$D:$D,0),2)))</f>
        <v/>
      </c>
      <c r="O102" s="68" t="str">
        <f ca="1">IF(COUNTIFS(Dados!$E:$E,$B102,Dados!$C:$C,INDEX(O$3,1,1),Dados!$A:$A,INDEX($D:$E,MATCH("C",$D:$D,0),2))=0,"",SUMIFS(Dados!$G:$G,Dados!$E:$E,$B102,Dados!$C:$C,INDEX(O$3,1,1),Dados!$A:$A,INDEX($D:$E,MATCH("C",$D:$D,0),2))/COUNTIFS(Dados!$E:$E,$B102,Dados!$C:$C,INDEX(O$3,1,1),Dados!$A:$A,INDEX($D:$E,MATCH("C",$D:$D,0),2)))</f>
        <v/>
      </c>
      <c r="P102" s="68" t="str">
        <f ca="1">IF(COUNTIFS(Dados!$E:$E,$B102,Dados!$C:$C,INDEX(P$3,1,1),Dados!$A:$A,INDEX($D:$E,MATCH("C",$D:$D,0),2))=0,"",SUMIFS(Dados!$G:$G,Dados!$E:$E,$B102,Dados!$C:$C,INDEX(P$3,1,1),Dados!$A:$A,INDEX($D:$E,MATCH("C",$D:$D,0),2))/COUNTIFS(Dados!$E:$E,$B102,Dados!$C:$C,INDEX(P$3,1,1),Dados!$A:$A,INDEX($D:$E,MATCH("C",$D:$D,0),2)))</f>
        <v/>
      </c>
      <c r="Q102" s="68" t="str">
        <f ca="1">IF(COUNTIFS(Dados!$E:$E,$B102,Dados!$C:$C,INDEX(Q$3,1,1),Dados!$A:$A,INDEX($D:$E,MATCH("C",$D:$D,0),2))=0,"",SUMIFS(Dados!$G:$G,Dados!$E:$E,$B102,Dados!$C:$C,INDEX(Q$3,1,1),Dados!$A:$A,INDEX($D:$E,MATCH("C",$D:$D,0),2))/COUNTIFS(Dados!$E:$E,$B102,Dados!$C:$C,INDEX(Q$3,1,1),Dados!$A:$A,INDEX($D:$E,MATCH("C",$D:$D,0),2)))</f>
        <v/>
      </c>
      <c r="R102" s="68" t="str">
        <f ca="1">IF(COUNTIFS(Dados!$E:$E,$B102,Dados!$C:$C,INDEX(R$3,1,1),Dados!$A:$A,INDEX($D:$E,MATCH("C",$D:$D,0),2))=0,"",SUMIFS(Dados!$G:$G,Dados!$E:$E,$B102,Dados!$C:$C,INDEX(R$3,1,1),Dados!$A:$A,INDEX($D:$E,MATCH("C",$D:$D,0),2))/COUNTIFS(Dados!$E:$E,$B102,Dados!$C:$C,INDEX(R$3,1,1),Dados!$A:$A,INDEX($D:$E,MATCH("C",$D:$D,0),2)))</f>
        <v/>
      </c>
      <c r="S102" s="68" t="str">
        <f ca="1">IF(COUNTIFS(Dados!$E:$E,$B102,Dados!$C:$C,INDEX(S$3,1,1),Dados!$A:$A,INDEX($D:$E,MATCH("C",$D:$D,0),2))=0,"",SUMIFS(Dados!$G:$G,Dados!$E:$E,$B102,Dados!$C:$C,INDEX(S$3,1,1),Dados!$A:$A,INDEX($D:$E,MATCH("C",$D:$D,0),2))/COUNTIFS(Dados!$E:$E,$B102,Dados!$C:$C,INDEX(S$3,1,1),Dados!$A:$A,INDEX($D:$E,MATCH("C",$D:$D,0),2)))</f>
        <v/>
      </c>
      <c r="T102" s="68" t="str">
        <f ca="1">IF(COUNTIFS(Dados!$E:$E,$B102,Dados!$C:$C,INDEX(T$3,1,1),Dados!$A:$A,INDEX($D:$E,MATCH("C",$D:$D,0),2))=0,"",SUMIFS(Dados!$G:$G,Dados!$E:$E,$B102,Dados!$C:$C,INDEX(T$3,1,1),Dados!$A:$A,INDEX($D:$E,MATCH("C",$D:$D,0),2))/COUNTIFS(Dados!$E:$E,$B102,Dados!$C:$C,INDEX(T$3,1,1),Dados!$A:$A,INDEX($D:$E,MATCH("C",$D:$D,0),2)))</f>
        <v/>
      </c>
      <c r="U102" s="68" t="str">
        <f ca="1">IF(COUNTIFS(Dados!$E:$E,$B102,Dados!$C:$C,INDEX(U$3,1,1),Dados!$A:$A,INDEX($D:$E,MATCH("C",$D:$D,0),2))=0,"",SUMIFS(Dados!$G:$G,Dados!$E:$E,$B102,Dados!$C:$C,INDEX(U$3,1,1),Dados!$A:$A,INDEX($D:$E,MATCH("C",$D:$D,0),2))/COUNTIFS(Dados!$E:$E,$B102,Dados!$C:$C,INDEX(U$3,1,1),Dados!$A:$A,INDEX($D:$E,MATCH("C",$D:$D,0),2)))</f>
        <v/>
      </c>
      <c r="V102" s="68" t="str">
        <f ca="1">IF(COUNTIFS(Dados!$E:$E,$B102,Dados!$C:$C,INDEX(V$3,1,1),Dados!$A:$A,INDEX($D:$E,MATCH("C",$D:$D,0),2))=0,"",SUMIFS(Dados!$G:$G,Dados!$E:$E,$B102,Dados!$C:$C,INDEX(V$3,1,1),Dados!$A:$A,INDEX($D:$E,MATCH("C",$D:$D,0),2))/COUNTIFS(Dados!$E:$E,$B102,Dados!$C:$C,INDEX(V$3,1,1),Dados!$A:$A,INDEX($D:$E,MATCH("C",$D:$D,0),2)))</f>
        <v/>
      </c>
    </row>
    <row r="103" spans="2:22" x14ac:dyDescent="0.25">
      <c r="B103" s="65" t="s">
        <v>1299</v>
      </c>
      <c r="C103" s="72">
        <f>VLOOKUP(B103,B4:C22,2,0)</f>
        <v>16</v>
      </c>
      <c r="D103" s="66" t="str">
        <f ca="1">IF(COUNTIFS(Dados!$E:$E,$B103,Dados!$C:$C,INDEX(D$3,1,1),Dados!$A:$A,INDEX($D:$E,MATCH("C",$D:$D,0),2))=0,"",SUMIFS(Dados!$G:$G,Dados!$E:$E,$B103,Dados!$C:$C,INDEX(D$3,1,1),Dados!$A:$A,INDEX($D:$E,MATCH("C",$D:$D,0),2))/COUNTIFS(Dados!$E:$E,$B103,Dados!$C:$C,INDEX(D$3,1,1),Dados!$A:$A,INDEX($D:$E,MATCH("C",$D:$D,0),2)))</f>
        <v/>
      </c>
      <c r="E103" s="66" t="str">
        <f ca="1">IF(COUNTIFS(Dados!$E:$E,$B103,Dados!$C:$C,INDEX(E$3,1,1),Dados!$A:$A,INDEX($D:$E,MATCH("C",$D:$D,0),2))=0,"",SUMIFS(Dados!$G:$G,Dados!$E:$E,$B103,Dados!$C:$C,INDEX(E$3,1,1),Dados!$A:$A,INDEX($D:$E,MATCH("C",$D:$D,0),2))/COUNTIFS(Dados!$E:$E,$B103,Dados!$C:$C,INDEX(E$3,1,1),Dados!$A:$A,INDEX($D:$E,MATCH("C",$D:$D,0),2)))</f>
        <v/>
      </c>
      <c r="F103" s="66" t="str">
        <f ca="1">IF(COUNTIFS(Dados!$E:$E,$B103,Dados!$C:$C,INDEX(F$3,1,1),Dados!$A:$A,INDEX($D:$E,MATCH("C",$D:$D,0),2))=0,"",SUMIFS(Dados!$G:$G,Dados!$E:$E,$B103,Dados!$C:$C,INDEX(F$3,1,1),Dados!$A:$A,INDEX($D:$E,MATCH("C",$D:$D,0),2))/COUNTIFS(Dados!$E:$E,$B103,Dados!$C:$C,INDEX(F$3,1,1),Dados!$A:$A,INDEX($D:$E,MATCH("C",$D:$D,0),2)))</f>
        <v/>
      </c>
      <c r="G103" s="66" t="str">
        <f ca="1">IF(COUNTIFS(Dados!$E:$E,$B103,Dados!$C:$C,INDEX(G$3,1,1),Dados!$A:$A,INDEX($D:$E,MATCH("C",$D:$D,0),2))=0,"",SUMIFS(Dados!$G:$G,Dados!$E:$E,$B103,Dados!$C:$C,INDEX(G$3,1,1),Dados!$A:$A,INDEX($D:$E,MATCH("C",$D:$D,0),2))/COUNTIFS(Dados!$E:$E,$B103,Dados!$C:$C,INDEX(G$3,1,1),Dados!$A:$A,INDEX($D:$E,MATCH("C",$D:$D,0),2)))</f>
        <v/>
      </c>
      <c r="H103" s="66" t="str">
        <f ca="1">IF(COUNTIFS(Dados!$E:$E,$B103,Dados!$C:$C,INDEX(H$3,1,1),Dados!$A:$A,INDEX($D:$E,MATCH("C",$D:$D,0),2))=0,"",SUMIFS(Dados!$G:$G,Dados!$E:$E,$B103,Dados!$C:$C,INDEX(H$3,1,1),Dados!$A:$A,INDEX($D:$E,MATCH("C",$D:$D,0),2))/COUNTIFS(Dados!$E:$E,$B103,Dados!$C:$C,INDEX(H$3,1,1),Dados!$A:$A,INDEX($D:$E,MATCH("C",$D:$D,0),2)))</f>
        <v/>
      </c>
      <c r="I103" s="66" t="str">
        <f ca="1">IF(COUNTIFS(Dados!$E:$E,$B103,Dados!$C:$C,INDEX(I$3,1,1),Dados!$A:$A,INDEX($D:$E,MATCH("C",$D:$D,0),2))=0,"",SUMIFS(Dados!$G:$G,Dados!$E:$E,$B103,Dados!$C:$C,INDEX(I$3,1,1),Dados!$A:$A,INDEX($D:$E,MATCH("C",$D:$D,0),2))/COUNTIFS(Dados!$E:$E,$B103,Dados!$C:$C,INDEX(I$3,1,1),Dados!$A:$A,INDEX($D:$E,MATCH("C",$D:$D,0),2)))</f>
        <v/>
      </c>
      <c r="J103" s="66" t="str">
        <f ca="1">IF(COUNTIFS(Dados!$E:$E,$B103,Dados!$C:$C,INDEX(J$3,1,1),Dados!$A:$A,INDEX($D:$E,MATCH("C",$D:$D,0),2))=0,"",SUMIFS(Dados!$G:$G,Dados!$E:$E,$B103,Dados!$C:$C,INDEX(J$3,1,1),Dados!$A:$A,INDEX($D:$E,MATCH("C",$D:$D,0),2))/COUNTIFS(Dados!$E:$E,$B103,Dados!$C:$C,INDEX(J$3,1,1),Dados!$A:$A,INDEX($D:$E,MATCH("C",$D:$D,0),2)))</f>
        <v/>
      </c>
      <c r="K103" s="66" t="str">
        <f ca="1">IF(COUNTIFS(Dados!$E:$E,$B103,Dados!$C:$C,INDEX(K$3,1,1),Dados!$A:$A,INDEX($D:$E,MATCH("C",$D:$D,0),2))=0,"",SUMIFS(Dados!$G:$G,Dados!$E:$E,$B103,Dados!$C:$C,INDEX(K$3,1,1),Dados!$A:$A,INDEX($D:$E,MATCH("C",$D:$D,0),2))/COUNTIFS(Dados!$E:$E,$B103,Dados!$C:$C,INDEX(K$3,1,1),Dados!$A:$A,INDEX($D:$E,MATCH("C",$D:$D,0),2)))</f>
        <v/>
      </c>
      <c r="L103" s="66" t="str">
        <f ca="1">IF(COUNTIFS(Dados!$E:$E,$B103,Dados!$C:$C,INDEX(L$3,1,1),Dados!$A:$A,INDEX($D:$E,MATCH("C",$D:$D,0),2))=0,"",SUMIFS(Dados!$G:$G,Dados!$E:$E,$B103,Dados!$C:$C,INDEX(L$3,1,1),Dados!$A:$A,INDEX($D:$E,MATCH("C",$D:$D,0),2))/COUNTIFS(Dados!$E:$E,$B103,Dados!$C:$C,INDEX(L$3,1,1),Dados!$A:$A,INDEX($D:$E,MATCH("C",$D:$D,0),2)))</f>
        <v/>
      </c>
      <c r="M103" s="66" t="str">
        <f ca="1">IF(COUNTIFS(Dados!$E:$E,$B103,Dados!$C:$C,INDEX(M$3,1,1),Dados!$A:$A,INDEX($D:$E,MATCH("C",$D:$D,0),2))=0,"",SUMIFS(Dados!$G:$G,Dados!$E:$E,$B103,Dados!$C:$C,INDEX(M$3,1,1),Dados!$A:$A,INDEX($D:$E,MATCH("C",$D:$D,0),2))/COUNTIFS(Dados!$E:$E,$B103,Dados!$C:$C,INDEX(M$3,1,1),Dados!$A:$A,INDEX($D:$E,MATCH("C",$D:$D,0),2)))</f>
        <v/>
      </c>
      <c r="N103" s="66" t="str">
        <f ca="1">IF(COUNTIFS(Dados!$E:$E,$B103,Dados!$C:$C,INDEX(N$3,1,1),Dados!$A:$A,INDEX($D:$E,MATCH("C",$D:$D,0),2))=0,"",SUMIFS(Dados!$G:$G,Dados!$E:$E,$B103,Dados!$C:$C,INDEX(N$3,1,1),Dados!$A:$A,INDEX($D:$E,MATCH("C",$D:$D,0),2))/COUNTIFS(Dados!$E:$E,$B103,Dados!$C:$C,INDEX(N$3,1,1),Dados!$A:$A,INDEX($D:$E,MATCH("C",$D:$D,0),2)))</f>
        <v/>
      </c>
      <c r="O103" s="66" t="str">
        <f ca="1">IF(COUNTIFS(Dados!$E:$E,$B103,Dados!$C:$C,INDEX(O$3,1,1),Dados!$A:$A,INDEX($D:$E,MATCH("C",$D:$D,0),2))=0,"",SUMIFS(Dados!$G:$G,Dados!$E:$E,$B103,Dados!$C:$C,INDEX(O$3,1,1),Dados!$A:$A,INDEX($D:$E,MATCH("C",$D:$D,0),2))/COUNTIFS(Dados!$E:$E,$B103,Dados!$C:$C,INDEX(O$3,1,1),Dados!$A:$A,INDEX($D:$E,MATCH("C",$D:$D,0),2)))</f>
        <v/>
      </c>
      <c r="P103" s="66" t="str">
        <f ca="1">IF(COUNTIFS(Dados!$E:$E,$B103,Dados!$C:$C,INDEX(P$3,1,1),Dados!$A:$A,INDEX($D:$E,MATCH("C",$D:$D,0),2))=0,"",SUMIFS(Dados!$G:$G,Dados!$E:$E,$B103,Dados!$C:$C,INDEX(P$3,1,1),Dados!$A:$A,INDEX($D:$E,MATCH("C",$D:$D,0),2))/COUNTIFS(Dados!$E:$E,$B103,Dados!$C:$C,INDEX(P$3,1,1),Dados!$A:$A,INDEX($D:$E,MATCH("C",$D:$D,0),2)))</f>
        <v/>
      </c>
      <c r="Q103" s="66" t="str">
        <f ca="1">IF(COUNTIFS(Dados!$E:$E,$B103,Dados!$C:$C,INDEX(Q$3,1,1),Dados!$A:$A,INDEX($D:$E,MATCH("C",$D:$D,0),2))=0,"",SUMIFS(Dados!$G:$G,Dados!$E:$E,$B103,Dados!$C:$C,INDEX(Q$3,1,1),Dados!$A:$A,INDEX($D:$E,MATCH("C",$D:$D,0),2))/COUNTIFS(Dados!$E:$E,$B103,Dados!$C:$C,INDEX(Q$3,1,1),Dados!$A:$A,INDEX($D:$E,MATCH("C",$D:$D,0),2)))</f>
        <v/>
      </c>
      <c r="R103" s="66" t="str">
        <f ca="1">IF(COUNTIFS(Dados!$E:$E,$B103,Dados!$C:$C,INDEX(R$3,1,1),Dados!$A:$A,INDEX($D:$E,MATCH("C",$D:$D,0),2))=0,"",SUMIFS(Dados!$G:$G,Dados!$E:$E,$B103,Dados!$C:$C,INDEX(R$3,1,1),Dados!$A:$A,INDEX($D:$E,MATCH("C",$D:$D,0),2))/COUNTIFS(Dados!$E:$E,$B103,Dados!$C:$C,INDEX(R$3,1,1),Dados!$A:$A,INDEX($D:$E,MATCH("C",$D:$D,0),2)))</f>
        <v/>
      </c>
      <c r="S103" s="66" t="str">
        <f ca="1">IF(COUNTIFS(Dados!$E:$E,$B103,Dados!$C:$C,INDEX(S$3,1,1),Dados!$A:$A,INDEX($D:$E,MATCH("C",$D:$D,0),2))=0,"",SUMIFS(Dados!$G:$G,Dados!$E:$E,$B103,Dados!$C:$C,INDEX(S$3,1,1),Dados!$A:$A,INDEX($D:$E,MATCH("C",$D:$D,0),2))/COUNTIFS(Dados!$E:$E,$B103,Dados!$C:$C,INDEX(S$3,1,1),Dados!$A:$A,INDEX($D:$E,MATCH("C",$D:$D,0),2)))</f>
        <v/>
      </c>
      <c r="T103" s="66" t="str">
        <f ca="1">IF(COUNTIFS(Dados!$E:$E,$B103,Dados!$C:$C,INDEX(T$3,1,1),Dados!$A:$A,INDEX($D:$E,MATCH("C",$D:$D,0),2))=0,"",SUMIFS(Dados!$G:$G,Dados!$E:$E,$B103,Dados!$C:$C,INDEX(T$3,1,1),Dados!$A:$A,INDEX($D:$E,MATCH("C",$D:$D,0),2))/COUNTIFS(Dados!$E:$E,$B103,Dados!$C:$C,INDEX(T$3,1,1),Dados!$A:$A,INDEX($D:$E,MATCH("C",$D:$D,0),2)))</f>
        <v/>
      </c>
      <c r="U103" s="66" t="str">
        <f ca="1">IF(COUNTIFS(Dados!$E:$E,$B103,Dados!$C:$C,INDEX(U$3,1,1),Dados!$A:$A,INDEX($D:$E,MATCH("C",$D:$D,0),2))=0,"",SUMIFS(Dados!$G:$G,Dados!$E:$E,$B103,Dados!$C:$C,INDEX(U$3,1,1),Dados!$A:$A,INDEX($D:$E,MATCH("C",$D:$D,0),2))/COUNTIFS(Dados!$E:$E,$B103,Dados!$C:$C,INDEX(U$3,1,1),Dados!$A:$A,INDEX($D:$E,MATCH("C",$D:$D,0),2)))</f>
        <v/>
      </c>
      <c r="V103" s="66" t="str">
        <f ca="1">IF(COUNTIFS(Dados!$E:$E,$B103,Dados!$C:$C,INDEX(V$3,1,1),Dados!$A:$A,INDEX($D:$E,MATCH("C",$D:$D,0),2))=0,"",SUMIFS(Dados!$G:$G,Dados!$E:$E,$B103,Dados!$C:$C,INDEX(V$3,1,1),Dados!$A:$A,INDEX($D:$E,MATCH("C",$D:$D,0),2))/COUNTIFS(Dados!$E:$E,$B103,Dados!$C:$C,INDEX(V$3,1,1),Dados!$A:$A,INDEX($D:$E,MATCH("C",$D:$D,0),2)))</f>
        <v/>
      </c>
    </row>
    <row r="104" spans="2:22" x14ac:dyDescent="0.25">
      <c r="B104" s="67" t="s">
        <v>374</v>
      </c>
      <c r="C104" s="71">
        <f>VLOOKUP(B104,B4:C22,2,0)</f>
        <v>17</v>
      </c>
      <c r="D104" s="68" t="str">
        <f ca="1">IF(COUNTIFS(Dados!$E:$E,$B104,Dados!$C:$C,INDEX(D$3,1,1),Dados!$A:$A,INDEX($D:$E,MATCH("C",$D:$D,0),2))=0,"",SUMIFS(Dados!$G:$G,Dados!$E:$E,$B104,Dados!$C:$C,INDEX(D$3,1,1),Dados!$A:$A,INDEX($D:$E,MATCH("C",$D:$D,0),2))/COUNTIFS(Dados!$E:$E,$B104,Dados!$C:$C,INDEX(D$3,1,1),Dados!$A:$A,INDEX($D:$E,MATCH("C",$D:$D,0),2)))</f>
        <v/>
      </c>
      <c r="E104" s="68" t="str">
        <f ca="1">IF(COUNTIFS(Dados!$E:$E,$B104,Dados!$C:$C,INDEX(E$3,1,1),Dados!$A:$A,INDEX($D:$E,MATCH("C",$D:$D,0),2))=0,"",SUMIFS(Dados!$G:$G,Dados!$E:$E,$B104,Dados!$C:$C,INDEX(E$3,1,1),Dados!$A:$A,INDEX($D:$E,MATCH("C",$D:$D,0),2))/COUNTIFS(Dados!$E:$E,$B104,Dados!$C:$C,INDEX(E$3,1,1),Dados!$A:$A,INDEX($D:$E,MATCH("C",$D:$D,0),2)))</f>
        <v/>
      </c>
      <c r="F104" s="68" t="str">
        <f ca="1">IF(COUNTIFS(Dados!$E:$E,$B104,Dados!$C:$C,INDEX(F$3,1,1),Dados!$A:$A,INDEX($D:$E,MATCH("C",$D:$D,0),2))=0,"",SUMIFS(Dados!$G:$G,Dados!$E:$E,$B104,Dados!$C:$C,INDEX(F$3,1,1),Dados!$A:$A,INDEX($D:$E,MATCH("C",$D:$D,0),2))/COUNTIFS(Dados!$E:$E,$B104,Dados!$C:$C,INDEX(F$3,1,1),Dados!$A:$A,INDEX($D:$E,MATCH("C",$D:$D,0),2)))</f>
        <v/>
      </c>
      <c r="G104" s="68" t="str">
        <f ca="1">IF(COUNTIFS(Dados!$E:$E,$B104,Dados!$C:$C,INDEX(G$3,1,1),Dados!$A:$A,INDEX($D:$E,MATCH("C",$D:$D,0),2))=0,"",SUMIFS(Dados!$G:$G,Dados!$E:$E,$B104,Dados!$C:$C,INDEX(G$3,1,1),Dados!$A:$A,INDEX($D:$E,MATCH("C",$D:$D,0),2))/COUNTIFS(Dados!$E:$E,$B104,Dados!$C:$C,INDEX(G$3,1,1),Dados!$A:$A,INDEX($D:$E,MATCH("C",$D:$D,0),2)))</f>
        <v/>
      </c>
      <c r="H104" s="68" t="str">
        <f ca="1">IF(COUNTIFS(Dados!$E:$E,$B104,Dados!$C:$C,INDEX(H$3,1,1),Dados!$A:$A,INDEX($D:$E,MATCH("C",$D:$D,0),2))=0,"",SUMIFS(Dados!$G:$G,Dados!$E:$E,$B104,Dados!$C:$C,INDEX(H$3,1,1),Dados!$A:$A,INDEX($D:$E,MATCH("C",$D:$D,0),2))/COUNTIFS(Dados!$E:$E,$B104,Dados!$C:$C,INDEX(H$3,1,1),Dados!$A:$A,INDEX($D:$E,MATCH("C",$D:$D,0),2)))</f>
        <v/>
      </c>
      <c r="I104" s="68" t="str">
        <f ca="1">IF(COUNTIFS(Dados!$E:$E,$B104,Dados!$C:$C,INDEX(I$3,1,1),Dados!$A:$A,INDEX($D:$E,MATCH("C",$D:$D,0),2))=0,"",SUMIFS(Dados!$G:$G,Dados!$E:$E,$B104,Dados!$C:$C,INDEX(I$3,1,1),Dados!$A:$A,INDEX($D:$E,MATCH("C",$D:$D,0),2))/COUNTIFS(Dados!$E:$E,$B104,Dados!$C:$C,INDEX(I$3,1,1),Dados!$A:$A,INDEX($D:$E,MATCH("C",$D:$D,0),2)))</f>
        <v/>
      </c>
      <c r="J104" s="68" t="str">
        <f ca="1">IF(COUNTIFS(Dados!$E:$E,$B104,Dados!$C:$C,INDEX(J$3,1,1),Dados!$A:$A,INDEX($D:$E,MATCH("C",$D:$D,0),2))=0,"",SUMIFS(Dados!$G:$G,Dados!$E:$E,$B104,Dados!$C:$C,INDEX(J$3,1,1),Dados!$A:$A,INDEX($D:$E,MATCH("C",$D:$D,0),2))/COUNTIFS(Dados!$E:$E,$B104,Dados!$C:$C,INDEX(J$3,1,1),Dados!$A:$A,INDEX($D:$E,MATCH("C",$D:$D,0),2)))</f>
        <v/>
      </c>
      <c r="K104" s="68" t="str">
        <f ca="1">IF(COUNTIFS(Dados!$E:$E,$B104,Dados!$C:$C,INDEX(K$3,1,1),Dados!$A:$A,INDEX($D:$E,MATCH("C",$D:$D,0),2))=0,"",SUMIFS(Dados!$G:$G,Dados!$E:$E,$B104,Dados!$C:$C,INDEX(K$3,1,1),Dados!$A:$A,INDEX($D:$E,MATCH("C",$D:$D,0),2))/COUNTIFS(Dados!$E:$E,$B104,Dados!$C:$C,INDEX(K$3,1,1),Dados!$A:$A,INDEX($D:$E,MATCH("C",$D:$D,0),2)))</f>
        <v/>
      </c>
      <c r="L104" s="68" t="str">
        <f ca="1">IF(COUNTIFS(Dados!$E:$E,$B104,Dados!$C:$C,INDEX(L$3,1,1),Dados!$A:$A,INDEX($D:$E,MATCH("C",$D:$D,0),2))=0,"",SUMIFS(Dados!$G:$G,Dados!$E:$E,$B104,Dados!$C:$C,INDEX(L$3,1,1),Dados!$A:$A,INDEX($D:$E,MATCH("C",$D:$D,0),2))/COUNTIFS(Dados!$E:$E,$B104,Dados!$C:$C,INDEX(L$3,1,1),Dados!$A:$A,INDEX($D:$E,MATCH("C",$D:$D,0),2)))</f>
        <v/>
      </c>
      <c r="M104" s="68" t="str">
        <f ca="1">IF(COUNTIFS(Dados!$E:$E,$B104,Dados!$C:$C,INDEX(M$3,1,1),Dados!$A:$A,INDEX($D:$E,MATCH("C",$D:$D,0),2))=0,"",SUMIFS(Dados!$G:$G,Dados!$E:$E,$B104,Dados!$C:$C,INDEX(M$3,1,1),Dados!$A:$A,INDEX($D:$E,MATCH("C",$D:$D,0),2))/COUNTIFS(Dados!$E:$E,$B104,Dados!$C:$C,INDEX(M$3,1,1),Dados!$A:$A,INDEX($D:$E,MATCH("C",$D:$D,0),2)))</f>
        <v/>
      </c>
      <c r="N104" s="68" t="str">
        <f ca="1">IF(COUNTIFS(Dados!$E:$E,$B104,Dados!$C:$C,INDEX(N$3,1,1),Dados!$A:$A,INDEX($D:$E,MATCH("C",$D:$D,0),2))=0,"",SUMIFS(Dados!$G:$G,Dados!$E:$E,$B104,Dados!$C:$C,INDEX(N$3,1,1),Dados!$A:$A,INDEX($D:$E,MATCH("C",$D:$D,0),2))/COUNTIFS(Dados!$E:$E,$B104,Dados!$C:$C,INDEX(N$3,1,1),Dados!$A:$A,INDEX($D:$E,MATCH("C",$D:$D,0),2)))</f>
        <v/>
      </c>
      <c r="O104" s="68" t="str">
        <f ca="1">IF(COUNTIFS(Dados!$E:$E,$B104,Dados!$C:$C,INDEX(O$3,1,1),Dados!$A:$A,INDEX($D:$E,MATCH("C",$D:$D,0),2))=0,"",SUMIFS(Dados!$G:$G,Dados!$E:$E,$B104,Dados!$C:$C,INDEX(O$3,1,1),Dados!$A:$A,INDEX($D:$E,MATCH("C",$D:$D,0),2))/COUNTIFS(Dados!$E:$E,$B104,Dados!$C:$C,INDEX(O$3,1,1),Dados!$A:$A,INDEX($D:$E,MATCH("C",$D:$D,0),2)))</f>
        <v/>
      </c>
      <c r="P104" s="68" t="str">
        <f ca="1">IF(COUNTIFS(Dados!$E:$E,$B104,Dados!$C:$C,INDEX(P$3,1,1),Dados!$A:$A,INDEX($D:$E,MATCH("C",$D:$D,0),2))=0,"",SUMIFS(Dados!$G:$G,Dados!$E:$E,$B104,Dados!$C:$C,INDEX(P$3,1,1),Dados!$A:$A,INDEX($D:$E,MATCH("C",$D:$D,0),2))/COUNTIFS(Dados!$E:$E,$B104,Dados!$C:$C,INDEX(P$3,1,1),Dados!$A:$A,INDEX($D:$E,MATCH("C",$D:$D,0),2)))</f>
        <v/>
      </c>
      <c r="Q104" s="68" t="str">
        <f ca="1">IF(COUNTIFS(Dados!$E:$E,$B104,Dados!$C:$C,INDEX(Q$3,1,1),Dados!$A:$A,INDEX($D:$E,MATCH("C",$D:$D,0),2))=0,"",SUMIFS(Dados!$G:$G,Dados!$E:$E,$B104,Dados!$C:$C,INDEX(Q$3,1,1),Dados!$A:$A,INDEX($D:$E,MATCH("C",$D:$D,0),2))/COUNTIFS(Dados!$E:$E,$B104,Dados!$C:$C,INDEX(Q$3,1,1),Dados!$A:$A,INDEX($D:$E,MATCH("C",$D:$D,0),2)))</f>
        <v/>
      </c>
      <c r="R104" s="68" t="str">
        <f ca="1">IF(COUNTIFS(Dados!$E:$E,$B104,Dados!$C:$C,INDEX(R$3,1,1),Dados!$A:$A,INDEX($D:$E,MATCH("C",$D:$D,0),2))=0,"",SUMIFS(Dados!$G:$G,Dados!$E:$E,$B104,Dados!$C:$C,INDEX(R$3,1,1),Dados!$A:$A,INDEX($D:$E,MATCH("C",$D:$D,0),2))/COUNTIFS(Dados!$E:$E,$B104,Dados!$C:$C,INDEX(R$3,1,1),Dados!$A:$A,INDEX($D:$E,MATCH("C",$D:$D,0),2)))</f>
        <v/>
      </c>
      <c r="S104" s="68" t="str">
        <f ca="1">IF(COUNTIFS(Dados!$E:$E,$B104,Dados!$C:$C,INDEX(S$3,1,1),Dados!$A:$A,INDEX($D:$E,MATCH("C",$D:$D,0),2))=0,"",SUMIFS(Dados!$G:$G,Dados!$E:$E,$B104,Dados!$C:$C,INDEX(S$3,1,1),Dados!$A:$A,INDEX($D:$E,MATCH("C",$D:$D,0),2))/COUNTIFS(Dados!$E:$E,$B104,Dados!$C:$C,INDEX(S$3,1,1),Dados!$A:$A,INDEX($D:$E,MATCH("C",$D:$D,0),2)))</f>
        <v/>
      </c>
      <c r="T104" s="68" t="str">
        <f ca="1">IF(COUNTIFS(Dados!$E:$E,$B104,Dados!$C:$C,INDEX(T$3,1,1),Dados!$A:$A,INDEX($D:$E,MATCH("C",$D:$D,0),2))=0,"",SUMIFS(Dados!$G:$G,Dados!$E:$E,$B104,Dados!$C:$C,INDEX(T$3,1,1),Dados!$A:$A,INDEX($D:$E,MATCH("C",$D:$D,0),2))/COUNTIFS(Dados!$E:$E,$B104,Dados!$C:$C,INDEX(T$3,1,1),Dados!$A:$A,INDEX($D:$E,MATCH("C",$D:$D,0),2)))</f>
        <v/>
      </c>
      <c r="U104" s="68" t="str">
        <f ca="1">IF(COUNTIFS(Dados!$E:$E,$B104,Dados!$C:$C,INDEX(U$3,1,1),Dados!$A:$A,INDEX($D:$E,MATCH("C",$D:$D,0),2))=0,"",SUMIFS(Dados!$G:$G,Dados!$E:$E,$B104,Dados!$C:$C,INDEX(U$3,1,1),Dados!$A:$A,INDEX($D:$E,MATCH("C",$D:$D,0),2))/COUNTIFS(Dados!$E:$E,$B104,Dados!$C:$C,INDEX(U$3,1,1),Dados!$A:$A,INDEX($D:$E,MATCH("C",$D:$D,0),2)))</f>
        <v/>
      </c>
      <c r="V104" s="68" t="str">
        <f ca="1">IF(COUNTIFS(Dados!$E:$E,$B104,Dados!$C:$C,INDEX(V$3,1,1),Dados!$A:$A,INDEX($D:$E,MATCH("C",$D:$D,0),2))=0,"",SUMIFS(Dados!$G:$G,Dados!$E:$E,$B104,Dados!$C:$C,INDEX(V$3,1,1),Dados!$A:$A,INDEX($D:$E,MATCH("C",$D:$D,0),2))/COUNTIFS(Dados!$E:$E,$B104,Dados!$C:$C,INDEX(V$3,1,1),Dados!$A:$A,INDEX($D:$E,MATCH("C",$D:$D,0),2)))</f>
        <v/>
      </c>
    </row>
    <row r="105" spans="2:22" x14ac:dyDescent="0.25">
      <c r="B105" s="65" t="s">
        <v>375</v>
      </c>
      <c r="C105" s="72">
        <f>VLOOKUP(B105,B4:C22,2,0)</f>
        <v>18</v>
      </c>
      <c r="D105" s="66" t="str">
        <f ca="1">IF(COUNTIFS(Dados!$E:$E,$B105,Dados!$C:$C,INDEX(D$3,1,1),Dados!$A:$A,INDEX($D:$E,MATCH("C",$D:$D,0),2))=0,"",SUMIFS(Dados!$G:$G,Dados!$E:$E,$B105,Dados!$C:$C,INDEX(D$3,1,1),Dados!$A:$A,INDEX($D:$E,MATCH("C",$D:$D,0),2))/COUNTIFS(Dados!$E:$E,$B105,Dados!$C:$C,INDEX(D$3,1,1),Dados!$A:$A,INDEX($D:$E,MATCH("C",$D:$D,0),2)))</f>
        <v/>
      </c>
      <c r="E105" s="66" t="str">
        <f ca="1">IF(COUNTIFS(Dados!$E:$E,$B105,Dados!$C:$C,INDEX(E$3,1,1),Dados!$A:$A,INDEX($D:$E,MATCH("C",$D:$D,0),2))=0,"",SUMIFS(Dados!$G:$G,Dados!$E:$E,$B105,Dados!$C:$C,INDEX(E$3,1,1),Dados!$A:$A,INDEX($D:$E,MATCH("C",$D:$D,0),2))/COUNTIFS(Dados!$E:$E,$B105,Dados!$C:$C,INDEX(E$3,1,1),Dados!$A:$A,INDEX($D:$E,MATCH("C",$D:$D,0),2)))</f>
        <v/>
      </c>
      <c r="F105" s="66" t="str">
        <f ca="1">IF(COUNTIFS(Dados!$E:$E,$B105,Dados!$C:$C,INDEX(F$3,1,1),Dados!$A:$A,INDEX($D:$E,MATCH("C",$D:$D,0),2))=0,"",SUMIFS(Dados!$G:$G,Dados!$E:$E,$B105,Dados!$C:$C,INDEX(F$3,1,1),Dados!$A:$A,INDEX($D:$E,MATCH("C",$D:$D,0),2))/COUNTIFS(Dados!$E:$E,$B105,Dados!$C:$C,INDEX(F$3,1,1),Dados!$A:$A,INDEX($D:$E,MATCH("C",$D:$D,0),2)))</f>
        <v/>
      </c>
      <c r="G105" s="66" t="str">
        <f ca="1">IF(COUNTIFS(Dados!$E:$E,$B105,Dados!$C:$C,INDEX(G$3,1,1),Dados!$A:$A,INDEX($D:$E,MATCH("C",$D:$D,0),2))=0,"",SUMIFS(Dados!$G:$G,Dados!$E:$E,$B105,Dados!$C:$C,INDEX(G$3,1,1),Dados!$A:$A,INDEX($D:$E,MATCH("C",$D:$D,0),2))/COUNTIFS(Dados!$E:$E,$B105,Dados!$C:$C,INDEX(G$3,1,1),Dados!$A:$A,INDEX($D:$E,MATCH("C",$D:$D,0),2)))</f>
        <v/>
      </c>
      <c r="H105" s="66" t="str">
        <f ca="1">IF(COUNTIFS(Dados!$E:$E,$B105,Dados!$C:$C,INDEX(H$3,1,1),Dados!$A:$A,INDEX($D:$E,MATCH("C",$D:$D,0),2))=0,"",SUMIFS(Dados!$G:$G,Dados!$E:$E,$B105,Dados!$C:$C,INDEX(H$3,1,1),Dados!$A:$A,INDEX($D:$E,MATCH("C",$D:$D,0),2))/COUNTIFS(Dados!$E:$E,$B105,Dados!$C:$C,INDEX(H$3,1,1),Dados!$A:$A,INDEX($D:$E,MATCH("C",$D:$D,0),2)))</f>
        <v/>
      </c>
      <c r="I105" s="66" t="str">
        <f ca="1">IF(COUNTIFS(Dados!$E:$E,$B105,Dados!$C:$C,INDEX(I$3,1,1),Dados!$A:$A,INDEX($D:$E,MATCH("C",$D:$D,0),2))=0,"",SUMIFS(Dados!$G:$G,Dados!$E:$E,$B105,Dados!$C:$C,INDEX(I$3,1,1),Dados!$A:$A,INDEX($D:$E,MATCH("C",$D:$D,0),2))/COUNTIFS(Dados!$E:$E,$B105,Dados!$C:$C,INDEX(I$3,1,1),Dados!$A:$A,INDEX($D:$E,MATCH("C",$D:$D,0),2)))</f>
        <v/>
      </c>
      <c r="J105" s="66" t="str">
        <f ca="1">IF(COUNTIFS(Dados!$E:$E,$B105,Dados!$C:$C,INDEX(J$3,1,1),Dados!$A:$A,INDEX($D:$E,MATCH("C",$D:$D,0),2))=0,"",SUMIFS(Dados!$G:$G,Dados!$E:$E,$B105,Dados!$C:$C,INDEX(J$3,1,1),Dados!$A:$A,INDEX($D:$E,MATCH("C",$D:$D,0),2))/COUNTIFS(Dados!$E:$E,$B105,Dados!$C:$C,INDEX(J$3,1,1),Dados!$A:$A,INDEX($D:$E,MATCH("C",$D:$D,0),2)))</f>
        <v/>
      </c>
      <c r="K105" s="66" t="str">
        <f ca="1">IF(COUNTIFS(Dados!$E:$E,$B105,Dados!$C:$C,INDEX(K$3,1,1),Dados!$A:$A,INDEX($D:$E,MATCH("C",$D:$D,0),2))=0,"",SUMIFS(Dados!$G:$G,Dados!$E:$E,$B105,Dados!$C:$C,INDEX(K$3,1,1),Dados!$A:$A,INDEX($D:$E,MATCH("C",$D:$D,0),2))/COUNTIFS(Dados!$E:$E,$B105,Dados!$C:$C,INDEX(K$3,1,1),Dados!$A:$A,INDEX($D:$E,MATCH("C",$D:$D,0),2)))</f>
        <v/>
      </c>
      <c r="L105" s="66" t="str">
        <f ca="1">IF(COUNTIFS(Dados!$E:$E,$B105,Dados!$C:$C,INDEX(L$3,1,1),Dados!$A:$A,INDEX($D:$E,MATCH("C",$D:$D,0),2))=0,"",SUMIFS(Dados!$G:$G,Dados!$E:$E,$B105,Dados!$C:$C,INDEX(L$3,1,1),Dados!$A:$A,INDEX($D:$E,MATCH("C",$D:$D,0),2))/COUNTIFS(Dados!$E:$E,$B105,Dados!$C:$C,INDEX(L$3,1,1),Dados!$A:$A,INDEX($D:$E,MATCH("C",$D:$D,0),2)))</f>
        <v/>
      </c>
      <c r="M105" s="66" t="str">
        <f ca="1">IF(COUNTIFS(Dados!$E:$E,$B105,Dados!$C:$C,INDEX(M$3,1,1),Dados!$A:$A,INDEX($D:$E,MATCH("C",$D:$D,0),2))=0,"",SUMIFS(Dados!$G:$G,Dados!$E:$E,$B105,Dados!$C:$C,INDEX(M$3,1,1),Dados!$A:$A,INDEX($D:$E,MATCH("C",$D:$D,0),2))/COUNTIFS(Dados!$E:$E,$B105,Dados!$C:$C,INDEX(M$3,1,1),Dados!$A:$A,INDEX($D:$E,MATCH("C",$D:$D,0),2)))</f>
        <v/>
      </c>
      <c r="N105" s="66" t="str">
        <f ca="1">IF(COUNTIFS(Dados!$E:$E,$B105,Dados!$C:$C,INDEX(N$3,1,1),Dados!$A:$A,INDEX($D:$E,MATCH("C",$D:$D,0),2))=0,"",SUMIFS(Dados!$G:$G,Dados!$E:$E,$B105,Dados!$C:$C,INDEX(N$3,1,1),Dados!$A:$A,INDEX($D:$E,MATCH("C",$D:$D,0),2))/COUNTIFS(Dados!$E:$E,$B105,Dados!$C:$C,INDEX(N$3,1,1),Dados!$A:$A,INDEX($D:$E,MATCH("C",$D:$D,0),2)))</f>
        <v/>
      </c>
      <c r="O105" s="66" t="str">
        <f ca="1">IF(COUNTIFS(Dados!$E:$E,$B105,Dados!$C:$C,INDEX(O$3,1,1),Dados!$A:$A,INDEX($D:$E,MATCH("C",$D:$D,0),2))=0,"",SUMIFS(Dados!$G:$G,Dados!$E:$E,$B105,Dados!$C:$C,INDEX(O$3,1,1),Dados!$A:$A,INDEX($D:$E,MATCH("C",$D:$D,0),2))/COUNTIFS(Dados!$E:$E,$B105,Dados!$C:$C,INDEX(O$3,1,1),Dados!$A:$A,INDEX($D:$E,MATCH("C",$D:$D,0),2)))</f>
        <v/>
      </c>
      <c r="P105" s="66" t="str">
        <f ca="1">IF(COUNTIFS(Dados!$E:$E,$B105,Dados!$C:$C,INDEX(P$3,1,1),Dados!$A:$A,INDEX($D:$E,MATCH("C",$D:$D,0),2))=0,"",SUMIFS(Dados!$G:$G,Dados!$E:$E,$B105,Dados!$C:$C,INDEX(P$3,1,1),Dados!$A:$A,INDEX($D:$E,MATCH("C",$D:$D,0),2))/COUNTIFS(Dados!$E:$E,$B105,Dados!$C:$C,INDEX(P$3,1,1),Dados!$A:$A,INDEX($D:$E,MATCH("C",$D:$D,0),2)))</f>
        <v/>
      </c>
      <c r="Q105" s="66" t="str">
        <f ca="1">IF(COUNTIFS(Dados!$E:$E,$B105,Dados!$C:$C,INDEX(Q$3,1,1),Dados!$A:$A,INDEX($D:$E,MATCH("C",$D:$D,0),2))=0,"",SUMIFS(Dados!$G:$G,Dados!$E:$E,$B105,Dados!$C:$C,INDEX(Q$3,1,1),Dados!$A:$A,INDEX($D:$E,MATCH("C",$D:$D,0),2))/COUNTIFS(Dados!$E:$E,$B105,Dados!$C:$C,INDEX(Q$3,1,1),Dados!$A:$A,INDEX($D:$E,MATCH("C",$D:$D,0),2)))</f>
        <v/>
      </c>
      <c r="R105" s="66" t="str">
        <f ca="1">IF(COUNTIFS(Dados!$E:$E,$B105,Dados!$C:$C,INDEX(R$3,1,1),Dados!$A:$A,INDEX($D:$E,MATCH("C",$D:$D,0),2))=0,"",SUMIFS(Dados!$G:$G,Dados!$E:$E,$B105,Dados!$C:$C,INDEX(R$3,1,1),Dados!$A:$A,INDEX($D:$E,MATCH("C",$D:$D,0),2))/COUNTIFS(Dados!$E:$E,$B105,Dados!$C:$C,INDEX(R$3,1,1),Dados!$A:$A,INDEX($D:$E,MATCH("C",$D:$D,0),2)))</f>
        <v/>
      </c>
      <c r="S105" s="66" t="str">
        <f ca="1">IF(COUNTIFS(Dados!$E:$E,$B105,Dados!$C:$C,INDEX(S$3,1,1),Dados!$A:$A,INDEX($D:$E,MATCH("C",$D:$D,0),2))=0,"",SUMIFS(Dados!$G:$G,Dados!$E:$E,$B105,Dados!$C:$C,INDEX(S$3,1,1),Dados!$A:$A,INDEX($D:$E,MATCH("C",$D:$D,0),2))/COUNTIFS(Dados!$E:$E,$B105,Dados!$C:$C,INDEX(S$3,1,1),Dados!$A:$A,INDEX($D:$E,MATCH("C",$D:$D,0),2)))</f>
        <v/>
      </c>
      <c r="T105" s="66" t="str">
        <f ca="1">IF(COUNTIFS(Dados!$E:$E,$B105,Dados!$C:$C,INDEX(T$3,1,1),Dados!$A:$A,INDEX($D:$E,MATCH("C",$D:$D,0),2))=0,"",SUMIFS(Dados!$G:$G,Dados!$E:$E,$B105,Dados!$C:$C,INDEX(T$3,1,1),Dados!$A:$A,INDEX($D:$E,MATCH("C",$D:$D,0),2))/COUNTIFS(Dados!$E:$E,$B105,Dados!$C:$C,INDEX(T$3,1,1),Dados!$A:$A,INDEX($D:$E,MATCH("C",$D:$D,0),2)))</f>
        <v/>
      </c>
      <c r="U105" s="66" t="str">
        <f ca="1">IF(COUNTIFS(Dados!$E:$E,$B105,Dados!$C:$C,INDEX(U$3,1,1),Dados!$A:$A,INDEX($D:$E,MATCH("C",$D:$D,0),2))=0,"",SUMIFS(Dados!$G:$G,Dados!$E:$E,$B105,Dados!$C:$C,INDEX(U$3,1,1),Dados!$A:$A,INDEX($D:$E,MATCH("C",$D:$D,0),2))/COUNTIFS(Dados!$E:$E,$B105,Dados!$C:$C,INDEX(U$3,1,1),Dados!$A:$A,INDEX($D:$E,MATCH("C",$D:$D,0),2)))</f>
        <v/>
      </c>
      <c r="V105" s="66" t="str">
        <f ca="1">IF(COUNTIFS(Dados!$E:$E,$B105,Dados!$C:$C,INDEX(V$3,1,1),Dados!$A:$A,INDEX($D:$E,MATCH("C",$D:$D,0),2))=0,"",SUMIFS(Dados!$G:$G,Dados!$E:$E,$B105,Dados!$C:$C,INDEX(V$3,1,1),Dados!$A:$A,INDEX($D:$E,MATCH("C",$D:$D,0),2))/COUNTIFS(Dados!$E:$E,$B105,Dados!$C:$C,INDEX(V$3,1,1),Dados!$A:$A,INDEX($D:$E,MATCH("C",$D:$D,0),2)))</f>
        <v/>
      </c>
    </row>
    <row r="106" spans="2:22" x14ac:dyDescent="0.25">
      <c r="B106" s="67" t="s">
        <v>1300</v>
      </c>
      <c r="C106" s="71">
        <f>VLOOKUP(B106,B4:C22,2,0)</f>
        <v>19</v>
      </c>
      <c r="D106" s="68" t="str">
        <f ca="1">IF(COUNTIFS(Dados!$E:$E,$B106,Dados!$C:$C,INDEX(D$3,1,1),Dados!$A:$A,INDEX($D:$E,MATCH("C",$D:$D,0),2))=0,"",SUMIFS(Dados!$G:$G,Dados!$E:$E,$B106,Dados!$C:$C,INDEX(D$3,1,1),Dados!$A:$A,INDEX($D:$E,MATCH("C",$D:$D,0),2))/COUNTIFS(Dados!$E:$E,$B106,Dados!$C:$C,INDEX(D$3,1,1),Dados!$A:$A,INDEX($D:$E,MATCH("C",$D:$D,0),2)))</f>
        <v/>
      </c>
      <c r="E106" s="68" t="str">
        <f ca="1">IF(COUNTIFS(Dados!$E:$E,$B106,Dados!$C:$C,INDEX(E$3,1,1),Dados!$A:$A,INDEX($D:$E,MATCH("C",$D:$D,0),2))=0,"",SUMIFS(Dados!$G:$G,Dados!$E:$E,$B106,Dados!$C:$C,INDEX(E$3,1,1),Dados!$A:$A,INDEX($D:$E,MATCH("C",$D:$D,0),2))/COUNTIFS(Dados!$E:$E,$B106,Dados!$C:$C,INDEX(E$3,1,1),Dados!$A:$A,INDEX($D:$E,MATCH("C",$D:$D,0),2)))</f>
        <v/>
      </c>
      <c r="F106" s="68" t="str">
        <f ca="1">IF(COUNTIFS(Dados!$E:$E,$B106,Dados!$C:$C,INDEX(F$3,1,1),Dados!$A:$A,INDEX($D:$E,MATCH("C",$D:$D,0),2))=0,"",SUMIFS(Dados!$G:$G,Dados!$E:$E,$B106,Dados!$C:$C,INDEX(F$3,1,1),Dados!$A:$A,INDEX($D:$E,MATCH("C",$D:$D,0),2))/COUNTIFS(Dados!$E:$E,$B106,Dados!$C:$C,INDEX(F$3,1,1),Dados!$A:$A,INDEX($D:$E,MATCH("C",$D:$D,0),2)))</f>
        <v/>
      </c>
      <c r="G106" s="68" t="str">
        <f ca="1">IF(COUNTIFS(Dados!$E:$E,$B106,Dados!$C:$C,INDEX(G$3,1,1),Dados!$A:$A,INDEX($D:$E,MATCH("C",$D:$D,0),2))=0,"",SUMIFS(Dados!$G:$G,Dados!$E:$E,$B106,Dados!$C:$C,INDEX(G$3,1,1),Dados!$A:$A,INDEX($D:$E,MATCH("C",$D:$D,0),2))/COUNTIFS(Dados!$E:$E,$B106,Dados!$C:$C,INDEX(G$3,1,1),Dados!$A:$A,INDEX($D:$E,MATCH("C",$D:$D,0),2)))</f>
        <v/>
      </c>
      <c r="H106" s="68" t="str">
        <f ca="1">IF(COUNTIFS(Dados!$E:$E,$B106,Dados!$C:$C,INDEX(H$3,1,1),Dados!$A:$A,INDEX($D:$E,MATCH("C",$D:$D,0),2))=0,"",SUMIFS(Dados!$G:$G,Dados!$E:$E,$B106,Dados!$C:$C,INDEX(H$3,1,1),Dados!$A:$A,INDEX($D:$E,MATCH("C",$D:$D,0),2))/COUNTIFS(Dados!$E:$E,$B106,Dados!$C:$C,INDEX(H$3,1,1),Dados!$A:$A,INDEX($D:$E,MATCH("C",$D:$D,0),2)))</f>
        <v/>
      </c>
      <c r="I106" s="68" t="str">
        <f ca="1">IF(COUNTIFS(Dados!$E:$E,$B106,Dados!$C:$C,INDEX(I$3,1,1),Dados!$A:$A,INDEX($D:$E,MATCH("C",$D:$D,0),2))=0,"",SUMIFS(Dados!$G:$G,Dados!$E:$E,$B106,Dados!$C:$C,INDEX(I$3,1,1),Dados!$A:$A,INDEX($D:$E,MATCH("C",$D:$D,0),2))/COUNTIFS(Dados!$E:$E,$B106,Dados!$C:$C,INDEX(I$3,1,1),Dados!$A:$A,INDEX($D:$E,MATCH("C",$D:$D,0),2)))</f>
        <v/>
      </c>
      <c r="J106" s="68" t="str">
        <f ca="1">IF(COUNTIFS(Dados!$E:$E,$B106,Dados!$C:$C,INDEX(J$3,1,1),Dados!$A:$A,INDEX($D:$E,MATCH("C",$D:$D,0),2))=0,"",SUMIFS(Dados!$G:$G,Dados!$E:$E,$B106,Dados!$C:$C,INDEX(J$3,1,1),Dados!$A:$A,INDEX($D:$E,MATCH("C",$D:$D,0),2))/COUNTIFS(Dados!$E:$E,$B106,Dados!$C:$C,INDEX(J$3,1,1),Dados!$A:$A,INDEX($D:$E,MATCH("C",$D:$D,0),2)))</f>
        <v/>
      </c>
      <c r="K106" s="68" t="str">
        <f ca="1">IF(COUNTIFS(Dados!$E:$E,$B106,Dados!$C:$C,INDEX(K$3,1,1),Dados!$A:$A,INDEX($D:$E,MATCH("C",$D:$D,0),2))=0,"",SUMIFS(Dados!$G:$G,Dados!$E:$E,$B106,Dados!$C:$C,INDEX(K$3,1,1),Dados!$A:$A,INDEX($D:$E,MATCH("C",$D:$D,0),2))/COUNTIFS(Dados!$E:$E,$B106,Dados!$C:$C,INDEX(K$3,1,1),Dados!$A:$A,INDEX($D:$E,MATCH("C",$D:$D,0),2)))</f>
        <v/>
      </c>
      <c r="L106" s="68" t="str">
        <f ca="1">IF(COUNTIFS(Dados!$E:$E,$B106,Dados!$C:$C,INDEX(L$3,1,1),Dados!$A:$A,INDEX($D:$E,MATCH("C",$D:$D,0),2))=0,"",SUMIFS(Dados!$G:$G,Dados!$E:$E,$B106,Dados!$C:$C,INDEX(L$3,1,1),Dados!$A:$A,INDEX($D:$E,MATCH("C",$D:$D,0),2))/COUNTIFS(Dados!$E:$E,$B106,Dados!$C:$C,INDEX(L$3,1,1),Dados!$A:$A,INDEX($D:$E,MATCH("C",$D:$D,0),2)))</f>
        <v/>
      </c>
      <c r="M106" s="68" t="str">
        <f ca="1">IF(COUNTIFS(Dados!$E:$E,$B106,Dados!$C:$C,INDEX(M$3,1,1),Dados!$A:$A,INDEX($D:$E,MATCH("C",$D:$D,0),2))=0,"",SUMIFS(Dados!$G:$G,Dados!$E:$E,$B106,Dados!$C:$C,INDEX(M$3,1,1),Dados!$A:$A,INDEX($D:$E,MATCH("C",$D:$D,0),2))/COUNTIFS(Dados!$E:$E,$B106,Dados!$C:$C,INDEX(M$3,1,1),Dados!$A:$A,INDEX($D:$E,MATCH("C",$D:$D,0),2)))</f>
        <v/>
      </c>
      <c r="N106" s="68" t="str">
        <f ca="1">IF(COUNTIFS(Dados!$E:$E,$B106,Dados!$C:$C,INDEX(N$3,1,1),Dados!$A:$A,INDEX($D:$E,MATCH("C",$D:$D,0),2))=0,"",SUMIFS(Dados!$G:$G,Dados!$E:$E,$B106,Dados!$C:$C,INDEX(N$3,1,1),Dados!$A:$A,INDEX($D:$E,MATCH("C",$D:$D,0),2))/COUNTIFS(Dados!$E:$E,$B106,Dados!$C:$C,INDEX(N$3,1,1),Dados!$A:$A,INDEX($D:$E,MATCH("C",$D:$D,0),2)))</f>
        <v/>
      </c>
      <c r="O106" s="68" t="str">
        <f ca="1">IF(COUNTIFS(Dados!$E:$E,$B106,Dados!$C:$C,INDEX(O$3,1,1),Dados!$A:$A,INDEX($D:$E,MATCH("C",$D:$D,0),2))=0,"",SUMIFS(Dados!$G:$G,Dados!$E:$E,$B106,Dados!$C:$C,INDEX(O$3,1,1),Dados!$A:$A,INDEX($D:$E,MATCH("C",$D:$D,0),2))/COUNTIFS(Dados!$E:$E,$B106,Dados!$C:$C,INDEX(O$3,1,1),Dados!$A:$A,INDEX($D:$E,MATCH("C",$D:$D,0),2)))</f>
        <v/>
      </c>
      <c r="P106" s="68" t="str">
        <f ca="1">IF(COUNTIFS(Dados!$E:$E,$B106,Dados!$C:$C,INDEX(P$3,1,1),Dados!$A:$A,INDEX($D:$E,MATCH("C",$D:$D,0),2))=0,"",SUMIFS(Dados!$G:$G,Dados!$E:$E,$B106,Dados!$C:$C,INDEX(P$3,1,1),Dados!$A:$A,INDEX($D:$E,MATCH("C",$D:$D,0),2))/COUNTIFS(Dados!$E:$E,$B106,Dados!$C:$C,INDEX(P$3,1,1),Dados!$A:$A,INDEX($D:$E,MATCH("C",$D:$D,0),2)))</f>
        <v/>
      </c>
      <c r="Q106" s="68" t="str">
        <f ca="1">IF(COUNTIFS(Dados!$E:$E,$B106,Dados!$C:$C,INDEX(Q$3,1,1),Dados!$A:$A,INDEX($D:$E,MATCH("C",$D:$D,0),2))=0,"",SUMIFS(Dados!$G:$G,Dados!$E:$E,$B106,Dados!$C:$C,INDEX(Q$3,1,1),Dados!$A:$A,INDEX($D:$E,MATCH("C",$D:$D,0),2))/COUNTIFS(Dados!$E:$E,$B106,Dados!$C:$C,INDEX(Q$3,1,1),Dados!$A:$A,INDEX($D:$E,MATCH("C",$D:$D,0),2)))</f>
        <v/>
      </c>
      <c r="R106" s="68" t="str">
        <f ca="1">IF(COUNTIFS(Dados!$E:$E,$B106,Dados!$C:$C,INDEX(R$3,1,1),Dados!$A:$A,INDEX($D:$E,MATCH("C",$D:$D,0),2))=0,"",SUMIFS(Dados!$G:$G,Dados!$E:$E,$B106,Dados!$C:$C,INDEX(R$3,1,1),Dados!$A:$A,INDEX($D:$E,MATCH("C",$D:$D,0),2))/COUNTIFS(Dados!$E:$E,$B106,Dados!$C:$C,INDEX(R$3,1,1),Dados!$A:$A,INDEX($D:$E,MATCH("C",$D:$D,0),2)))</f>
        <v/>
      </c>
      <c r="S106" s="68" t="str">
        <f ca="1">IF(COUNTIFS(Dados!$E:$E,$B106,Dados!$C:$C,INDEX(S$3,1,1),Dados!$A:$A,INDEX($D:$E,MATCH("C",$D:$D,0),2))=0,"",SUMIFS(Dados!$G:$G,Dados!$E:$E,$B106,Dados!$C:$C,INDEX(S$3,1,1),Dados!$A:$A,INDEX($D:$E,MATCH("C",$D:$D,0),2))/COUNTIFS(Dados!$E:$E,$B106,Dados!$C:$C,INDEX(S$3,1,1),Dados!$A:$A,INDEX($D:$E,MATCH("C",$D:$D,0),2)))</f>
        <v/>
      </c>
      <c r="T106" s="68" t="str">
        <f ca="1">IF(COUNTIFS(Dados!$E:$E,$B106,Dados!$C:$C,INDEX(T$3,1,1),Dados!$A:$A,INDEX($D:$E,MATCH("C",$D:$D,0),2))=0,"",SUMIFS(Dados!$G:$G,Dados!$E:$E,$B106,Dados!$C:$C,INDEX(T$3,1,1),Dados!$A:$A,INDEX($D:$E,MATCH("C",$D:$D,0),2))/COUNTIFS(Dados!$E:$E,$B106,Dados!$C:$C,INDEX(T$3,1,1),Dados!$A:$A,INDEX($D:$E,MATCH("C",$D:$D,0),2)))</f>
        <v/>
      </c>
      <c r="U106" s="68" t="str">
        <f ca="1">IF(COUNTIFS(Dados!$E:$E,$B106,Dados!$C:$C,INDEX(U$3,1,1),Dados!$A:$A,INDEX($D:$E,MATCH("C",$D:$D,0),2))=0,"",SUMIFS(Dados!$G:$G,Dados!$E:$E,$B106,Dados!$C:$C,INDEX(U$3,1,1),Dados!$A:$A,INDEX($D:$E,MATCH("C",$D:$D,0),2))/COUNTIFS(Dados!$E:$E,$B106,Dados!$C:$C,INDEX(U$3,1,1),Dados!$A:$A,INDEX($D:$E,MATCH("C",$D:$D,0),2)))</f>
        <v/>
      </c>
      <c r="V106" s="68" t="str">
        <f ca="1">IF(COUNTIFS(Dados!$E:$E,$B106,Dados!$C:$C,INDEX(V$3,1,1),Dados!$A:$A,INDEX($D:$E,MATCH("C",$D:$D,0),2))=0,"",SUMIFS(Dados!$G:$G,Dados!$E:$E,$B106,Dados!$C:$C,INDEX(V$3,1,1),Dados!$A:$A,INDEX($D:$E,MATCH("C",$D:$D,0),2))/COUNTIFS(Dados!$E:$E,$B106,Dados!$C:$C,INDEX(V$3,1,1),Dados!$A:$A,INDEX($D:$E,MATCH("C",$D:$D,0),2)))</f>
        <v/>
      </c>
    </row>
    <row r="107" spans="2:22" x14ac:dyDescent="0.25">
      <c r="B107" s="63" t="s">
        <v>983</v>
      </c>
      <c r="C107" s="63"/>
      <c r="D107" s="63" t="s">
        <v>980</v>
      </c>
      <c r="E107" s="73">
        <v>15</v>
      </c>
    </row>
    <row r="108" spans="2:22" x14ac:dyDescent="0.25">
      <c r="B108" s="69" t="s">
        <v>974</v>
      </c>
      <c r="C108" s="70" t="s">
        <v>1291</v>
      </c>
      <c r="D108" s="61">
        <v>1978</v>
      </c>
      <c r="E108" s="61">
        <v>1982</v>
      </c>
      <c r="F108" s="61">
        <v>1991</v>
      </c>
      <c r="G108" s="61">
        <v>1996</v>
      </c>
      <c r="H108" s="61">
        <v>1997</v>
      </c>
      <c r="I108" s="61">
        <v>1998</v>
      </c>
      <c r="J108" s="61">
        <v>1999</v>
      </c>
      <c r="K108" s="61">
        <v>2000</v>
      </c>
      <c r="L108" s="61">
        <v>2001</v>
      </c>
      <c r="M108" s="61">
        <v>2002</v>
      </c>
      <c r="N108" s="61">
        <v>2003</v>
      </c>
      <c r="O108" s="61">
        <v>2004</v>
      </c>
      <c r="P108" s="61">
        <v>2005</v>
      </c>
      <c r="Q108" s="61">
        <v>2006</v>
      </c>
      <c r="R108" s="61">
        <v>2007</v>
      </c>
      <c r="S108" s="61">
        <v>2008</v>
      </c>
      <c r="T108" s="61">
        <v>2010</v>
      </c>
      <c r="U108" s="61">
        <v>2011</v>
      </c>
      <c r="V108" s="61">
        <v>2012</v>
      </c>
    </row>
    <row r="109" spans="2:22" x14ac:dyDescent="0.25">
      <c r="B109" s="65" t="s">
        <v>107</v>
      </c>
      <c r="C109" s="72">
        <f>VLOOKUP(B109,B4:C22,2,0)</f>
        <v>1</v>
      </c>
      <c r="D109" s="66" t="str">
        <f>IF(COUNTIFS(Dados!$E:$E,$B109,Dados!$C:$C,INDEX(D$3,1,1),Dados!$A:$A,INDEX($D:$E,MATCH("D",$D:$D,0),2))=0,"",SUMIFS(Dados!$G:$G,Dados!$E:$E,$B109,Dados!$C:$C,INDEX(D$3,1,1),Dados!$A:$A,INDEX($D:$E,MATCH("D",$D:$D,0),2))/COUNTIFS(Dados!$E:$E,$B109,Dados!$C:$C,INDEX(D$3,1,1),Dados!$A:$A,INDEX($D:$E,MATCH("D",$D:$D,0),2)))</f>
        <v/>
      </c>
      <c r="E109" s="66" t="str">
        <f>IF(COUNTIFS(Dados!$E:$E,$B109,Dados!$C:$C,INDEX(E$3,1,1),Dados!$A:$A,INDEX($D:$E,MATCH("D",$D:$D,0),2))=0,"",SUMIFS(Dados!$G:$G,Dados!$E:$E,$B109,Dados!$C:$C,INDEX(E$3,1,1),Dados!$A:$A,INDEX($D:$E,MATCH("D",$D:$D,0),2))/COUNTIFS(Dados!$E:$E,$B109,Dados!$C:$C,INDEX(E$3,1,1),Dados!$A:$A,INDEX($D:$E,MATCH("D",$D:$D,0),2)))</f>
        <v/>
      </c>
      <c r="F109" s="66" t="str">
        <f>IF(COUNTIFS(Dados!$E:$E,$B109,Dados!$C:$C,INDEX(F$3,1,1),Dados!$A:$A,INDEX($D:$E,MATCH("D",$D:$D,0),2))=0,"",SUMIFS(Dados!$G:$G,Dados!$E:$E,$B109,Dados!$C:$C,INDEX(F$3,1,1),Dados!$A:$A,INDEX($D:$E,MATCH("D",$D:$D,0),2))/COUNTIFS(Dados!$E:$E,$B109,Dados!$C:$C,INDEX(F$3,1,1),Dados!$A:$A,INDEX($D:$E,MATCH("D",$D:$D,0),2)))</f>
        <v/>
      </c>
      <c r="G109" s="66" t="str">
        <f>IF(COUNTIFS(Dados!$E:$E,$B109,Dados!$C:$C,INDEX(G$3,1,1),Dados!$A:$A,INDEX($D:$E,MATCH("D",$D:$D,0),2))=0,"",SUMIFS(Dados!$G:$G,Dados!$E:$E,$B109,Dados!$C:$C,INDEX(G$3,1,1),Dados!$A:$A,INDEX($D:$E,MATCH("D",$D:$D,0),2))/COUNTIFS(Dados!$E:$E,$B109,Dados!$C:$C,INDEX(G$3,1,1),Dados!$A:$A,INDEX($D:$E,MATCH("D",$D:$D,0),2)))</f>
        <v/>
      </c>
      <c r="H109" s="66" t="str">
        <f>IF(COUNTIFS(Dados!$E:$E,$B109,Dados!$C:$C,INDEX(H$3,1,1),Dados!$A:$A,INDEX($D:$E,MATCH("D",$D:$D,0),2))=0,"",SUMIFS(Dados!$G:$G,Dados!$E:$E,$B109,Dados!$C:$C,INDEX(H$3,1,1),Dados!$A:$A,INDEX($D:$E,MATCH("D",$D:$D,0),2))/COUNTIFS(Dados!$E:$E,$B109,Dados!$C:$C,INDEX(H$3,1,1),Dados!$A:$A,INDEX($D:$E,MATCH("D",$D:$D,0),2)))</f>
        <v/>
      </c>
      <c r="I109" s="66" t="str">
        <f>IF(COUNTIFS(Dados!$E:$E,$B109,Dados!$C:$C,INDEX(I$3,1,1),Dados!$A:$A,INDEX($D:$E,MATCH("D",$D:$D,0),2))=0,"",SUMIFS(Dados!$G:$G,Dados!$E:$E,$B109,Dados!$C:$C,INDEX(I$3,1,1),Dados!$A:$A,INDEX($D:$E,MATCH("D",$D:$D,0),2))/COUNTIFS(Dados!$E:$E,$B109,Dados!$C:$C,INDEX(I$3,1,1),Dados!$A:$A,INDEX($D:$E,MATCH("D",$D:$D,0),2)))</f>
        <v/>
      </c>
      <c r="J109" s="66" t="str">
        <f>IF(COUNTIFS(Dados!$E:$E,$B109,Dados!$C:$C,INDEX(J$3,1,1),Dados!$A:$A,INDEX($D:$E,MATCH("D",$D:$D,0),2))=0,"",SUMIFS(Dados!$G:$G,Dados!$E:$E,$B109,Dados!$C:$C,INDEX(J$3,1,1),Dados!$A:$A,INDEX($D:$E,MATCH("D",$D:$D,0),2))/COUNTIFS(Dados!$E:$E,$B109,Dados!$C:$C,INDEX(J$3,1,1),Dados!$A:$A,INDEX($D:$E,MATCH("D",$D:$D,0),2)))</f>
        <v/>
      </c>
      <c r="K109" s="66" t="str">
        <f>IF(COUNTIFS(Dados!$E:$E,$B109,Dados!$C:$C,INDEX(K$3,1,1),Dados!$A:$A,INDEX($D:$E,MATCH("D",$D:$D,0),2))=0,"",SUMIFS(Dados!$G:$G,Dados!$E:$E,$B109,Dados!$C:$C,INDEX(K$3,1,1),Dados!$A:$A,INDEX($D:$E,MATCH("D",$D:$D,0),2))/COUNTIFS(Dados!$E:$E,$B109,Dados!$C:$C,INDEX(K$3,1,1),Dados!$A:$A,INDEX($D:$E,MATCH("D",$D:$D,0),2)))</f>
        <v/>
      </c>
      <c r="L109" s="66" t="str">
        <f>IF(COUNTIFS(Dados!$E:$E,$B109,Dados!$C:$C,INDEX(L$3,1,1),Dados!$A:$A,INDEX($D:$E,MATCH("D",$D:$D,0),2))=0,"",SUMIFS(Dados!$G:$G,Dados!$E:$E,$B109,Dados!$C:$C,INDEX(L$3,1,1),Dados!$A:$A,INDEX($D:$E,MATCH("D",$D:$D,0),2))/COUNTIFS(Dados!$E:$E,$B109,Dados!$C:$C,INDEX(L$3,1,1),Dados!$A:$A,INDEX($D:$E,MATCH("D",$D:$D,0),2)))</f>
        <v/>
      </c>
      <c r="M109" s="66" t="str">
        <f>IF(COUNTIFS(Dados!$E:$E,$B109,Dados!$C:$C,INDEX(M$3,1,1),Dados!$A:$A,INDEX($D:$E,MATCH("D",$D:$D,0),2))=0,"",SUMIFS(Dados!$G:$G,Dados!$E:$E,$B109,Dados!$C:$C,INDEX(M$3,1,1),Dados!$A:$A,INDEX($D:$E,MATCH("D",$D:$D,0),2))/COUNTIFS(Dados!$E:$E,$B109,Dados!$C:$C,INDEX(M$3,1,1),Dados!$A:$A,INDEX($D:$E,MATCH("D",$D:$D,0),2)))</f>
        <v/>
      </c>
      <c r="N109" s="66" t="str">
        <f>IF(COUNTIFS(Dados!$E:$E,$B109,Dados!$C:$C,INDEX(N$3,1,1),Dados!$A:$A,INDEX($D:$E,MATCH("D",$D:$D,0),2))=0,"",SUMIFS(Dados!$G:$G,Dados!$E:$E,$B109,Dados!$C:$C,INDEX(N$3,1,1),Dados!$A:$A,INDEX($D:$E,MATCH("D",$D:$D,0),2))/COUNTIFS(Dados!$E:$E,$B109,Dados!$C:$C,INDEX(N$3,1,1),Dados!$A:$A,INDEX($D:$E,MATCH("D",$D:$D,0),2)))</f>
        <v/>
      </c>
      <c r="O109" s="66" t="str">
        <f>IF(COUNTIFS(Dados!$E:$E,$B109,Dados!$C:$C,INDEX(O$3,1,1),Dados!$A:$A,INDEX($D:$E,MATCH("D",$D:$D,0),2))=0,"",SUMIFS(Dados!$G:$G,Dados!$E:$E,$B109,Dados!$C:$C,INDEX(O$3,1,1),Dados!$A:$A,INDEX($D:$E,MATCH("D",$D:$D,0),2))/COUNTIFS(Dados!$E:$E,$B109,Dados!$C:$C,INDEX(O$3,1,1),Dados!$A:$A,INDEX($D:$E,MATCH("D",$D:$D,0),2)))</f>
        <v/>
      </c>
      <c r="P109" s="66" t="str">
        <f>IF(COUNTIFS(Dados!$E:$E,$B109,Dados!$C:$C,INDEX(P$3,1,1),Dados!$A:$A,INDEX($D:$E,MATCH("D",$D:$D,0),2))=0,"",SUMIFS(Dados!$G:$G,Dados!$E:$E,$B109,Dados!$C:$C,INDEX(P$3,1,1),Dados!$A:$A,INDEX($D:$E,MATCH("D",$D:$D,0),2))/COUNTIFS(Dados!$E:$E,$B109,Dados!$C:$C,INDEX(P$3,1,1),Dados!$A:$A,INDEX($D:$E,MATCH("D",$D:$D,0),2)))</f>
        <v/>
      </c>
      <c r="Q109" s="66" t="str">
        <f>IF(COUNTIFS(Dados!$E:$E,$B109,Dados!$C:$C,INDEX(Q$3,1,1),Dados!$A:$A,INDEX($D:$E,MATCH("D",$D:$D,0),2))=0,"",SUMIFS(Dados!$G:$G,Dados!$E:$E,$B109,Dados!$C:$C,INDEX(Q$3,1,1),Dados!$A:$A,INDEX($D:$E,MATCH("D",$D:$D,0),2))/COUNTIFS(Dados!$E:$E,$B109,Dados!$C:$C,INDEX(Q$3,1,1),Dados!$A:$A,INDEX($D:$E,MATCH("D",$D:$D,0),2)))</f>
        <v/>
      </c>
      <c r="R109" s="66" t="str">
        <f>IF(COUNTIFS(Dados!$E:$E,$B109,Dados!$C:$C,INDEX(R$3,1,1),Dados!$A:$A,INDEX($D:$E,MATCH("D",$D:$D,0),2))=0,"",SUMIFS(Dados!$G:$G,Dados!$E:$E,$B109,Dados!$C:$C,INDEX(R$3,1,1),Dados!$A:$A,INDEX($D:$E,MATCH("D",$D:$D,0),2))/COUNTIFS(Dados!$E:$E,$B109,Dados!$C:$C,INDEX(R$3,1,1),Dados!$A:$A,INDEX($D:$E,MATCH("D",$D:$D,0),2)))</f>
        <v/>
      </c>
      <c r="S109" s="66" t="str">
        <f>IF(COUNTIFS(Dados!$E:$E,$B109,Dados!$C:$C,INDEX(S$3,1,1),Dados!$A:$A,INDEX($D:$E,MATCH("D",$D:$D,0),2))=0,"",SUMIFS(Dados!$G:$G,Dados!$E:$E,$B109,Dados!$C:$C,INDEX(S$3,1,1),Dados!$A:$A,INDEX($D:$E,MATCH("D",$D:$D,0),2))/COUNTIFS(Dados!$E:$E,$B109,Dados!$C:$C,INDEX(S$3,1,1),Dados!$A:$A,INDEX($D:$E,MATCH("D",$D:$D,0),2)))</f>
        <v/>
      </c>
      <c r="T109" s="66" t="str">
        <f>IF(COUNTIFS(Dados!$E:$E,$B109,Dados!$C:$C,INDEX(T$3,1,1),Dados!$A:$A,INDEX($D:$E,MATCH("D",$D:$D,0),2))=0,"",SUMIFS(Dados!$G:$G,Dados!$E:$E,$B109,Dados!$C:$C,INDEX(T$3,1,1),Dados!$A:$A,INDEX($D:$E,MATCH("D",$D:$D,0),2))/COUNTIFS(Dados!$E:$E,$B109,Dados!$C:$C,INDEX(T$3,1,1),Dados!$A:$A,INDEX($D:$E,MATCH("D",$D:$D,0),2)))</f>
        <v/>
      </c>
      <c r="U109" s="66" t="str">
        <f>IF(COUNTIFS(Dados!$E:$E,$B109,Dados!$C:$C,INDEX(U$3,1,1),Dados!$A:$A,INDEX($D:$E,MATCH("D",$D:$D,0),2))=0,"",SUMIFS(Dados!$G:$G,Dados!$E:$E,$B109,Dados!$C:$C,INDEX(U$3,1,1),Dados!$A:$A,INDEX($D:$E,MATCH("D",$D:$D,0),2))/COUNTIFS(Dados!$E:$E,$B109,Dados!$C:$C,INDEX(U$3,1,1),Dados!$A:$A,INDEX($D:$E,MATCH("D",$D:$D,0),2)))</f>
        <v/>
      </c>
      <c r="V109" s="66" t="str">
        <f>IF(COUNTIFS(Dados!$E:$E,$B109,Dados!$C:$C,INDEX(V$3,1,1),Dados!$A:$A,INDEX($D:$E,MATCH("D",$D:$D,0),2))=0,"",SUMIFS(Dados!$G:$G,Dados!$E:$E,$B109,Dados!$C:$C,INDEX(V$3,1,1),Dados!$A:$A,INDEX($D:$E,MATCH("D",$D:$D,0),2))/COUNTIFS(Dados!$E:$E,$B109,Dados!$C:$C,INDEX(V$3,1,1),Dados!$A:$A,INDEX($D:$E,MATCH("D",$D:$D,0),2)))</f>
        <v/>
      </c>
    </row>
    <row r="110" spans="2:22" x14ac:dyDescent="0.25">
      <c r="B110" s="67" t="s">
        <v>96</v>
      </c>
      <c r="C110" s="71">
        <f>VLOOKUP(B110,B4:C22,2,0)</f>
        <v>2</v>
      </c>
      <c r="D110" s="68" t="str">
        <f>IF(COUNTIFS(Dados!$E:$E,$B110,Dados!$C:$C,INDEX(D$3,1,1),Dados!$A:$A,INDEX($D:$E,MATCH("D",$D:$D,0),2))=0,"",SUMIFS(Dados!$G:$G,Dados!$E:$E,$B110,Dados!$C:$C,INDEX(D$3,1,1),Dados!$A:$A,INDEX($D:$E,MATCH("D",$D:$D,0),2))/COUNTIFS(Dados!$E:$E,$B110,Dados!$C:$C,INDEX(D$3,1,1),Dados!$A:$A,INDEX($D:$E,MATCH("D",$D:$D,0),2)))</f>
        <v/>
      </c>
      <c r="E110" s="68" t="str">
        <f>IF(COUNTIFS(Dados!$E:$E,$B110,Dados!$C:$C,INDEX(E$3,1,1),Dados!$A:$A,INDEX($D:$E,MATCH("D",$D:$D,0),2))=0,"",SUMIFS(Dados!$G:$G,Dados!$E:$E,$B110,Dados!$C:$C,INDEX(E$3,1,1),Dados!$A:$A,INDEX($D:$E,MATCH("D",$D:$D,0),2))/COUNTIFS(Dados!$E:$E,$B110,Dados!$C:$C,INDEX(E$3,1,1),Dados!$A:$A,INDEX($D:$E,MATCH("D",$D:$D,0),2)))</f>
        <v/>
      </c>
      <c r="F110" s="68" t="str">
        <f>IF(COUNTIFS(Dados!$E:$E,$B110,Dados!$C:$C,INDEX(F$3,1,1),Dados!$A:$A,INDEX($D:$E,MATCH("D",$D:$D,0),2))=0,"",SUMIFS(Dados!$G:$G,Dados!$E:$E,$B110,Dados!$C:$C,INDEX(F$3,1,1),Dados!$A:$A,INDEX($D:$E,MATCH("D",$D:$D,0),2))/COUNTIFS(Dados!$E:$E,$B110,Dados!$C:$C,INDEX(F$3,1,1),Dados!$A:$A,INDEX($D:$E,MATCH("D",$D:$D,0),2)))</f>
        <v/>
      </c>
      <c r="G110" s="68" t="str">
        <f>IF(COUNTIFS(Dados!$E:$E,$B110,Dados!$C:$C,INDEX(G$3,1,1),Dados!$A:$A,INDEX($D:$E,MATCH("D",$D:$D,0),2))=0,"",SUMIFS(Dados!$G:$G,Dados!$E:$E,$B110,Dados!$C:$C,INDEX(G$3,1,1),Dados!$A:$A,INDEX($D:$E,MATCH("D",$D:$D,0),2))/COUNTIFS(Dados!$E:$E,$B110,Dados!$C:$C,INDEX(G$3,1,1),Dados!$A:$A,INDEX($D:$E,MATCH("D",$D:$D,0),2)))</f>
        <v/>
      </c>
      <c r="H110" s="68" t="str">
        <f>IF(COUNTIFS(Dados!$E:$E,$B110,Dados!$C:$C,INDEX(H$3,1,1),Dados!$A:$A,INDEX($D:$E,MATCH("D",$D:$D,0),2))=0,"",SUMIFS(Dados!$G:$G,Dados!$E:$E,$B110,Dados!$C:$C,INDEX(H$3,1,1),Dados!$A:$A,INDEX($D:$E,MATCH("D",$D:$D,0),2))/COUNTIFS(Dados!$E:$E,$B110,Dados!$C:$C,INDEX(H$3,1,1),Dados!$A:$A,INDEX($D:$E,MATCH("D",$D:$D,0),2)))</f>
        <v/>
      </c>
      <c r="I110" s="68" t="str">
        <f>IF(COUNTIFS(Dados!$E:$E,$B110,Dados!$C:$C,INDEX(I$3,1,1),Dados!$A:$A,INDEX($D:$E,MATCH("D",$D:$D,0),2))=0,"",SUMIFS(Dados!$G:$G,Dados!$E:$E,$B110,Dados!$C:$C,INDEX(I$3,1,1),Dados!$A:$A,INDEX($D:$E,MATCH("D",$D:$D,0),2))/COUNTIFS(Dados!$E:$E,$B110,Dados!$C:$C,INDEX(I$3,1,1),Dados!$A:$A,INDEX($D:$E,MATCH("D",$D:$D,0),2)))</f>
        <v/>
      </c>
      <c r="J110" s="68" t="str">
        <f>IF(COUNTIFS(Dados!$E:$E,$B110,Dados!$C:$C,INDEX(J$3,1,1),Dados!$A:$A,INDEX($D:$E,MATCH("D",$D:$D,0),2))=0,"",SUMIFS(Dados!$G:$G,Dados!$E:$E,$B110,Dados!$C:$C,INDEX(J$3,1,1),Dados!$A:$A,INDEX($D:$E,MATCH("D",$D:$D,0),2))/COUNTIFS(Dados!$E:$E,$B110,Dados!$C:$C,INDEX(J$3,1,1),Dados!$A:$A,INDEX($D:$E,MATCH("D",$D:$D,0),2)))</f>
        <v/>
      </c>
      <c r="K110" s="68" t="str">
        <f>IF(COUNTIFS(Dados!$E:$E,$B110,Dados!$C:$C,INDEX(K$3,1,1),Dados!$A:$A,INDEX($D:$E,MATCH("D",$D:$D,0),2))=0,"",SUMIFS(Dados!$G:$G,Dados!$E:$E,$B110,Dados!$C:$C,INDEX(K$3,1,1),Dados!$A:$A,INDEX($D:$E,MATCH("D",$D:$D,0),2))/COUNTIFS(Dados!$E:$E,$B110,Dados!$C:$C,INDEX(K$3,1,1),Dados!$A:$A,INDEX($D:$E,MATCH("D",$D:$D,0),2)))</f>
        <v/>
      </c>
      <c r="L110" s="68" t="str">
        <f>IF(COUNTIFS(Dados!$E:$E,$B110,Dados!$C:$C,INDEX(L$3,1,1),Dados!$A:$A,INDEX($D:$E,MATCH("D",$D:$D,0),2))=0,"",SUMIFS(Dados!$G:$G,Dados!$E:$E,$B110,Dados!$C:$C,INDEX(L$3,1,1),Dados!$A:$A,INDEX($D:$E,MATCH("D",$D:$D,0),2))/COUNTIFS(Dados!$E:$E,$B110,Dados!$C:$C,INDEX(L$3,1,1),Dados!$A:$A,INDEX($D:$E,MATCH("D",$D:$D,0),2)))</f>
        <v/>
      </c>
      <c r="M110" s="68" t="str">
        <f>IF(COUNTIFS(Dados!$E:$E,$B110,Dados!$C:$C,INDEX(M$3,1,1),Dados!$A:$A,INDEX($D:$E,MATCH("D",$D:$D,0),2))=0,"",SUMIFS(Dados!$G:$G,Dados!$E:$E,$B110,Dados!$C:$C,INDEX(M$3,1,1),Dados!$A:$A,INDEX($D:$E,MATCH("D",$D:$D,0),2))/COUNTIFS(Dados!$E:$E,$B110,Dados!$C:$C,INDEX(M$3,1,1),Dados!$A:$A,INDEX($D:$E,MATCH("D",$D:$D,0),2)))</f>
        <v/>
      </c>
      <c r="N110" s="68" t="str">
        <f>IF(COUNTIFS(Dados!$E:$E,$B110,Dados!$C:$C,INDEX(N$3,1,1),Dados!$A:$A,INDEX($D:$E,MATCH("D",$D:$D,0),2))=0,"",SUMIFS(Dados!$G:$G,Dados!$E:$E,$B110,Dados!$C:$C,INDEX(N$3,1,1),Dados!$A:$A,INDEX($D:$E,MATCH("D",$D:$D,0),2))/COUNTIFS(Dados!$E:$E,$B110,Dados!$C:$C,INDEX(N$3,1,1),Dados!$A:$A,INDEX($D:$E,MATCH("D",$D:$D,0),2)))</f>
        <v/>
      </c>
      <c r="O110" s="68" t="str">
        <f>IF(COUNTIFS(Dados!$E:$E,$B110,Dados!$C:$C,INDEX(O$3,1,1),Dados!$A:$A,INDEX($D:$E,MATCH("D",$D:$D,0),2))=0,"",SUMIFS(Dados!$G:$G,Dados!$E:$E,$B110,Dados!$C:$C,INDEX(O$3,1,1),Dados!$A:$A,INDEX($D:$E,MATCH("D",$D:$D,0),2))/COUNTIFS(Dados!$E:$E,$B110,Dados!$C:$C,INDEX(O$3,1,1),Dados!$A:$A,INDEX($D:$E,MATCH("D",$D:$D,0),2)))</f>
        <v/>
      </c>
      <c r="P110" s="68" t="str">
        <f>IF(COUNTIFS(Dados!$E:$E,$B110,Dados!$C:$C,INDEX(P$3,1,1),Dados!$A:$A,INDEX($D:$E,MATCH("D",$D:$D,0),2))=0,"",SUMIFS(Dados!$G:$G,Dados!$E:$E,$B110,Dados!$C:$C,INDEX(P$3,1,1),Dados!$A:$A,INDEX($D:$E,MATCH("D",$D:$D,0),2))/COUNTIFS(Dados!$E:$E,$B110,Dados!$C:$C,INDEX(P$3,1,1),Dados!$A:$A,INDEX($D:$E,MATCH("D",$D:$D,0),2)))</f>
        <v/>
      </c>
      <c r="Q110" s="68" t="str">
        <f>IF(COUNTIFS(Dados!$E:$E,$B110,Dados!$C:$C,INDEX(Q$3,1,1),Dados!$A:$A,INDEX($D:$E,MATCH("D",$D:$D,0),2))=0,"",SUMIFS(Dados!$G:$G,Dados!$E:$E,$B110,Dados!$C:$C,INDEX(Q$3,1,1),Dados!$A:$A,INDEX($D:$E,MATCH("D",$D:$D,0),2))/COUNTIFS(Dados!$E:$E,$B110,Dados!$C:$C,INDEX(Q$3,1,1),Dados!$A:$A,INDEX($D:$E,MATCH("D",$D:$D,0),2)))</f>
        <v/>
      </c>
      <c r="R110" s="68" t="str">
        <f>IF(COUNTIFS(Dados!$E:$E,$B110,Dados!$C:$C,INDEX(R$3,1,1),Dados!$A:$A,INDEX($D:$E,MATCH("D",$D:$D,0),2))=0,"",SUMIFS(Dados!$G:$G,Dados!$E:$E,$B110,Dados!$C:$C,INDEX(R$3,1,1),Dados!$A:$A,INDEX($D:$E,MATCH("D",$D:$D,0),2))/COUNTIFS(Dados!$E:$E,$B110,Dados!$C:$C,INDEX(R$3,1,1),Dados!$A:$A,INDEX($D:$E,MATCH("D",$D:$D,0),2)))</f>
        <v/>
      </c>
      <c r="S110" s="68" t="str">
        <f>IF(COUNTIFS(Dados!$E:$E,$B110,Dados!$C:$C,INDEX(S$3,1,1),Dados!$A:$A,INDEX($D:$E,MATCH("D",$D:$D,0),2))=0,"",SUMIFS(Dados!$G:$G,Dados!$E:$E,$B110,Dados!$C:$C,INDEX(S$3,1,1),Dados!$A:$A,INDEX($D:$E,MATCH("D",$D:$D,0),2))/COUNTIFS(Dados!$E:$E,$B110,Dados!$C:$C,INDEX(S$3,1,1),Dados!$A:$A,INDEX($D:$E,MATCH("D",$D:$D,0),2)))</f>
        <v/>
      </c>
      <c r="T110" s="68" t="str">
        <f>IF(COUNTIFS(Dados!$E:$E,$B110,Dados!$C:$C,INDEX(T$3,1,1),Dados!$A:$A,INDEX($D:$E,MATCH("D",$D:$D,0),2))=0,"",SUMIFS(Dados!$G:$G,Dados!$E:$E,$B110,Dados!$C:$C,INDEX(T$3,1,1),Dados!$A:$A,INDEX($D:$E,MATCH("D",$D:$D,0),2))/COUNTIFS(Dados!$E:$E,$B110,Dados!$C:$C,INDEX(T$3,1,1),Dados!$A:$A,INDEX($D:$E,MATCH("D",$D:$D,0),2)))</f>
        <v/>
      </c>
      <c r="U110" s="68" t="str">
        <f>IF(COUNTIFS(Dados!$E:$E,$B110,Dados!$C:$C,INDEX(U$3,1,1),Dados!$A:$A,INDEX($D:$E,MATCH("D",$D:$D,0),2))=0,"",SUMIFS(Dados!$G:$G,Dados!$E:$E,$B110,Dados!$C:$C,INDEX(U$3,1,1),Dados!$A:$A,INDEX($D:$E,MATCH("D",$D:$D,0),2))/COUNTIFS(Dados!$E:$E,$B110,Dados!$C:$C,INDEX(U$3,1,1),Dados!$A:$A,INDEX($D:$E,MATCH("D",$D:$D,0),2)))</f>
        <v/>
      </c>
      <c r="V110" s="68" t="str">
        <f>IF(COUNTIFS(Dados!$E:$E,$B110,Dados!$C:$C,INDEX(V$3,1,1),Dados!$A:$A,INDEX($D:$E,MATCH("D",$D:$D,0),2))=0,"",SUMIFS(Dados!$G:$G,Dados!$E:$E,$B110,Dados!$C:$C,INDEX(V$3,1,1),Dados!$A:$A,INDEX($D:$E,MATCH("D",$D:$D,0),2))/COUNTIFS(Dados!$E:$E,$B110,Dados!$C:$C,INDEX(V$3,1,1),Dados!$A:$A,INDEX($D:$E,MATCH("D",$D:$D,0),2)))</f>
        <v/>
      </c>
    </row>
    <row r="111" spans="2:22" x14ac:dyDescent="0.25">
      <c r="B111" s="65" t="s">
        <v>1297</v>
      </c>
      <c r="C111" s="72">
        <f>VLOOKUP(B111,B4:C22,2,0)</f>
        <v>3</v>
      </c>
      <c r="D111" s="66" t="str">
        <f>IF(COUNTIFS(Dados!$E:$E,$B111,Dados!$C:$C,INDEX(D$3,1,1),Dados!$A:$A,INDEX($D:$E,MATCH("D",$D:$D,0),2))=0,"",SUMIFS(Dados!$G:$G,Dados!$E:$E,$B111,Dados!$C:$C,INDEX(D$3,1,1),Dados!$A:$A,INDEX($D:$E,MATCH("D",$D:$D,0),2))/COUNTIFS(Dados!$E:$E,$B111,Dados!$C:$C,INDEX(D$3,1,1),Dados!$A:$A,INDEX($D:$E,MATCH("D",$D:$D,0),2)))</f>
        <v/>
      </c>
      <c r="E111" s="66" t="str">
        <f>IF(COUNTIFS(Dados!$E:$E,$B111,Dados!$C:$C,INDEX(E$3,1,1),Dados!$A:$A,INDEX($D:$E,MATCH("D",$D:$D,0),2))=0,"",SUMIFS(Dados!$G:$G,Dados!$E:$E,$B111,Dados!$C:$C,INDEX(E$3,1,1),Dados!$A:$A,INDEX($D:$E,MATCH("D",$D:$D,0),2))/COUNTIFS(Dados!$E:$E,$B111,Dados!$C:$C,INDEX(E$3,1,1),Dados!$A:$A,INDEX($D:$E,MATCH("D",$D:$D,0),2)))</f>
        <v/>
      </c>
      <c r="F111" s="66" t="str">
        <f>IF(COUNTIFS(Dados!$E:$E,$B111,Dados!$C:$C,INDEX(F$3,1,1),Dados!$A:$A,INDEX($D:$E,MATCH("D",$D:$D,0),2))=0,"",SUMIFS(Dados!$G:$G,Dados!$E:$E,$B111,Dados!$C:$C,INDEX(F$3,1,1),Dados!$A:$A,INDEX($D:$E,MATCH("D",$D:$D,0),2))/COUNTIFS(Dados!$E:$E,$B111,Dados!$C:$C,INDEX(F$3,1,1),Dados!$A:$A,INDEX($D:$E,MATCH("D",$D:$D,0),2)))</f>
        <v/>
      </c>
      <c r="G111" s="66" t="str">
        <f>IF(COUNTIFS(Dados!$E:$E,$B111,Dados!$C:$C,INDEX(G$3,1,1),Dados!$A:$A,INDEX($D:$E,MATCH("D",$D:$D,0),2))=0,"",SUMIFS(Dados!$G:$G,Dados!$E:$E,$B111,Dados!$C:$C,INDEX(G$3,1,1),Dados!$A:$A,INDEX($D:$E,MATCH("D",$D:$D,0),2))/COUNTIFS(Dados!$E:$E,$B111,Dados!$C:$C,INDEX(G$3,1,1),Dados!$A:$A,INDEX($D:$E,MATCH("D",$D:$D,0),2)))</f>
        <v/>
      </c>
      <c r="H111" s="66" t="str">
        <f>IF(COUNTIFS(Dados!$E:$E,$B111,Dados!$C:$C,INDEX(H$3,1,1),Dados!$A:$A,INDEX($D:$E,MATCH("D",$D:$D,0),2))=0,"",SUMIFS(Dados!$G:$G,Dados!$E:$E,$B111,Dados!$C:$C,INDEX(H$3,1,1),Dados!$A:$A,INDEX($D:$E,MATCH("D",$D:$D,0),2))/COUNTIFS(Dados!$E:$E,$B111,Dados!$C:$C,INDEX(H$3,1,1),Dados!$A:$A,INDEX($D:$E,MATCH("D",$D:$D,0),2)))</f>
        <v/>
      </c>
      <c r="I111" s="66" t="str">
        <f>IF(COUNTIFS(Dados!$E:$E,$B111,Dados!$C:$C,INDEX(I$3,1,1),Dados!$A:$A,INDEX($D:$E,MATCH("D",$D:$D,0),2))=0,"",SUMIFS(Dados!$G:$G,Dados!$E:$E,$B111,Dados!$C:$C,INDEX(I$3,1,1),Dados!$A:$A,INDEX($D:$E,MATCH("D",$D:$D,0),2))/COUNTIFS(Dados!$E:$E,$B111,Dados!$C:$C,INDEX(I$3,1,1),Dados!$A:$A,INDEX($D:$E,MATCH("D",$D:$D,0),2)))</f>
        <v/>
      </c>
      <c r="J111" s="66" t="str">
        <f>IF(COUNTIFS(Dados!$E:$E,$B111,Dados!$C:$C,INDEX(J$3,1,1),Dados!$A:$A,INDEX($D:$E,MATCH("D",$D:$D,0),2))=0,"",SUMIFS(Dados!$G:$G,Dados!$E:$E,$B111,Dados!$C:$C,INDEX(J$3,1,1),Dados!$A:$A,INDEX($D:$E,MATCH("D",$D:$D,0),2))/COUNTIFS(Dados!$E:$E,$B111,Dados!$C:$C,INDEX(J$3,1,1),Dados!$A:$A,INDEX($D:$E,MATCH("D",$D:$D,0),2)))</f>
        <v/>
      </c>
      <c r="K111" s="66" t="str">
        <f>IF(COUNTIFS(Dados!$E:$E,$B111,Dados!$C:$C,INDEX(K$3,1,1),Dados!$A:$A,INDEX($D:$E,MATCH("D",$D:$D,0),2))=0,"",SUMIFS(Dados!$G:$G,Dados!$E:$E,$B111,Dados!$C:$C,INDEX(K$3,1,1),Dados!$A:$A,INDEX($D:$E,MATCH("D",$D:$D,0),2))/COUNTIFS(Dados!$E:$E,$B111,Dados!$C:$C,INDEX(K$3,1,1),Dados!$A:$A,INDEX($D:$E,MATCH("D",$D:$D,0),2)))</f>
        <v/>
      </c>
      <c r="L111" s="66" t="str">
        <f>IF(COUNTIFS(Dados!$E:$E,$B111,Dados!$C:$C,INDEX(L$3,1,1),Dados!$A:$A,INDEX($D:$E,MATCH("D",$D:$D,0),2))=0,"",SUMIFS(Dados!$G:$G,Dados!$E:$E,$B111,Dados!$C:$C,INDEX(L$3,1,1),Dados!$A:$A,INDEX($D:$E,MATCH("D",$D:$D,0),2))/COUNTIFS(Dados!$E:$E,$B111,Dados!$C:$C,INDEX(L$3,1,1),Dados!$A:$A,INDEX($D:$E,MATCH("D",$D:$D,0),2)))</f>
        <v/>
      </c>
      <c r="M111" s="66" t="str">
        <f>IF(COUNTIFS(Dados!$E:$E,$B111,Dados!$C:$C,INDEX(M$3,1,1),Dados!$A:$A,INDEX($D:$E,MATCH("D",$D:$D,0),2))=0,"",SUMIFS(Dados!$G:$G,Dados!$E:$E,$B111,Dados!$C:$C,INDEX(M$3,1,1),Dados!$A:$A,INDEX($D:$E,MATCH("D",$D:$D,0),2))/COUNTIFS(Dados!$E:$E,$B111,Dados!$C:$C,INDEX(M$3,1,1),Dados!$A:$A,INDEX($D:$E,MATCH("D",$D:$D,0),2)))</f>
        <v/>
      </c>
      <c r="N111" s="66" t="str">
        <f>IF(COUNTIFS(Dados!$E:$E,$B111,Dados!$C:$C,INDEX(N$3,1,1),Dados!$A:$A,INDEX($D:$E,MATCH("D",$D:$D,0),2))=0,"",SUMIFS(Dados!$G:$G,Dados!$E:$E,$B111,Dados!$C:$C,INDEX(N$3,1,1),Dados!$A:$A,INDEX($D:$E,MATCH("D",$D:$D,0),2))/COUNTIFS(Dados!$E:$E,$B111,Dados!$C:$C,INDEX(N$3,1,1),Dados!$A:$A,INDEX($D:$E,MATCH("D",$D:$D,0),2)))</f>
        <v/>
      </c>
      <c r="O111" s="66" t="str">
        <f>IF(COUNTIFS(Dados!$E:$E,$B111,Dados!$C:$C,INDEX(O$3,1,1),Dados!$A:$A,INDEX($D:$E,MATCH("D",$D:$D,0),2))=0,"",SUMIFS(Dados!$G:$G,Dados!$E:$E,$B111,Dados!$C:$C,INDEX(O$3,1,1),Dados!$A:$A,INDEX($D:$E,MATCH("D",$D:$D,0),2))/COUNTIFS(Dados!$E:$E,$B111,Dados!$C:$C,INDEX(O$3,1,1),Dados!$A:$A,INDEX($D:$E,MATCH("D",$D:$D,0),2)))</f>
        <v/>
      </c>
      <c r="P111" s="66" t="str">
        <f>IF(COUNTIFS(Dados!$E:$E,$B111,Dados!$C:$C,INDEX(P$3,1,1),Dados!$A:$A,INDEX($D:$E,MATCH("D",$D:$D,0),2))=0,"",SUMIFS(Dados!$G:$G,Dados!$E:$E,$B111,Dados!$C:$C,INDEX(P$3,1,1),Dados!$A:$A,INDEX($D:$E,MATCH("D",$D:$D,0),2))/COUNTIFS(Dados!$E:$E,$B111,Dados!$C:$C,INDEX(P$3,1,1),Dados!$A:$A,INDEX($D:$E,MATCH("D",$D:$D,0),2)))</f>
        <v/>
      </c>
      <c r="Q111" s="66" t="str">
        <f>IF(COUNTIFS(Dados!$E:$E,$B111,Dados!$C:$C,INDEX(Q$3,1,1),Dados!$A:$A,INDEX($D:$E,MATCH("D",$D:$D,0),2))=0,"",SUMIFS(Dados!$G:$G,Dados!$E:$E,$B111,Dados!$C:$C,INDEX(Q$3,1,1),Dados!$A:$A,INDEX($D:$E,MATCH("D",$D:$D,0),2))/COUNTIFS(Dados!$E:$E,$B111,Dados!$C:$C,INDEX(Q$3,1,1),Dados!$A:$A,INDEX($D:$E,MATCH("D",$D:$D,0),2)))</f>
        <v/>
      </c>
      <c r="R111" s="66" t="str">
        <f>IF(COUNTIFS(Dados!$E:$E,$B111,Dados!$C:$C,INDEX(R$3,1,1),Dados!$A:$A,INDEX($D:$E,MATCH("D",$D:$D,0),2))=0,"",SUMIFS(Dados!$G:$G,Dados!$E:$E,$B111,Dados!$C:$C,INDEX(R$3,1,1),Dados!$A:$A,INDEX($D:$E,MATCH("D",$D:$D,0),2))/COUNTIFS(Dados!$E:$E,$B111,Dados!$C:$C,INDEX(R$3,1,1),Dados!$A:$A,INDEX($D:$E,MATCH("D",$D:$D,0),2)))</f>
        <v/>
      </c>
      <c r="S111" s="66" t="str">
        <f>IF(COUNTIFS(Dados!$E:$E,$B111,Dados!$C:$C,INDEX(S$3,1,1),Dados!$A:$A,INDEX($D:$E,MATCH("D",$D:$D,0),2))=0,"",SUMIFS(Dados!$G:$G,Dados!$E:$E,$B111,Dados!$C:$C,INDEX(S$3,1,1),Dados!$A:$A,INDEX($D:$E,MATCH("D",$D:$D,0),2))/COUNTIFS(Dados!$E:$E,$B111,Dados!$C:$C,INDEX(S$3,1,1),Dados!$A:$A,INDEX($D:$E,MATCH("D",$D:$D,0),2)))</f>
        <v/>
      </c>
      <c r="T111" s="66" t="str">
        <f>IF(COUNTIFS(Dados!$E:$E,$B111,Dados!$C:$C,INDEX(T$3,1,1),Dados!$A:$A,INDEX($D:$E,MATCH("D",$D:$D,0),2))=0,"",SUMIFS(Dados!$G:$G,Dados!$E:$E,$B111,Dados!$C:$C,INDEX(T$3,1,1),Dados!$A:$A,INDEX($D:$E,MATCH("D",$D:$D,0),2))/COUNTIFS(Dados!$E:$E,$B111,Dados!$C:$C,INDEX(T$3,1,1),Dados!$A:$A,INDEX($D:$E,MATCH("D",$D:$D,0),2)))</f>
        <v/>
      </c>
      <c r="U111" s="66" t="str">
        <f>IF(COUNTIFS(Dados!$E:$E,$B111,Dados!$C:$C,INDEX(U$3,1,1),Dados!$A:$A,INDEX($D:$E,MATCH("D",$D:$D,0),2))=0,"",SUMIFS(Dados!$G:$G,Dados!$E:$E,$B111,Dados!$C:$C,INDEX(U$3,1,1),Dados!$A:$A,INDEX($D:$E,MATCH("D",$D:$D,0),2))/COUNTIFS(Dados!$E:$E,$B111,Dados!$C:$C,INDEX(U$3,1,1),Dados!$A:$A,INDEX($D:$E,MATCH("D",$D:$D,0),2)))</f>
        <v/>
      </c>
      <c r="V111" s="66" t="str">
        <f>IF(COUNTIFS(Dados!$E:$E,$B111,Dados!$C:$C,INDEX(V$3,1,1),Dados!$A:$A,INDEX($D:$E,MATCH("D",$D:$D,0),2))=0,"",SUMIFS(Dados!$G:$G,Dados!$E:$E,$B111,Dados!$C:$C,INDEX(V$3,1,1),Dados!$A:$A,INDEX($D:$E,MATCH("D",$D:$D,0),2))/COUNTIFS(Dados!$E:$E,$B111,Dados!$C:$C,INDEX(V$3,1,1),Dados!$A:$A,INDEX($D:$E,MATCH("D",$D:$D,0),2)))</f>
        <v/>
      </c>
    </row>
    <row r="112" spans="2:22" x14ac:dyDescent="0.25">
      <c r="B112" s="67" t="s">
        <v>1303</v>
      </c>
      <c r="C112" s="71">
        <f>VLOOKUP(B112,B4:C22,2,0)</f>
        <v>4</v>
      </c>
      <c r="D112" s="68" t="str">
        <f>IF(COUNTIFS(Dados!$E:$E,$B112,Dados!$C:$C,INDEX(D$3,1,1),Dados!$A:$A,INDEX($D:$E,MATCH("D",$D:$D,0),2))=0,"",SUMIFS(Dados!$G:$G,Dados!$E:$E,$B112,Dados!$C:$C,INDEX(D$3,1,1),Dados!$A:$A,INDEX($D:$E,MATCH("D",$D:$D,0),2))/COUNTIFS(Dados!$E:$E,$B112,Dados!$C:$C,INDEX(D$3,1,1),Dados!$A:$A,INDEX($D:$E,MATCH("D",$D:$D,0),2)))</f>
        <v/>
      </c>
      <c r="E112" s="68" t="str">
        <f>IF(COUNTIFS(Dados!$E:$E,$B112,Dados!$C:$C,INDEX(E$3,1,1),Dados!$A:$A,INDEX($D:$E,MATCH("D",$D:$D,0),2))=0,"",SUMIFS(Dados!$G:$G,Dados!$E:$E,$B112,Dados!$C:$C,INDEX(E$3,1,1),Dados!$A:$A,INDEX($D:$E,MATCH("D",$D:$D,0),2))/COUNTIFS(Dados!$E:$E,$B112,Dados!$C:$C,INDEX(E$3,1,1),Dados!$A:$A,INDEX($D:$E,MATCH("D",$D:$D,0),2)))</f>
        <v/>
      </c>
      <c r="F112" s="68" t="str">
        <f>IF(COUNTIFS(Dados!$E:$E,$B112,Dados!$C:$C,INDEX(F$3,1,1),Dados!$A:$A,INDEX($D:$E,MATCH("D",$D:$D,0),2))=0,"",SUMIFS(Dados!$G:$G,Dados!$E:$E,$B112,Dados!$C:$C,INDEX(F$3,1,1),Dados!$A:$A,INDEX($D:$E,MATCH("D",$D:$D,0),2))/COUNTIFS(Dados!$E:$E,$B112,Dados!$C:$C,INDEX(F$3,1,1),Dados!$A:$A,INDEX($D:$E,MATCH("D",$D:$D,0),2)))</f>
        <v/>
      </c>
      <c r="G112" s="68" t="str">
        <f>IF(COUNTIFS(Dados!$E:$E,$B112,Dados!$C:$C,INDEX(G$3,1,1),Dados!$A:$A,INDEX($D:$E,MATCH("D",$D:$D,0),2))=0,"",SUMIFS(Dados!$G:$G,Dados!$E:$E,$B112,Dados!$C:$C,INDEX(G$3,1,1),Dados!$A:$A,INDEX($D:$E,MATCH("D",$D:$D,0),2))/COUNTIFS(Dados!$E:$E,$B112,Dados!$C:$C,INDEX(G$3,1,1),Dados!$A:$A,INDEX($D:$E,MATCH("D",$D:$D,0),2)))</f>
        <v/>
      </c>
      <c r="H112" s="68" t="str">
        <f>IF(COUNTIFS(Dados!$E:$E,$B112,Dados!$C:$C,INDEX(H$3,1,1),Dados!$A:$A,INDEX($D:$E,MATCH("D",$D:$D,0),2))=0,"",SUMIFS(Dados!$G:$G,Dados!$E:$E,$B112,Dados!$C:$C,INDEX(H$3,1,1),Dados!$A:$A,INDEX($D:$E,MATCH("D",$D:$D,0),2))/COUNTIFS(Dados!$E:$E,$B112,Dados!$C:$C,INDEX(H$3,1,1),Dados!$A:$A,INDEX($D:$E,MATCH("D",$D:$D,0),2)))</f>
        <v/>
      </c>
      <c r="I112" s="68" t="str">
        <f>IF(COUNTIFS(Dados!$E:$E,$B112,Dados!$C:$C,INDEX(I$3,1,1),Dados!$A:$A,INDEX($D:$E,MATCH("D",$D:$D,0),2))=0,"",SUMIFS(Dados!$G:$G,Dados!$E:$E,$B112,Dados!$C:$C,INDEX(I$3,1,1),Dados!$A:$A,INDEX($D:$E,MATCH("D",$D:$D,0),2))/COUNTIFS(Dados!$E:$E,$B112,Dados!$C:$C,INDEX(I$3,1,1),Dados!$A:$A,INDEX($D:$E,MATCH("D",$D:$D,0),2)))</f>
        <v/>
      </c>
      <c r="J112" s="68" t="str">
        <f>IF(COUNTIFS(Dados!$E:$E,$B112,Dados!$C:$C,INDEX(J$3,1,1),Dados!$A:$A,INDEX($D:$E,MATCH("D",$D:$D,0),2))=0,"",SUMIFS(Dados!$G:$G,Dados!$E:$E,$B112,Dados!$C:$C,INDEX(J$3,1,1),Dados!$A:$A,INDEX($D:$E,MATCH("D",$D:$D,0),2))/COUNTIFS(Dados!$E:$E,$B112,Dados!$C:$C,INDEX(J$3,1,1),Dados!$A:$A,INDEX($D:$E,MATCH("D",$D:$D,0),2)))</f>
        <v/>
      </c>
      <c r="K112" s="68" t="str">
        <f>IF(COUNTIFS(Dados!$E:$E,$B112,Dados!$C:$C,INDEX(K$3,1,1),Dados!$A:$A,INDEX($D:$E,MATCH("D",$D:$D,0),2))=0,"",SUMIFS(Dados!$G:$G,Dados!$E:$E,$B112,Dados!$C:$C,INDEX(K$3,1,1),Dados!$A:$A,INDEX($D:$E,MATCH("D",$D:$D,0),2))/COUNTIFS(Dados!$E:$E,$B112,Dados!$C:$C,INDEX(K$3,1,1),Dados!$A:$A,INDEX($D:$E,MATCH("D",$D:$D,0),2)))</f>
        <v/>
      </c>
      <c r="L112" s="68" t="str">
        <f>IF(COUNTIFS(Dados!$E:$E,$B112,Dados!$C:$C,INDEX(L$3,1,1),Dados!$A:$A,INDEX($D:$E,MATCH("D",$D:$D,0),2))=0,"",SUMIFS(Dados!$G:$G,Dados!$E:$E,$B112,Dados!$C:$C,INDEX(L$3,1,1),Dados!$A:$A,INDEX($D:$E,MATCH("D",$D:$D,0),2))/COUNTIFS(Dados!$E:$E,$B112,Dados!$C:$C,INDEX(L$3,1,1),Dados!$A:$A,INDEX($D:$E,MATCH("D",$D:$D,0),2)))</f>
        <v/>
      </c>
      <c r="M112" s="68" t="str">
        <f>IF(COUNTIFS(Dados!$E:$E,$B112,Dados!$C:$C,INDEX(M$3,1,1),Dados!$A:$A,INDEX($D:$E,MATCH("D",$D:$D,0),2))=0,"",SUMIFS(Dados!$G:$G,Dados!$E:$E,$B112,Dados!$C:$C,INDEX(M$3,1,1),Dados!$A:$A,INDEX($D:$E,MATCH("D",$D:$D,0),2))/COUNTIFS(Dados!$E:$E,$B112,Dados!$C:$C,INDEX(M$3,1,1),Dados!$A:$A,INDEX($D:$E,MATCH("D",$D:$D,0),2)))</f>
        <v/>
      </c>
      <c r="N112" s="68" t="str">
        <f>IF(COUNTIFS(Dados!$E:$E,$B112,Dados!$C:$C,INDEX(N$3,1,1),Dados!$A:$A,INDEX($D:$E,MATCH("D",$D:$D,0),2))=0,"",SUMIFS(Dados!$G:$G,Dados!$E:$E,$B112,Dados!$C:$C,INDEX(N$3,1,1),Dados!$A:$A,INDEX($D:$E,MATCH("D",$D:$D,0),2))/COUNTIFS(Dados!$E:$E,$B112,Dados!$C:$C,INDEX(N$3,1,1),Dados!$A:$A,INDEX($D:$E,MATCH("D",$D:$D,0),2)))</f>
        <v/>
      </c>
      <c r="O112" s="68" t="str">
        <f>IF(COUNTIFS(Dados!$E:$E,$B112,Dados!$C:$C,INDEX(O$3,1,1),Dados!$A:$A,INDEX($D:$E,MATCH("D",$D:$D,0),2))=0,"",SUMIFS(Dados!$G:$G,Dados!$E:$E,$B112,Dados!$C:$C,INDEX(O$3,1,1),Dados!$A:$A,INDEX($D:$E,MATCH("D",$D:$D,0),2))/COUNTIFS(Dados!$E:$E,$B112,Dados!$C:$C,INDEX(O$3,1,1),Dados!$A:$A,INDEX($D:$E,MATCH("D",$D:$D,0),2)))</f>
        <v/>
      </c>
      <c r="P112" s="68" t="str">
        <f>IF(COUNTIFS(Dados!$E:$E,$B112,Dados!$C:$C,INDEX(P$3,1,1),Dados!$A:$A,INDEX($D:$E,MATCH("D",$D:$D,0),2))=0,"",SUMIFS(Dados!$G:$G,Dados!$E:$E,$B112,Dados!$C:$C,INDEX(P$3,1,1),Dados!$A:$A,INDEX($D:$E,MATCH("D",$D:$D,0),2))/COUNTIFS(Dados!$E:$E,$B112,Dados!$C:$C,INDEX(P$3,1,1),Dados!$A:$A,INDEX($D:$E,MATCH("D",$D:$D,0),2)))</f>
        <v/>
      </c>
      <c r="Q112" s="68" t="str">
        <f>IF(COUNTIFS(Dados!$E:$E,$B112,Dados!$C:$C,INDEX(Q$3,1,1),Dados!$A:$A,INDEX($D:$E,MATCH("D",$D:$D,0),2))=0,"",SUMIFS(Dados!$G:$G,Dados!$E:$E,$B112,Dados!$C:$C,INDEX(Q$3,1,1),Dados!$A:$A,INDEX($D:$E,MATCH("D",$D:$D,0),2))/COUNTIFS(Dados!$E:$E,$B112,Dados!$C:$C,INDEX(Q$3,1,1),Dados!$A:$A,INDEX($D:$E,MATCH("D",$D:$D,0),2)))</f>
        <v/>
      </c>
      <c r="R112" s="68" t="str">
        <f>IF(COUNTIFS(Dados!$E:$E,$B112,Dados!$C:$C,INDEX(R$3,1,1),Dados!$A:$A,INDEX($D:$E,MATCH("D",$D:$D,0),2))=0,"",SUMIFS(Dados!$G:$G,Dados!$E:$E,$B112,Dados!$C:$C,INDEX(R$3,1,1),Dados!$A:$A,INDEX($D:$E,MATCH("D",$D:$D,0),2))/COUNTIFS(Dados!$E:$E,$B112,Dados!$C:$C,INDEX(R$3,1,1),Dados!$A:$A,INDEX($D:$E,MATCH("D",$D:$D,0),2)))</f>
        <v/>
      </c>
      <c r="S112" s="68" t="str">
        <f>IF(COUNTIFS(Dados!$E:$E,$B112,Dados!$C:$C,INDEX(S$3,1,1),Dados!$A:$A,INDEX($D:$E,MATCH("D",$D:$D,0),2))=0,"",SUMIFS(Dados!$G:$G,Dados!$E:$E,$B112,Dados!$C:$C,INDEX(S$3,1,1),Dados!$A:$A,INDEX($D:$E,MATCH("D",$D:$D,0),2))/COUNTIFS(Dados!$E:$E,$B112,Dados!$C:$C,INDEX(S$3,1,1),Dados!$A:$A,INDEX($D:$E,MATCH("D",$D:$D,0),2)))</f>
        <v/>
      </c>
      <c r="T112" s="68" t="str">
        <f>IF(COUNTIFS(Dados!$E:$E,$B112,Dados!$C:$C,INDEX(T$3,1,1),Dados!$A:$A,INDEX($D:$E,MATCH("D",$D:$D,0),2))=0,"",SUMIFS(Dados!$G:$G,Dados!$E:$E,$B112,Dados!$C:$C,INDEX(T$3,1,1),Dados!$A:$A,INDEX($D:$E,MATCH("D",$D:$D,0),2))/COUNTIFS(Dados!$E:$E,$B112,Dados!$C:$C,INDEX(T$3,1,1),Dados!$A:$A,INDEX($D:$E,MATCH("D",$D:$D,0),2)))</f>
        <v/>
      </c>
      <c r="U112" s="68" t="str">
        <f>IF(COUNTIFS(Dados!$E:$E,$B112,Dados!$C:$C,INDEX(U$3,1,1),Dados!$A:$A,INDEX($D:$E,MATCH("D",$D:$D,0),2))=0,"",SUMIFS(Dados!$G:$G,Dados!$E:$E,$B112,Dados!$C:$C,INDEX(U$3,1,1),Dados!$A:$A,INDEX($D:$E,MATCH("D",$D:$D,0),2))/COUNTIFS(Dados!$E:$E,$B112,Dados!$C:$C,INDEX(U$3,1,1),Dados!$A:$A,INDEX($D:$E,MATCH("D",$D:$D,0),2)))</f>
        <v/>
      </c>
      <c r="V112" s="68" t="str">
        <f>IF(COUNTIFS(Dados!$E:$E,$B112,Dados!$C:$C,INDEX(V$3,1,1),Dados!$A:$A,INDEX($D:$E,MATCH("D",$D:$D,0),2))=0,"",SUMIFS(Dados!$G:$G,Dados!$E:$E,$B112,Dados!$C:$C,INDEX(V$3,1,1),Dados!$A:$A,INDEX($D:$E,MATCH("D",$D:$D,0),2))/COUNTIFS(Dados!$E:$E,$B112,Dados!$C:$C,INDEX(V$3,1,1),Dados!$A:$A,INDEX($D:$E,MATCH("D",$D:$D,0),2)))</f>
        <v/>
      </c>
    </row>
    <row r="113" spans="2:22" x14ac:dyDescent="0.25">
      <c r="B113" s="65" t="s">
        <v>1304</v>
      </c>
      <c r="C113" s="72">
        <f>VLOOKUP(B113,B4:C22,2,0)</f>
        <v>5</v>
      </c>
      <c r="D113" s="66" t="str">
        <f>IF(COUNTIFS(Dados!$E:$E,$B113,Dados!$C:$C,INDEX(D$3,1,1),Dados!$A:$A,INDEX($D:$E,MATCH("D",$D:$D,0),2))=0,"",SUMIFS(Dados!$G:$G,Dados!$E:$E,$B113,Dados!$C:$C,INDEX(D$3,1,1),Dados!$A:$A,INDEX($D:$E,MATCH("D",$D:$D,0),2))/COUNTIFS(Dados!$E:$E,$B113,Dados!$C:$C,INDEX(D$3,1,1),Dados!$A:$A,INDEX($D:$E,MATCH("D",$D:$D,0),2)))</f>
        <v/>
      </c>
      <c r="E113" s="66" t="str">
        <f>IF(COUNTIFS(Dados!$E:$E,$B113,Dados!$C:$C,INDEX(E$3,1,1),Dados!$A:$A,INDEX($D:$E,MATCH("D",$D:$D,0),2))=0,"",SUMIFS(Dados!$G:$G,Dados!$E:$E,$B113,Dados!$C:$C,INDEX(E$3,1,1),Dados!$A:$A,INDEX($D:$E,MATCH("D",$D:$D,0),2))/COUNTIFS(Dados!$E:$E,$B113,Dados!$C:$C,INDEX(E$3,1,1),Dados!$A:$A,INDEX($D:$E,MATCH("D",$D:$D,0),2)))</f>
        <v/>
      </c>
      <c r="F113" s="66" t="str">
        <f>IF(COUNTIFS(Dados!$E:$E,$B113,Dados!$C:$C,INDEX(F$3,1,1),Dados!$A:$A,INDEX($D:$E,MATCH("D",$D:$D,0),2))=0,"",SUMIFS(Dados!$G:$G,Dados!$E:$E,$B113,Dados!$C:$C,INDEX(F$3,1,1),Dados!$A:$A,INDEX($D:$E,MATCH("D",$D:$D,0),2))/COUNTIFS(Dados!$E:$E,$B113,Dados!$C:$C,INDEX(F$3,1,1),Dados!$A:$A,INDEX($D:$E,MATCH("D",$D:$D,0),2)))</f>
        <v/>
      </c>
      <c r="G113" s="66" t="str">
        <f>IF(COUNTIFS(Dados!$E:$E,$B113,Dados!$C:$C,INDEX(G$3,1,1),Dados!$A:$A,INDEX($D:$E,MATCH("D",$D:$D,0),2))=0,"",SUMIFS(Dados!$G:$G,Dados!$E:$E,$B113,Dados!$C:$C,INDEX(G$3,1,1),Dados!$A:$A,INDEX($D:$E,MATCH("D",$D:$D,0),2))/COUNTIFS(Dados!$E:$E,$B113,Dados!$C:$C,INDEX(G$3,1,1),Dados!$A:$A,INDEX($D:$E,MATCH("D",$D:$D,0),2)))</f>
        <v/>
      </c>
      <c r="H113" s="66" t="str">
        <f>IF(COUNTIFS(Dados!$E:$E,$B113,Dados!$C:$C,INDEX(H$3,1,1),Dados!$A:$A,INDEX($D:$E,MATCH("D",$D:$D,0),2))=0,"",SUMIFS(Dados!$G:$G,Dados!$E:$E,$B113,Dados!$C:$C,INDEX(H$3,1,1),Dados!$A:$A,INDEX($D:$E,MATCH("D",$D:$D,0),2))/COUNTIFS(Dados!$E:$E,$B113,Dados!$C:$C,INDEX(H$3,1,1),Dados!$A:$A,INDEX($D:$E,MATCH("D",$D:$D,0),2)))</f>
        <v/>
      </c>
      <c r="I113" s="66" t="str">
        <f>IF(COUNTIFS(Dados!$E:$E,$B113,Dados!$C:$C,INDEX(I$3,1,1),Dados!$A:$A,INDEX($D:$E,MATCH("D",$D:$D,0),2))=0,"",SUMIFS(Dados!$G:$G,Dados!$E:$E,$B113,Dados!$C:$C,INDEX(I$3,1,1),Dados!$A:$A,INDEX($D:$E,MATCH("D",$D:$D,0),2))/COUNTIFS(Dados!$E:$E,$B113,Dados!$C:$C,INDEX(I$3,1,1),Dados!$A:$A,INDEX($D:$E,MATCH("D",$D:$D,0),2)))</f>
        <v/>
      </c>
      <c r="J113" s="66" t="str">
        <f>IF(COUNTIFS(Dados!$E:$E,$B113,Dados!$C:$C,INDEX(J$3,1,1),Dados!$A:$A,INDEX($D:$E,MATCH("D",$D:$D,0),2))=0,"",SUMIFS(Dados!$G:$G,Dados!$E:$E,$B113,Dados!$C:$C,INDEX(J$3,1,1),Dados!$A:$A,INDEX($D:$E,MATCH("D",$D:$D,0),2))/COUNTIFS(Dados!$E:$E,$B113,Dados!$C:$C,INDEX(J$3,1,1),Dados!$A:$A,INDEX($D:$E,MATCH("D",$D:$D,0),2)))</f>
        <v/>
      </c>
      <c r="K113" s="66" t="str">
        <f>IF(COUNTIFS(Dados!$E:$E,$B113,Dados!$C:$C,INDEX(K$3,1,1),Dados!$A:$A,INDEX($D:$E,MATCH("D",$D:$D,0),2))=0,"",SUMIFS(Dados!$G:$G,Dados!$E:$E,$B113,Dados!$C:$C,INDEX(K$3,1,1),Dados!$A:$A,INDEX($D:$E,MATCH("D",$D:$D,0),2))/COUNTIFS(Dados!$E:$E,$B113,Dados!$C:$C,INDEX(K$3,1,1),Dados!$A:$A,INDEX($D:$E,MATCH("D",$D:$D,0),2)))</f>
        <v/>
      </c>
      <c r="L113" s="66" t="str">
        <f>IF(COUNTIFS(Dados!$E:$E,$B113,Dados!$C:$C,INDEX(L$3,1,1),Dados!$A:$A,INDEX($D:$E,MATCH("D",$D:$D,0),2))=0,"",SUMIFS(Dados!$G:$G,Dados!$E:$E,$B113,Dados!$C:$C,INDEX(L$3,1,1),Dados!$A:$A,INDEX($D:$E,MATCH("D",$D:$D,0),2))/COUNTIFS(Dados!$E:$E,$B113,Dados!$C:$C,INDEX(L$3,1,1),Dados!$A:$A,INDEX($D:$E,MATCH("D",$D:$D,0),2)))</f>
        <v/>
      </c>
      <c r="M113" s="66" t="str">
        <f>IF(COUNTIFS(Dados!$E:$E,$B113,Dados!$C:$C,INDEX(M$3,1,1),Dados!$A:$A,INDEX($D:$E,MATCH("D",$D:$D,0),2))=0,"",SUMIFS(Dados!$G:$G,Dados!$E:$E,$B113,Dados!$C:$C,INDEX(M$3,1,1),Dados!$A:$A,INDEX($D:$E,MATCH("D",$D:$D,0),2))/COUNTIFS(Dados!$E:$E,$B113,Dados!$C:$C,INDEX(M$3,1,1),Dados!$A:$A,INDEX($D:$E,MATCH("D",$D:$D,0),2)))</f>
        <v/>
      </c>
      <c r="N113" s="66" t="str">
        <f>IF(COUNTIFS(Dados!$E:$E,$B113,Dados!$C:$C,INDEX(N$3,1,1),Dados!$A:$A,INDEX($D:$E,MATCH("D",$D:$D,0),2))=0,"",SUMIFS(Dados!$G:$G,Dados!$E:$E,$B113,Dados!$C:$C,INDEX(N$3,1,1),Dados!$A:$A,INDEX($D:$E,MATCH("D",$D:$D,0),2))/COUNTIFS(Dados!$E:$E,$B113,Dados!$C:$C,INDEX(N$3,1,1),Dados!$A:$A,INDEX($D:$E,MATCH("D",$D:$D,0),2)))</f>
        <v/>
      </c>
      <c r="O113" s="66" t="str">
        <f>IF(COUNTIFS(Dados!$E:$E,$B113,Dados!$C:$C,INDEX(O$3,1,1),Dados!$A:$A,INDEX($D:$E,MATCH("D",$D:$D,0),2))=0,"",SUMIFS(Dados!$G:$G,Dados!$E:$E,$B113,Dados!$C:$C,INDEX(O$3,1,1),Dados!$A:$A,INDEX($D:$E,MATCH("D",$D:$D,0),2))/COUNTIFS(Dados!$E:$E,$B113,Dados!$C:$C,INDEX(O$3,1,1),Dados!$A:$A,INDEX($D:$E,MATCH("D",$D:$D,0),2)))</f>
        <v/>
      </c>
      <c r="P113" s="66" t="str">
        <f>IF(COUNTIFS(Dados!$E:$E,$B113,Dados!$C:$C,INDEX(P$3,1,1),Dados!$A:$A,INDEX($D:$E,MATCH("D",$D:$D,0),2))=0,"",SUMIFS(Dados!$G:$G,Dados!$E:$E,$B113,Dados!$C:$C,INDEX(P$3,1,1),Dados!$A:$A,INDEX($D:$E,MATCH("D",$D:$D,0),2))/COUNTIFS(Dados!$E:$E,$B113,Dados!$C:$C,INDEX(P$3,1,1),Dados!$A:$A,INDEX($D:$E,MATCH("D",$D:$D,0),2)))</f>
        <v/>
      </c>
      <c r="Q113" s="66" t="str">
        <f>IF(COUNTIFS(Dados!$E:$E,$B113,Dados!$C:$C,INDEX(Q$3,1,1),Dados!$A:$A,INDEX($D:$E,MATCH("D",$D:$D,0),2))=0,"",SUMIFS(Dados!$G:$G,Dados!$E:$E,$B113,Dados!$C:$C,INDEX(Q$3,1,1),Dados!$A:$A,INDEX($D:$E,MATCH("D",$D:$D,0),2))/COUNTIFS(Dados!$E:$E,$B113,Dados!$C:$C,INDEX(Q$3,1,1),Dados!$A:$A,INDEX($D:$E,MATCH("D",$D:$D,0),2)))</f>
        <v/>
      </c>
      <c r="R113" s="66" t="str">
        <f>IF(COUNTIFS(Dados!$E:$E,$B113,Dados!$C:$C,INDEX(R$3,1,1),Dados!$A:$A,INDEX($D:$E,MATCH("D",$D:$D,0),2))=0,"",SUMIFS(Dados!$G:$G,Dados!$E:$E,$B113,Dados!$C:$C,INDEX(R$3,1,1),Dados!$A:$A,INDEX($D:$E,MATCH("D",$D:$D,0),2))/COUNTIFS(Dados!$E:$E,$B113,Dados!$C:$C,INDEX(R$3,1,1),Dados!$A:$A,INDEX($D:$E,MATCH("D",$D:$D,0),2)))</f>
        <v/>
      </c>
      <c r="S113" s="66" t="str">
        <f>IF(COUNTIFS(Dados!$E:$E,$B113,Dados!$C:$C,INDEX(S$3,1,1),Dados!$A:$A,INDEX($D:$E,MATCH("D",$D:$D,0),2))=0,"",SUMIFS(Dados!$G:$G,Dados!$E:$E,$B113,Dados!$C:$C,INDEX(S$3,1,1),Dados!$A:$A,INDEX($D:$E,MATCH("D",$D:$D,0),2))/COUNTIFS(Dados!$E:$E,$B113,Dados!$C:$C,INDEX(S$3,1,1),Dados!$A:$A,INDEX($D:$E,MATCH("D",$D:$D,0),2)))</f>
        <v/>
      </c>
      <c r="T113" s="66" t="str">
        <f>IF(COUNTIFS(Dados!$E:$E,$B113,Dados!$C:$C,INDEX(T$3,1,1),Dados!$A:$A,INDEX($D:$E,MATCH("D",$D:$D,0),2))=0,"",SUMIFS(Dados!$G:$G,Dados!$E:$E,$B113,Dados!$C:$C,INDEX(T$3,1,1),Dados!$A:$A,INDEX($D:$E,MATCH("D",$D:$D,0),2))/COUNTIFS(Dados!$E:$E,$B113,Dados!$C:$C,INDEX(T$3,1,1),Dados!$A:$A,INDEX($D:$E,MATCH("D",$D:$D,0),2)))</f>
        <v/>
      </c>
      <c r="U113" s="66" t="str">
        <f>IF(COUNTIFS(Dados!$E:$E,$B113,Dados!$C:$C,INDEX(U$3,1,1),Dados!$A:$A,INDEX($D:$E,MATCH("D",$D:$D,0),2))=0,"",SUMIFS(Dados!$G:$G,Dados!$E:$E,$B113,Dados!$C:$C,INDEX(U$3,1,1),Dados!$A:$A,INDEX($D:$E,MATCH("D",$D:$D,0),2))/COUNTIFS(Dados!$E:$E,$B113,Dados!$C:$C,INDEX(U$3,1,1),Dados!$A:$A,INDEX($D:$E,MATCH("D",$D:$D,0),2)))</f>
        <v/>
      </c>
      <c r="V113" s="66" t="str">
        <f>IF(COUNTIFS(Dados!$E:$E,$B113,Dados!$C:$C,INDEX(V$3,1,1),Dados!$A:$A,INDEX($D:$E,MATCH("D",$D:$D,0),2))=0,"",SUMIFS(Dados!$G:$G,Dados!$E:$E,$B113,Dados!$C:$C,INDEX(V$3,1,1),Dados!$A:$A,INDEX($D:$E,MATCH("D",$D:$D,0),2))/COUNTIFS(Dados!$E:$E,$B113,Dados!$C:$C,INDEX(V$3,1,1),Dados!$A:$A,INDEX($D:$E,MATCH("D",$D:$D,0),2)))</f>
        <v/>
      </c>
    </row>
    <row r="114" spans="2:22" x14ac:dyDescent="0.25">
      <c r="B114" s="67" t="s">
        <v>1298</v>
      </c>
      <c r="C114" s="71">
        <f>VLOOKUP(B114,B4:C22,2,0)</f>
        <v>6</v>
      </c>
      <c r="D114" s="68" t="str">
        <f>IF(COUNTIFS(Dados!$E:$E,$B114,Dados!$C:$C,INDEX(D$3,1,1),Dados!$A:$A,INDEX($D:$E,MATCH("D",$D:$D,0),2))=0,"",SUMIFS(Dados!$G:$G,Dados!$E:$E,$B114,Dados!$C:$C,INDEX(D$3,1,1),Dados!$A:$A,INDEX($D:$E,MATCH("D",$D:$D,0),2))/COUNTIFS(Dados!$E:$E,$B114,Dados!$C:$C,INDEX(D$3,1,1),Dados!$A:$A,INDEX($D:$E,MATCH("D",$D:$D,0),2)))</f>
        <v/>
      </c>
      <c r="E114" s="68" t="str">
        <f>IF(COUNTIFS(Dados!$E:$E,$B114,Dados!$C:$C,INDEX(E$3,1,1),Dados!$A:$A,INDEX($D:$E,MATCH("D",$D:$D,0),2))=0,"",SUMIFS(Dados!$G:$G,Dados!$E:$E,$B114,Dados!$C:$C,INDEX(E$3,1,1),Dados!$A:$A,INDEX($D:$E,MATCH("D",$D:$D,0),2))/COUNTIFS(Dados!$E:$E,$B114,Dados!$C:$C,INDEX(E$3,1,1),Dados!$A:$A,INDEX($D:$E,MATCH("D",$D:$D,0),2)))</f>
        <v/>
      </c>
      <c r="F114" s="68" t="str">
        <f>IF(COUNTIFS(Dados!$E:$E,$B114,Dados!$C:$C,INDEX(F$3,1,1),Dados!$A:$A,INDEX($D:$E,MATCH("D",$D:$D,0),2))=0,"",SUMIFS(Dados!$G:$G,Dados!$E:$E,$B114,Dados!$C:$C,INDEX(F$3,1,1),Dados!$A:$A,INDEX($D:$E,MATCH("D",$D:$D,0),2))/COUNTIFS(Dados!$E:$E,$B114,Dados!$C:$C,INDEX(F$3,1,1),Dados!$A:$A,INDEX($D:$E,MATCH("D",$D:$D,0),2)))</f>
        <v/>
      </c>
      <c r="G114" s="68" t="str">
        <f>IF(COUNTIFS(Dados!$E:$E,$B114,Dados!$C:$C,INDEX(G$3,1,1),Dados!$A:$A,INDEX($D:$E,MATCH("D",$D:$D,0),2))=0,"",SUMIFS(Dados!$G:$G,Dados!$E:$E,$B114,Dados!$C:$C,INDEX(G$3,1,1),Dados!$A:$A,INDEX($D:$E,MATCH("D",$D:$D,0),2))/COUNTIFS(Dados!$E:$E,$B114,Dados!$C:$C,INDEX(G$3,1,1),Dados!$A:$A,INDEX($D:$E,MATCH("D",$D:$D,0),2)))</f>
        <v/>
      </c>
      <c r="H114" s="68" t="str">
        <f>IF(COUNTIFS(Dados!$E:$E,$B114,Dados!$C:$C,INDEX(H$3,1,1),Dados!$A:$A,INDEX($D:$E,MATCH("D",$D:$D,0),2))=0,"",SUMIFS(Dados!$G:$G,Dados!$E:$E,$B114,Dados!$C:$C,INDEX(H$3,1,1),Dados!$A:$A,INDEX($D:$E,MATCH("D",$D:$D,0),2))/COUNTIFS(Dados!$E:$E,$B114,Dados!$C:$C,INDEX(H$3,1,1),Dados!$A:$A,INDEX($D:$E,MATCH("D",$D:$D,0),2)))</f>
        <v/>
      </c>
      <c r="I114" s="68" t="str">
        <f>IF(COUNTIFS(Dados!$E:$E,$B114,Dados!$C:$C,INDEX(I$3,1,1),Dados!$A:$A,INDEX($D:$E,MATCH("D",$D:$D,0),2))=0,"",SUMIFS(Dados!$G:$G,Dados!$E:$E,$B114,Dados!$C:$C,INDEX(I$3,1,1),Dados!$A:$A,INDEX($D:$E,MATCH("D",$D:$D,0),2))/COUNTIFS(Dados!$E:$E,$B114,Dados!$C:$C,INDEX(I$3,1,1),Dados!$A:$A,INDEX($D:$E,MATCH("D",$D:$D,0),2)))</f>
        <v/>
      </c>
      <c r="J114" s="68" t="str">
        <f>IF(COUNTIFS(Dados!$E:$E,$B114,Dados!$C:$C,INDEX(J$3,1,1),Dados!$A:$A,INDEX($D:$E,MATCH("D",$D:$D,0),2))=0,"",SUMIFS(Dados!$G:$G,Dados!$E:$E,$B114,Dados!$C:$C,INDEX(J$3,1,1),Dados!$A:$A,INDEX($D:$E,MATCH("D",$D:$D,0),2))/COUNTIFS(Dados!$E:$E,$B114,Dados!$C:$C,INDEX(J$3,1,1),Dados!$A:$A,INDEX($D:$E,MATCH("D",$D:$D,0),2)))</f>
        <v/>
      </c>
      <c r="K114" s="68" t="str">
        <f>IF(COUNTIFS(Dados!$E:$E,$B114,Dados!$C:$C,INDEX(K$3,1,1),Dados!$A:$A,INDEX($D:$E,MATCH("D",$D:$D,0),2))=0,"",SUMIFS(Dados!$G:$G,Dados!$E:$E,$B114,Dados!$C:$C,INDEX(K$3,1,1),Dados!$A:$A,INDEX($D:$E,MATCH("D",$D:$D,0),2))/COUNTIFS(Dados!$E:$E,$B114,Dados!$C:$C,INDEX(K$3,1,1),Dados!$A:$A,INDEX($D:$E,MATCH("D",$D:$D,0),2)))</f>
        <v/>
      </c>
      <c r="L114" s="68" t="str">
        <f>IF(COUNTIFS(Dados!$E:$E,$B114,Dados!$C:$C,INDEX(L$3,1,1),Dados!$A:$A,INDEX($D:$E,MATCH("D",$D:$D,0),2))=0,"",SUMIFS(Dados!$G:$G,Dados!$E:$E,$B114,Dados!$C:$C,INDEX(L$3,1,1),Dados!$A:$A,INDEX($D:$E,MATCH("D",$D:$D,0),2))/COUNTIFS(Dados!$E:$E,$B114,Dados!$C:$C,INDEX(L$3,1,1),Dados!$A:$A,INDEX($D:$E,MATCH("D",$D:$D,0),2)))</f>
        <v/>
      </c>
      <c r="M114" s="68" t="str">
        <f>IF(COUNTIFS(Dados!$E:$E,$B114,Dados!$C:$C,INDEX(M$3,1,1),Dados!$A:$A,INDEX($D:$E,MATCH("D",$D:$D,0),2))=0,"",SUMIFS(Dados!$G:$G,Dados!$E:$E,$B114,Dados!$C:$C,INDEX(M$3,1,1),Dados!$A:$A,INDEX($D:$E,MATCH("D",$D:$D,0),2))/COUNTIFS(Dados!$E:$E,$B114,Dados!$C:$C,INDEX(M$3,1,1),Dados!$A:$A,INDEX($D:$E,MATCH("D",$D:$D,0),2)))</f>
        <v/>
      </c>
      <c r="N114" s="68" t="str">
        <f>IF(COUNTIFS(Dados!$E:$E,$B114,Dados!$C:$C,INDEX(N$3,1,1),Dados!$A:$A,INDEX($D:$E,MATCH("D",$D:$D,0),2))=0,"",SUMIFS(Dados!$G:$G,Dados!$E:$E,$B114,Dados!$C:$C,INDEX(N$3,1,1),Dados!$A:$A,INDEX($D:$E,MATCH("D",$D:$D,0),2))/COUNTIFS(Dados!$E:$E,$B114,Dados!$C:$C,INDEX(N$3,1,1),Dados!$A:$A,INDEX($D:$E,MATCH("D",$D:$D,0),2)))</f>
        <v/>
      </c>
      <c r="O114" s="68" t="str">
        <f>IF(COUNTIFS(Dados!$E:$E,$B114,Dados!$C:$C,INDEX(O$3,1,1),Dados!$A:$A,INDEX($D:$E,MATCH("D",$D:$D,0),2))=0,"",SUMIFS(Dados!$G:$G,Dados!$E:$E,$B114,Dados!$C:$C,INDEX(O$3,1,1),Dados!$A:$A,INDEX($D:$E,MATCH("D",$D:$D,0),2))/COUNTIFS(Dados!$E:$E,$B114,Dados!$C:$C,INDEX(O$3,1,1),Dados!$A:$A,INDEX($D:$E,MATCH("D",$D:$D,0),2)))</f>
        <v/>
      </c>
      <c r="P114" s="68" t="str">
        <f>IF(COUNTIFS(Dados!$E:$E,$B114,Dados!$C:$C,INDEX(P$3,1,1),Dados!$A:$A,INDEX($D:$E,MATCH("D",$D:$D,0),2))=0,"",SUMIFS(Dados!$G:$G,Dados!$E:$E,$B114,Dados!$C:$C,INDEX(P$3,1,1),Dados!$A:$A,INDEX($D:$E,MATCH("D",$D:$D,0),2))/COUNTIFS(Dados!$E:$E,$B114,Dados!$C:$C,INDEX(P$3,1,1),Dados!$A:$A,INDEX($D:$E,MATCH("D",$D:$D,0),2)))</f>
        <v/>
      </c>
      <c r="Q114" s="68" t="str">
        <f>IF(COUNTIFS(Dados!$E:$E,$B114,Dados!$C:$C,INDEX(Q$3,1,1),Dados!$A:$A,INDEX($D:$E,MATCH("D",$D:$D,0),2))=0,"",SUMIFS(Dados!$G:$G,Dados!$E:$E,$B114,Dados!$C:$C,INDEX(Q$3,1,1),Dados!$A:$A,INDEX($D:$E,MATCH("D",$D:$D,0),2))/COUNTIFS(Dados!$E:$E,$B114,Dados!$C:$C,INDEX(Q$3,1,1),Dados!$A:$A,INDEX($D:$E,MATCH("D",$D:$D,0),2)))</f>
        <v/>
      </c>
      <c r="R114" s="68" t="str">
        <f>IF(COUNTIFS(Dados!$E:$E,$B114,Dados!$C:$C,INDEX(R$3,1,1),Dados!$A:$A,INDEX($D:$E,MATCH("D",$D:$D,0),2))=0,"",SUMIFS(Dados!$G:$G,Dados!$E:$E,$B114,Dados!$C:$C,INDEX(R$3,1,1),Dados!$A:$A,INDEX($D:$E,MATCH("D",$D:$D,0),2))/COUNTIFS(Dados!$E:$E,$B114,Dados!$C:$C,INDEX(R$3,1,1),Dados!$A:$A,INDEX($D:$E,MATCH("D",$D:$D,0),2)))</f>
        <v/>
      </c>
      <c r="S114" s="68" t="str">
        <f>IF(COUNTIFS(Dados!$E:$E,$B114,Dados!$C:$C,INDEX(S$3,1,1),Dados!$A:$A,INDEX($D:$E,MATCH("D",$D:$D,0),2))=0,"",SUMIFS(Dados!$G:$G,Dados!$E:$E,$B114,Dados!$C:$C,INDEX(S$3,1,1),Dados!$A:$A,INDEX($D:$E,MATCH("D",$D:$D,0),2))/COUNTIFS(Dados!$E:$E,$B114,Dados!$C:$C,INDEX(S$3,1,1),Dados!$A:$A,INDEX($D:$E,MATCH("D",$D:$D,0),2)))</f>
        <v/>
      </c>
      <c r="T114" s="68" t="str">
        <f>IF(COUNTIFS(Dados!$E:$E,$B114,Dados!$C:$C,INDEX(T$3,1,1),Dados!$A:$A,INDEX($D:$E,MATCH("D",$D:$D,0),2))=0,"",SUMIFS(Dados!$G:$G,Dados!$E:$E,$B114,Dados!$C:$C,INDEX(T$3,1,1),Dados!$A:$A,INDEX($D:$E,MATCH("D",$D:$D,0),2))/COUNTIFS(Dados!$E:$E,$B114,Dados!$C:$C,INDEX(T$3,1,1),Dados!$A:$A,INDEX($D:$E,MATCH("D",$D:$D,0),2)))</f>
        <v/>
      </c>
      <c r="U114" s="68" t="str">
        <f>IF(COUNTIFS(Dados!$E:$E,$B114,Dados!$C:$C,INDEX(U$3,1,1),Dados!$A:$A,INDEX($D:$E,MATCH("D",$D:$D,0),2))=0,"",SUMIFS(Dados!$G:$G,Dados!$E:$E,$B114,Dados!$C:$C,INDEX(U$3,1,1),Dados!$A:$A,INDEX($D:$E,MATCH("D",$D:$D,0),2))/COUNTIFS(Dados!$E:$E,$B114,Dados!$C:$C,INDEX(U$3,1,1),Dados!$A:$A,INDEX($D:$E,MATCH("D",$D:$D,0),2)))</f>
        <v/>
      </c>
      <c r="V114" s="68" t="str">
        <f>IF(COUNTIFS(Dados!$E:$E,$B114,Dados!$C:$C,INDEX(V$3,1,1),Dados!$A:$A,INDEX($D:$E,MATCH("D",$D:$D,0),2))=0,"",SUMIFS(Dados!$G:$G,Dados!$E:$E,$B114,Dados!$C:$C,INDEX(V$3,1,1),Dados!$A:$A,INDEX($D:$E,MATCH("D",$D:$D,0),2))/COUNTIFS(Dados!$E:$E,$B114,Dados!$C:$C,INDEX(V$3,1,1),Dados!$A:$A,INDEX($D:$E,MATCH("D",$D:$D,0),2)))</f>
        <v/>
      </c>
    </row>
    <row r="115" spans="2:22" x14ac:dyDescent="0.25">
      <c r="B115" s="65" t="s">
        <v>65</v>
      </c>
      <c r="C115" s="72">
        <f>VLOOKUP(B115,B4:C22,2,0)</f>
        <v>7</v>
      </c>
      <c r="D115" s="66" t="str">
        <f>IF(COUNTIFS(Dados!$E:$E,$B115,Dados!$C:$C,INDEX(D$3,1,1),Dados!$A:$A,INDEX($D:$E,MATCH("D",$D:$D,0),2))=0,"",SUMIFS(Dados!$G:$G,Dados!$E:$E,$B115,Dados!$C:$C,INDEX(D$3,1,1),Dados!$A:$A,INDEX($D:$E,MATCH("D",$D:$D,0),2))/COUNTIFS(Dados!$E:$E,$B115,Dados!$C:$C,INDEX(D$3,1,1),Dados!$A:$A,INDEX($D:$E,MATCH("D",$D:$D,0),2)))</f>
        <v/>
      </c>
      <c r="E115" s="66" t="str">
        <f>IF(COUNTIFS(Dados!$E:$E,$B115,Dados!$C:$C,INDEX(E$3,1,1),Dados!$A:$A,INDEX($D:$E,MATCH("D",$D:$D,0),2))=0,"",SUMIFS(Dados!$G:$G,Dados!$E:$E,$B115,Dados!$C:$C,INDEX(E$3,1,1),Dados!$A:$A,INDEX($D:$E,MATCH("D",$D:$D,0),2))/COUNTIFS(Dados!$E:$E,$B115,Dados!$C:$C,INDEX(E$3,1,1),Dados!$A:$A,INDEX($D:$E,MATCH("D",$D:$D,0),2)))</f>
        <v/>
      </c>
      <c r="F115" s="66" t="str">
        <f>IF(COUNTIFS(Dados!$E:$E,$B115,Dados!$C:$C,INDEX(F$3,1,1),Dados!$A:$A,INDEX($D:$E,MATCH("D",$D:$D,0),2))=0,"",SUMIFS(Dados!$G:$G,Dados!$E:$E,$B115,Dados!$C:$C,INDEX(F$3,1,1),Dados!$A:$A,INDEX($D:$E,MATCH("D",$D:$D,0),2))/COUNTIFS(Dados!$E:$E,$B115,Dados!$C:$C,INDEX(F$3,1,1),Dados!$A:$A,INDEX($D:$E,MATCH("D",$D:$D,0),2)))</f>
        <v/>
      </c>
      <c r="G115" s="66" t="str">
        <f>IF(COUNTIFS(Dados!$E:$E,$B115,Dados!$C:$C,INDEX(G$3,1,1),Dados!$A:$A,INDEX($D:$E,MATCH("D",$D:$D,0),2))=0,"",SUMIFS(Dados!$G:$G,Dados!$E:$E,$B115,Dados!$C:$C,INDEX(G$3,1,1),Dados!$A:$A,INDEX($D:$E,MATCH("D",$D:$D,0),2))/COUNTIFS(Dados!$E:$E,$B115,Dados!$C:$C,INDEX(G$3,1,1),Dados!$A:$A,INDEX($D:$E,MATCH("D",$D:$D,0),2)))</f>
        <v/>
      </c>
      <c r="H115" s="66" t="str">
        <f>IF(COUNTIFS(Dados!$E:$E,$B115,Dados!$C:$C,INDEX(H$3,1,1),Dados!$A:$A,INDEX($D:$E,MATCH("D",$D:$D,0),2))=0,"",SUMIFS(Dados!$G:$G,Dados!$E:$E,$B115,Dados!$C:$C,INDEX(H$3,1,1),Dados!$A:$A,INDEX($D:$E,MATCH("D",$D:$D,0),2))/COUNTIFS(Dados!$E:$E,$B115,Dados!$C:$C,INDEX(H$3,1,1),Dados!$A:$A,INDEX($D:$E,MATCH("D",$D:$D,0),2)))</f>
        <v/>
      </c>
      <c r="I115" s="66" t="str">
        <f>IF(COUNTIFS(Dados!$E:$E,$B115,Dados!$C:$C,INDEX(I$3,1,1),Dados!$A:$A,INDEX($D:$E,MATCH("D",$D:$D,0),2))=0,"",SUMIFS(Dados!$G:$G,Dados!$E:$E,$B115,Dados!$C:$C,INDEX(I$3,1,1),Dados!$A:$A,INDEX($D:$E,MATCH("D",$D:$D,0),2))/COUNTIFS(Dados!$E:$E,$B115,Dados!$C:$C,INDEX(I$3,1,1),Dados!$A:$A,INDEX($D:$E,MATCH("D",$D:$D,0),2)))</f>
        <v/>
      </c>
      <c r="J115" s="66" t="str">
        <f>IF(COUNTIFS(Dados!$E:$E,$B115,Dados!$C:$C,INDEX(J$3,1,1),Dados!$A:$A,INDEX($D:$E,MATCH("D",$D:$D,0),2))=0,"",SUMIFS(Dados!$G:$G,Dados!$E:$E,$B115,Dados!$C:$C,INDEX(J$3,1,1),Dados!$A:$A,INDEX($D:$E,MATCH("D",$D:$D,0),2))/COUNTIFS(Dados!$E:$E,$B115,Dados!$C:$C,INDEX(J$3,1,1),Dados!$A:$A,INDEX($D:$E,MATCH("D",$D:$D,0),2)))</f>
        <v/>
      </c>
      <c r="K115" s="66" t="str">
        <f>IF(COUNTIFS(Dados!$E:$E,$B115,Dados!$C:$C,INDEX(K$3,1,1),Dados!$A:$A,INDEX($D:$E,MATCH("D",$D:$D,0),2))=0,"",SUMIFS(Dados!$G:$G,Dados!$E:$E,$B115,Dados!$C:$C,INDEX(K$3,1,1),Dados!$A:$A,INDEX($D:$E,MATCH("D",$D:$D,0),2))/COUNTIFS(Dados!$E:$E,$B115,Dados!$C:$C,INDEX(K$3,1,1),Dados!$A:$A,INDEX($D:$E,MATCH("D",$D:$D,0),2)))</f>
        <v/>
      </c>
      <c r="L115" s="66" t="str">
        <f>IF(COUNTIFS(Dados!$E:$E,$B115,Dados!$C:$C,INDEX(L$3,1,1),Dados!$A:$A,INDEX($D:$E,MATCH("D",$D:$D,0),2))=0,"",SUMIFS(Dados!$G:$G,Dados!$E:$E,$B115,Dados!$C:$C,INDEX(L$3,1,1),Dados!$A:$A,INDEX($D:$E,MATCH("D",$D:$D,0),2))/COUNTIFS(Dados!$E:$E,$B115,Dados!$C:$C,INDEX(L$3,1,1),Dados!$A:$A,INDEX($D:$E,MATCH("D",$D:$D,0),2)))</f>
        <v/>
      </c>
      <c r="M115" s="66" t="str">
        <f>IF(COUNTIFS(Dados!$E:$E,$B115,Dados!$C:$C,INDEX(M$3,1,1),Dados!$A:$A,INDEX($D:$E,MATCH("D",$D:$D,0),2))=0,"",SUMIFS(Dados!$G:$G,Dados!$E:$E,$B115,Dados!$C:$C,INDEX(M$3,1,1),Dados!$A:$A,INDEX($D:$E,MATCH("D",$D:$D,0),2))/COUNTIFS(Dados!$E:$E,$B115,Dados!$C:$C,INDEX(M$3,1,1),Dados!$A:$A,INDEX($D:$E,MATCH("D",$D:$D,0),2)))</f>
        <v/>
      </c>
      <c r="N115" s="66" t="str">
        <f>IF(COUNTIFS(Dados!$E:$E,$B115,Dados!$C:$C,INDEX(N$3,1,1),Dados!$A:$A,INDEX($D:$E,MATCH("D",$D:$D,0),2))=0,"",SUMIFS(Dados!$G:$G,Dados!$E:$E,$B115,Dados!$C:$C,INDEX(N$3,1,1),Dados!$A:$A,INDEX($D:$E,MATCH("D",$D:$D,0),2))/COUNTIFS(Dados!$E:$E,$B115,Dados!$C:$C,INDEX(N$3,1,1),Dados!$A:$A,INDEX($D:$E,MATCH("D",$D:$D,0),2)))</f>
        <v/>
      </c>
      <c r="O115" s="66" t="str">
        <f>IF(COUNTIFS(Dados!$E:$E,$B115,Dados!$C:$C,INDEX(O$3,1,1),Dados!$A:$A,INDEX($D:$E,MATCH("D",$D:$D,0),2))=0,"",SUMIFS(Dados!$G:$G,Dados!$E:$E,$B115,Dados!$C:$C,INDEX(O$3,1,1),Dados!$A:$A,INDEX($D:$E,MATCH("D",$D:$D,0),2))/COUNTIFS(Dados!$E:$E,$B115,Dados!$C:$C,INDEX(O$3,1,1),Dados!$A:$A,INDEX($D:$E,MATCH("D",$D:$D,0),2)))</f>
        <v/>
      </c>
      <c r="P115" s="66" t="str">
        <f>IF(COUNTIFS(Dados!$E:$E,$B115,Dados!$C:$C,INDEX(P$3,1,1),Dados!$A:$A,INDEX($D:$E,MATCH("D",$D:$D,0),2))=0,"",SUMIFS(Dados!$G:$G,Dados!$E:$E,$B115,Dados!$C:$C,INDEX(P$3,1,1),Dados!$A:$A,INDEX($D:$E,MATCH("D",$D:$D,0),2))/COUNTIFS(Dados!$E:$E,$B115,Dados!$C:$C,INDEX(P$3,1,1),Dados!$A:$A,INDEX($D:$E,MATCH("D",$D:$D,0),2)))</f>
        <v/>
      </c>
      <c r="Q115" s="66" t="str">
        <f>IF(COUNTIFS(Dados!$E:$E,$B115,Dados!$C:$C,INDEX(Q$3,1,1),Dados!$A:$A,INDEX($D:$E,MATCH("D",$D:$D,0),2))=0,"",SUMIFS(Dados!$G:$G,Dados!$E:$E,$B115,Dados!$C:$C,INDEX(Q$3,1,1),Dados!$A:$A,INDEX($D:$E,MATCH("D",$D:$D,0),2))/COUNTIFS(Dados!$E:$E,$B115,Dados!$C:$C,INDEX(Q$3,1,1),Dados!$A:$A,INDEX($D:$E,MATCH("D",$D:$D,0),2)))</f>
        <v/>
      </c>
      <c r="R115" s="66" t="str">
        <f>IF(COUNTIFS(Dados!$E:$E,$B115,Dados!$C:$C,INDEX(R$3,1,1),Dados!$A:$A,INDEX($D:$E,MATCH("D",$D:$D,0),2))=0,"",SUMIFS(Dados!$G:$G,Dados!$E:$E,$B115,Dados!$C:$C,INDEX(R$3,1,1),Dados!$A:$A,INDEX($D:$E,MATCH("D",$D:$D,0),2))/COUNTIFS(Dados!$E:$E,$B115,Dados!$C:$C,INDEX(R$3,1,1),Dados!$A:$A,INDEX($D:$E,MATCH("D",$D:$D,0),2)))</f>
        <v/>
      </c>
      <c r="S115" s="66" t="str">
        <f>IF(COUNTIFS(Dados!$E:$E,$B115,Dados!$C:$C,INDEX(S$3,1,1),Dados!$A:$A,INDEX($D:$E,MATCH("D",$D:$D,0),2))=0,"",SUMIFS(Dados!$G:$G,Dados!$E:$E,$B115,Dados!$C:$C,INDEX(S$3,1,1),Dados!$A:$A,INDEX($D:$E,MATCH("D",$D:$D,0),2))/COUNTIFS(Dados!$E:$E,$B115,Dados!$C:$C,INDEX(S$3,1,1),Dados!$A:$A,INDEX($D:$E,MATCH("D",$D:$D,0),2)))</f>
        <v/>
      </c>
      <c r="T115" s="66" t="str">
        <f>IF(COUNTIFS(Dados!$E:$E,$B115,Dados!$C:$C,INDEX(T$3,1,1),Dados!$A:$A,INDEX($D:$E,MATCH("D",$D:$D,0),2))=0,"",SUMIFS(Dados!$G:$G,Dados!$E:$E,$B115,Dados!$C:$C,INDEX(T$3,1,1),Dados!$A:$A,INDEX($D:$E,MATCH("D",$D:$D,0),2))/COUNTIFS(Dados!$E:$E,$B115,Dados!$C:$C,INDEX(T$3,1,1),Dados!$A:$A,INDEX($D:$E,MATCH("D",$D:$D,0),2)))</f>
        <v/>
      </c>
      <c r="U115" s="66" t="str">
        <f>IF(COUNTIFS(Dados!$E:$E,$B115,Dados!$C:$C,INDEX(U$3,1,1),Dados!$A:$A,INDEX($D:$E,MATCH("D",$D:$D,0),2))=0,"",SUMIFS(Dados!$G:$G,Dados!$E:$E,$B115,Dados!$C:$C,INDEX(U$3,1,1),Dados!$A:$A,INDEX($D:$E,MATCH("D",$D:$D,0),2))/COUNTIFS(Dados!$E:$E,$B115,Dados!$C:$C,INDEX(U$3,1,1),Dados!$A:$A,INDEX($D:$E,MATCH("D",$D:$D,0),2)))</f>
        <v/>
      </c>
      <c r="V115" s="66" t="str">
        <f>IF(COUNTIFS(Dados!$E:$E,$B115,Dados!$C:$C,INDEX(V$3,1,1),Dados!$A:$A,INDEX($D:$E,MATCH("D",$D:$D,0),2))=0,"",SUMIFS(Dados!$G:$G,Dados!$E:$E,$B115,Dados!$C:$C,INDEX(V$3,1,1),Dados!$A:$A,INDEX($D:$E,MATCH("D",$D:$D,0),2))/COUNTIFS(Dados!$E:$E,$B115,Dados!$C:$C,INDEX(V$3,1,1),Dados!$A:$A,INDEX($D:$E,MATCH("D",$D:$D,0),2)))</f>
        <v/>
      </c>
    </row>
    <row r="116" spans="2:22" x14ac:dyDescent="0.25">
      <c r="B116" s="67" t="s">
        <v>32</v>
      </c>
      <c r="C116" s="71">
        <f>VLOOKUP(B116,B4:C22,2,0)</f>
        <v>8</v>
      </c>
      <c r="D116" s="68" t="str">
        <f>IF(COUNTIFS(Dados!$E:$E,$B116,Dados!$C:$C,INDEX(D$3,1,1),Dados!$A:$A,INDEX($D:$E,MATCH("D",$D:$D,0),2))=0,"",SUMIFS(Dados!$G:$G,Dados!$E:$E,$B116,Dados!$C:$C,INDEX(D$3,1,1),Dados!$A:$A,INDEX($D:$E,MATCH("D",$D:$D,0),2))/COUNTIFS(Dados!$E:$E,$B116,Dados!$C:$C,INDEX(D$3,1,1),Dados!$A:$A,INDEX($D:$E,MATCH("D",$D:$D,0),2)))</f>
        <v/>
      </c>
      <c r="E116" s="68" t="str">
        <f>IF(COUNTIFS(Dados!$E:$E,$B116,Dados!$C:$C,INDEX(E$3,1,1),Dados!$A:$A,INDEX($D:$E,MATCH("D",$D:$D,0),2))=0,"",SUMIFS(Dados!$G:$G,Dados!$E:$E,$B116,Dados!$C:$C,INDEX(E$3,1,1),Dados!$A:$A,INDEX($D:$E,MATCH("D",$D:$D,0),2))/COUNTIFS(Dados!$E:$E,$B116,Dados!$C:$C,INDEX(E$3,1,1),Dados!$A:$A,INDEX($D:$E,MATCH("D",$D:$D,0),2)))</f>
        <v/>
      </c>
      <c r="F116" s="68" t="str">
        <f>IF(COUNTIFS(Dados!$E:$E,$B116,Dados!$C:$C,INDEX(F$3,1,1),Dados!$A:$A,INDEX($D:$E,MATCH("D",$D:$D,0),2))=0,"",SUMIFS(Dados!$G:$G,Dados!$E:$E,$B116,Dados!$C:$C,INDEX(F$3,1,1),Dados!$A:$A,INDEX($D:$E,MATCH("D",$D:$D,0),2))/COUNTIFS(Dados!$E:$E,$B116,Dados!$C:$C,INDEX(F$3,1,1),Dados!$A:$A,INDEX($D:$E,MATCH("D",$D:$D,0),2)))</f>
        <v/>
      </c>
      <c r="G116" s="68" t="str">
        <f>IF(COUNTIFS(Dados!$E:$E,$B116,Dados!$C:$C,INDEX(G$3,1,1),Dados!$A:$A,INDEX($D:$E,MATCH("D",$D:$D,0),2))=0,"",SUMIFS(Dados!$G:$G,Dados!$E:$E,$B116,Dados!$C:$C,INDEX(G$3,1,1),Dados!$A:$A,INDEX($D:$E,MATCH("D",$D:$D,0),2))/COUNTIFS(Dados!$E:$E,$B116,Dados!$C:$C,INDEX(G$3,1,1),Dados!$A:$A,INDEX($D:$E,MATCH("D",$D:$D,0),2)))</f>
        <v/>
      </c>
      <c r="H116" s="68" t="str">
        <f>IF(COUNTIFS(Dados!$E:$E,$B116,Dados!$C:$C,INDEX(H$3,1,1),Dados!$A:$A,INDEX($D:$E,MATCH("D",$D:$D,0),2))=0,"",SUMIFS(Dados!$G:$G,Dados!$E:$E,$B116,Dados!$C:$C,INDEX(H$3,1,1),Dados!$A:$A,INDEX($D:$E,MATCH("D",$D:$D,0),2))/COUNTIFS(Dados!$E:$E,$B116,Dados!$C:$C,INDEX(H$3,1,1),Dados!$A:$A,INDEX($D:$E,MATCH("D",$D:$D,0),2)))</f>
        <v/>
      </c>
      <c r="I116" s="68" t="str">
        <f>IF(COUNTIFS(Dados!$E:$E,$B116,Dados!$C:$C,INDEX(I$3,1,1),Dados!$A:$A,INDEX($D:$E,MATCH("D",$D:$D,0),2))=0,"",SUMIFS(Dados!$G:$G,Dados!$E:$E,$B116,Dados!$C:$C,INDEX(I$3,1,1),Dados!$A:$A,INDEX($D:$E,MATCH("D",$D:$D,0),2))/COUNTIFS(Dados!$E:$E,$B116,Dados!$C:$C,INDEX(I$3,1,1),Dados!$A:$A,INDEX($D:$E,MATCH("D",$D:$D,0),2)))</f>
        <v/>
      </c>
      <c r="J116" s="68" t="str">
        <f>IF(COUNTIFS(Dados!$E:$E,$B116,Dados!$C:$C,INDEX(J$3,1,1),Dados!$A:$A,INDEX($D:$E,MATCH("D",$D:$D,0),2))=0,"",SUMIFS(Dados!$G:$G,Dados!$E:$E,$B116,Dados!$C:$C,INDEX(J$3,1,1),Dados!$A:$A,INDEX($D:$E,MATCH("D",$D:$D,0),2))/COUNTIFS(Dados!$E:$E,$B116,Dados!$C:$C,INDEX(J$3,1,1),Dados!$A:$A,INDEX($D:$E,MATCH("D",$D:$D,0),2)))</f>
        <v/>
      </c>
      <c r="K116" s="68" t="str">
        <f>IF(COUNTIFS(Dados!$E:$E,$B116,Dados!$C:$C,INDEX(K$3,1,1),Dados!$A:$A,INDEX($D:$E,MATCH("D",$D:$D,0),2))=0,"",SUMIFS(Dados!$G:$G,Dados!$E:$E,$B116,Dados!$C:$C,INDEX(K$3,1,1),Dados!$A:$A,INDEX($D:$E,MATCH("D",$D:$D,0),2))/COUNTIFS(Dados!$E:$E,$B116,Dados!$C:$C,INDEX(K$3,1,1),Dados!$A:$A,INDEX($D:$E,MATCH("D",$D:$D,0),2)))</f>
        <v/>
      </c>
      <c r="L116" s="68" t="str">
        <f>IF(COUNTIFS(Dados!$E:$E,$B116,Dados!$C:$C,INDEX(L$3,1,1),Dados!$A:$A,INDEX($D:$E,MATCH("D",$D:$D,0),2))=0,"",SUMIFS(Dados!$G:$G,Dados!$E:$E,$B116,Dados!$C:$C,INDEX(L$3,1,1),Dados!$A:$A,INDEX($D:$E,MATCH("D",$D:$D,0),2))/COUNTIFS(Dados!$E:$E,$B116,Dados!$C:$C,INDEX(L$3,1,1),Dados!$A:$A,INDEX($D:$E,MATCH("D",$D:$D,0),2)))</f>
        <v/>
      </c>
      <c r="M116" s="68" t="str">
        <f>IF(COUNTIFS(Dados!$E:$E,$B116,Dados!$C:$C,INDEX(M$3,1,1),Dados!$A:$A,INDEX($D:$E,MATCH("D",$D:$D,0),2))=0,"",SUMIFS(Dados!$G:$G,Dados!$E:$E,$B116,Dados!$C:$C,INDEX(M$3,1,1),Dados!$A:$A,INDEX($D:$E,MATCH("D",$D:$D,0),2))/COUNTIFS(Dados!$E:$E,$B116,Dados!$C:$C,INDEX(M$3,1,1),Dados!$A:$A,INDEX($D:$E,MATCH("D",$D:$D,0),2)))</f>
        <v/>
      </c>
      <c r="N116" s="68" t="str">
        <f>IF(COUNTIFS(Dados!$E:$E,$B116,Dados!$C:$C,INDEX(N$3,1,1),Dados!$A:$A,INDEX($D:$E,MATCH("D",$D:$D,0),2))=0,"",SUMIFS(Dados!$G:$G,Dados!$E:$E,$B116,Dados!$C:$C,INDEX(N$3,1,1),Dados!$A:$A,INDEX($D:$E,MATCH("D",$D:$D,0),2))/COUNTIFS(Dados!$E:$E,$B116,Dados!$C:$C,INDEX(N$3,1,1),Dados!$A:$A,INDEX($D:$E,MATCH("D",$D:$D,0),2)))</f>
        <v/>
      </c>
      <c r="O116" s="68" t="str">
        <f>IF(COUNTIFS(Dados!$E:$E,$B116,Dados!$C:$C,INDEX(O$3,1,1),Dados!$A:$A,INDEX($D:$E,MATCH("D",$D:$D,0),2))=0,"",SUMIFS(Dados!$G:$G,Dados!$E:$E,$B116,Dados!$C:$C,INDEX(O$3,1,1),Dados!$A:$A,INDEX($D:$E,MATCH("D",$D:$D,0),2))/COUNTIFS(Dados!$E:$E,$B116,Dados!$C:$C,INDEX(O$3,1,1),Dados!$A:$A,INDEX($D:$E,MATCH("D",$D:$D,0),2)))</f>
        <v/>
      </c>
      <c r="P116" s="68" t="str">
        <f>IF(COUNTIFS(Dados!$E:$E,$B116,Dados!$C:$C,INDEX(P$3,1,1),Dados!$A:$A,INDEX($D:$E,MATCH("D",$D:$D,0),2))=0,"",SUMIFS(Dados!$G:$G,Dados!$E:$E,$B116,Dados!$C:$C,INDEX(P$3,1,1),Dados!$A:$A,INDEX($D:$E,MATCH("D",$D:$D,0),2))/COUNTIFS(Dados!$E:$E,$B116,Dados!$C:$C,INDEX(P$3,1,1),Dados!$A:$A,INDEX($D:$E,MATCH("D",$D:$D,0),2)))</f>
        <v/>
      </c>
      <c r="Q116" s="68" t="str">
        <f>IF(COUNTIFS(Dados!$E:$E,$B116,Dados!$C:$C,INDEX(Q$3,1,1),Dados!$A:$A,INDEX($D:$E,MATCH("D",$D:$D,0),2))=0,"",SUMIFS(Dados!$G:$G,Dados!$E:$E,$B116,Dados!$C:$C,INDEX(Q$3,1,1),Dados!$A:$A,INDEX($D:$E,MATCH("D",$D:$D,0),2))/COUNTIFS(Dados!$E:$E,$B116,Dados!$C:$C,INDEX(Q$3,1,1),Dados!$A:$A,INDEX($D:$E,MATCH("D",$D:$D,0),2)))</f>
        <v/>
      </c>
      <c r="R116" s="68" t="str">
        <f>IF(COUNTIFS(Dados!$E:$E,$B116,Dados!$C:$C,INDEX(R$3,1,1),Dados!$A:$A,INDEX($D:$E,MATCH("D",$D:$D,0),2))=0,"",SUMIFS(Dados!$G:$G,Dados!$E:$E,$B116,Dados!$C:$C,INDEX(R$3,1,1),Dados!$A:$A,INDEX($D:$E,MATCH("D",$D:$D,0),2))/COUNTIFS(Dados!$E:$E,$B116,Dados!$C:$C,INDEX(R$3,1,1),Dados!$A:$A,INDEX($D:$E,MATCH("D",$D:$D,0),2)))</f>
        <v/>
      </c>
      <c r="S116" s="68" t="str">
        <f>IF(COUNTIFS(Dados!$E:$E,$B116,Dados!$C:$C,INDEX(S$3,1,1),Dados!$A:$A,INDEX($D:$E,MATCH("D",$D:$D,0),2))=0,"",SUMIFS(Dados!$G:$G,Dados!$E:$E,$B116,Dados!$C:$C,INDEX(S$3,1,1),Dados!$A:$A,INDEX($D:$E,MATCH("D",$D:$D,0),2))/COUNTIFS(Dados!$E:$E,$B116,Dados!$C:$C,INDEX(S$3,1,1),Dados!$A:$A,INDEX($D:$E,MATCH("D",$D:$D,0),2)))</f>
        <v/>
      </c>
      <c r="T116" s="68" t="str">
        <f>IF(COUNTIFS(Dados!$E:$E,$B116,Dados!$C:$C,INDEX(T$3,1,1),Dados!$A:$A,INDEX($D:$E,MATCH("D",$D:$D,0),2))=0,"",SUMIFS(Dados!$G:$G,Dados!$E:$E,$B116,Dados!$C:$C,INDEX(T$3,1,1),Dados!$A:$A,INDEX($D:$E,MATCH("D",$D:$D,0),2))/COUNTIFS(Dados!$E:$E,$B116,Dados!$C:$C,INDEX(T$3,1,1),Dados!$A:$A,INDEX($D:$E,MATCH("D",$D:$D,0),2)))</f>
        <v/>
      </c>
      <c r="U116" s="68" t="str">
        <f>IF(COUNTIFS(Dados!$E:$E,$B116,Dados!$C:$C,INDEX(U$3,1,1),Dados!$A:$A,INDEX($D:$E,MATCH("D",$D:$D,0),2))=0,"",SUMIFS(Dados!$G:$G,Dados!$E:$E,$B116,Dados!$C:$C,INDEX(U$3,1,1),Dados!$A:$A,INDEX($D:$E,MATCH("D",$D:$D,0),2))/COUNTIFS(Dados!$E:$E,$B116,Dados!$C:$C,INDEX(U$3,1,1),Dados!$A:$A,INDEX($D:$E,MATCH("D",$D:$D,0),2)))</f>
        <v/>
      </c>
      <c r="V116" s="68" t="str">
        <f>IF(COUNTIFS(Dados!$E:$E,$B116,Dados!$C:$C,INDEX(V$3,1,1),Dados!$A:$A,INDEX($D:$E,MATCH("D",$D:$D,0),2))=0,"",SUMIFS(Dados!$G:$G,Dados!$E:$E,$B116,Dados!$C:$C,INDEX(V$3,1,1),Dados!$A:$A,INDEX($D:$E,MATCH("D",$D:$D,0),2))/COUNTIFS(Dados!$E:$E,$B116,Dados!$C:$C,INDEX(V$3,1,1),Dados!$A:$A,INDEX($D:$E,MATCH("D",$D:$D,0),2)))</f>
        <v/>
      </c>
    </row>
    <row r="117" spans="2:22" x14ac:dyDescent="0.25">
      <c r="B117" s="65" t="s">
        <v>44</v>
      </c>
      <c r="C117" s="72">
        <f>VLOOKUP(B117,B4:C22,2,0)</f>
        <v>9</v>
      </c>
      <c r="D117" s="66" t="str">
        <f>IF(COUNTIFS(Dados!$E:$E,$B117,Dados!$C:$C,INDEX(D$3,1,1),Dados!$A:$A,INDEX($D:$E,MATCH("D",$D:$D,0),2))=0,"",SUMIFS(Dados!$G:$G,Dados!$E:$E,$B117,Dados!$C:$C,INDEX(D$3,1,1),Dados!$A:$A,INDEX($D:$E,MATCH("D",$D:$D,0),2))/COUNTIFS(Dados!$E:$E,$B117,Dados!$C:$C,INDEX(D$3,1,1),Dados!$A:$A,INDEX($D:$E,MATCH("D",$D:$D,0),2)))</f>
        <v/>
      </c>
      <c r="E117" s="66" t="str">
        <f>IF(COUNTIFS(Dados!$E:$E,$B117,Dados!$C:$C,INDEX(E$3,1,1),Dados!$A:$A,INDEX($D:$E,MATCH("D",$D:$D,0),2))=0,"",SUMIFS(Dados!$G:$G,Dados!$E:$E,$B117,Dados!$C:$C,INDEX(E$3,1,1),Dados!$A:$A,INDEX($D:$E,MATCH("D",$D:$D,0),2))/COUNTIFS(Dados!$E:$E,$B117,Dados!$C:$C,INDEX(E$3,1,1),Dados!$A:$A,INDEX($D:$E,MATCH("D",$D:$D,0),2)))</f>
        <v/>
      </c>
      <c r="F117" s="66" t="str">
        <f>IF(COUNTIFS(Dados!$E:$E,$B117,Dados!$C:$C,INDEX(F$3,1,1),Dados!$A:$A,INDEX($D:$E,MATCH("D",$D:$D,0),2))=0,"",SUMIFS(Dados!$G:$G,Dados!$E:$E,$B117,Dados!$C:$C,INDEX(F$3,1,1),Dados!$A:$A,INDEX($D:$E,MATCH("D",$D:$D,0),2))/COUNTIFS(Dados!$E:$E,$B117,Dados!$C:$C,INDEX(F$3,1,1),Dados!$A:$A,INDEX($D:$E,MATCH("D",$D:$D,0),2)))</f>
        <v/>
      </c>
      <c r="G117" s="66" t="str">
        <f>IF(COUNTIFS(Dados!$E:$E,$B117,Dados!$C:$C,INDEX(G$3,1,1),Dados!$A:$A,INDEX($D:$E,MATCH("D",$D:$D,0),2))=0,"",SUMIFS(Dados!$G:$G,Dados!$E:$E,$B117,Dados!$C:$C,INDEX(G$3,1,1),Dados!$A:$A,INDEX($D:$E,MATCH("D",$D:$D,0),2))/COUNTIFS(Dados!$E:$E,$B117,Dados!$C:$C,INDEX(G$3,1,1),Dados!$A:$A,INDEX($D:$E,MATCH("D",$D:$D,0),2)))</f>
        <v/>
      </c>
      <c r="H117" s="66" t="str">
        <f>IF(COUNTIFS(Dados!$E:$E,$B117,Dados!$C:$C,INDEX(H$3,1,1),Dados!$A:$A,INDEX($D:$E,MATCH("D",$D:$D,0),2))=0,"",SUMIFS(Dados!$G:$G,Dados!$E:$E,$B117,Dados!$C:$C,INDEX(H$3,1,1),Dados!$A:$A,INDEX($D:$E,MATCH("D",$D:$D,0),2))/COUNTIFS(Dados!$E:$E,$B117,Dados!$C:$C,INDEX(H$3,1,1),Dados!$A:$A,INDEX($D:$E,MATCH("D",$D:$D,0),2)))</f>
        <v/>
      </c>
      <c r="I117" s="66" t="str">
        <f>IF(COUNTIFS(Dados!$E:$E,$B117,Dados!$C:$C,INDEX(I$3,1,1),Dados!$A:$A,INDEX($D:$E,MATCH("D",$D:$D,0),2))=0,"",SUMIFS(Dados!$G:$G,Dados!$E:$E,$B117,Dados!$C:$C,INDEX(I$3,1,1),Dados!$A:$A,INDEX($D:$E,MATCH("D",$D:$D,0),2))/COUNTIFS(Dados!$E:$E,$B117,Dados!$C:$C,INDEX(I$3,1,1),Dados!$A:$A,INDEX($D:$E,MATCH("D",$D:$D,0),2)))</f>
        <v/>
      </c>
      <c r="J117" s="66" t="str">
        <f>IF(COUNTIFS(Dados!$E:$E,$B117,Dados!$C:$C,INDEX(J$3,1,1),Dados!$A:$A,INDEX($D:$E,MATCH("D",$D:$D,0),2))=0,"",SUMIFS(Dados!$G:$G,Dados!$E:$E,$B117,Dados!$C:$C,INDEX(J$3,1,1),Dados!$A:$A,INDEX($D:$E,MATCH("D",$D:$D,0),2))/COUNTIFS(Dados!$E:$E,$B117,Dados!$C:$C,INDEX(J$3,1,1),Dados!$A:$A,INDEX($D:$E,MATCH("D",$D:$D,0),2)))</f>
        <v/>
      </c>
      <c r="K117" s="66" t="str">
        <f>IF(COUNTIFS(Dados!$E:$E,$B117,Dados!$C:$C,INDEX(K$3,1,1),Dados!$A:$A,INDEX($D:$E,MATCH("D",$D:$D,0),2))=0,"",SUMIFS(Dados!$G:$G,Dados!$E:$E,$B117,Dados!$C:$C,INDEX(K$3,1,1),Dados!$A:$A,INDEX($D:$E,MATCH("D",$D:$D,0),2))/COUNTIFS(Dados!$E:$E,$B117,Dados!$C:$C,INDEX(K$3,1,1),Dados!$A:$A,INDEX($D:$E,MATCH("D",$D:$D,0),2)))</f>
        <v/>
      </c>
      <c r="L117" s="66" t="str">
        <f>IF(COUNTIFS(Dados!$E:$E,$B117,Dados!$C:$C,INDEX(L$3,1,1),Dados!$A:$A,INDEX($D:$E,MATCH("D",$D:$D,0),2))=0,"",SUMIFS(Dados!$G:$G,Dados!$E:$E,$B117,Dados!$C:$C,INDEX(L$3,1,1),Dados!$A:$A,INDEX($D:$E,MATCH("D",$D:$D,0),2))/COUNTIFS(Dados!$E:$E,$B117,Dados!$C:$C,INDEX(L$3,1,1),Dados!$A:$A,INDEX($D:$E,MATCH("D",$D:$D,0),2)))</f>
        <v/>
      </c>
      <c r="M117" s="66" t="str">
        <f>IF(COUNTIFS(Dados!$E:$E,$B117,Dados!$C:$C,INDEX(M$3,1,1),Dados!$A:$A,INDEX($D:$E,MATCH("D",$D:$D,0),2))=0,"",SUMIFS(Dados!$G:$G,Dados!$E:$E,$B117,Dados!$C:$C,INDEX(M$3,1,1),Dados!$A:$A,INDEX($D:$E,MATCH("D",$D:$D,0),2))/COUNTIFS(Dados!$E:$E,$B117,Dados!$C:$C,INDEX(M$3,1,1),Dados!$A:$A,INDEX($D:$E,MATCH("D",$D:$D,0),2)))</f>
        <v/>
      </c>
      <c r="N117" s="66" t="str">
        <f>IF(COUNTIFS(Dados!$E:$E,$B117,Dados!$C:$C,INDEX(N$3,1,1),Dados!$A:$A,INDEX($D:$E,MATCH("D",$D:$D,0),2))=0,"",SUMIFS(Dados!$G:$G,Dados!$E:$E,$B117,Dados!$C:$C,INDEX(N$3,1,1),Dados!$A:$A,INDEX($D:$E,MATCH("D",$D:$D,0),2))/COUNTIFS(Dados!$E:$E,$B117,Dados!$C:$C,INDEX(N$3,1,1),Dados!$A:$A,INDEX($D:$E,MATCH("D",$D:$D,0),2)))</f>
        <v/>
      </c>
      <c r="O117" s="66" t="str">
        <f>IF(COUNTIFS(Dados!$E:$E,$B117,Dados!$C:$C,INDEX(O$3,1,1),Dados!$A:$A,INDEX($D:$E,MATCH("D",$D:$D,0),2))=0,"",SUMIFS(Dados!$G:$G,Dados!$E:$E,$B117,Dados!$C:$C,INDEX(O$3,1,1),Dados!$A:$A,INDEX($D:$E,MATCH("D",$D:$D,0),2))/COUNTIFS(Dados!$E:$E,$B117,Dados!$C:$C,INDEX(O$3,1,1),Dados!$A:$A,INDEX($D:$E,MATCH("D",$D:$D,0),2)))</f>
        <v/>
      </c>
      <c r="P117" s="66" t="str">
        <f>IF(COUNTIFS(Dados!$E:$E,$B117,Dados!$C:$C,INDEX(P$3,1,1),Dados!$A:$A,INDEX($D:$E,MATCH("D",$D:$D,0),2))=0,"",SUMIFS(Dados!$G:$G,Dados!$E:$E,$B117,Dados!$C:$C,INDEX(P$3,1,1),Dados!$A:$A,INDEX($D:$E,MATCH("D",$D:$D,0),2))/COUNTIFS(Dados!$E:$E,$B117,Dados!$C:$C,INDEX(P$3,1,1),Dados!$A:$A,INDEX($D:$E,MATCH("D",$D:$D,0),2)))</f>
        <v/>
      </c>
      <c r="Q117" s="66" t="str">
        <f>IF(COUNTIFS(Dados!$E:$E,$B117,Dados!$C:$C,INDEX(Q$3,1,1),Dados!$A:$A,INDEX($D:$E,MATCH("D",$D:$D,0),2))=0,"",SUMIFS(Dados!$G:$G,Dados!$E:$E,$B117,Dados!$C:$C,INDEX(Q$3,1,1),Dados!$A:$A,INDEX($D:$E,MATCH("D",$D:$D,0),2))/COUNTIFS(Dados!$E:$E,$B117,Dados!$C:$C,INDEX(Q$3,1,1),Dados!$A:$A,INDEX($D:$E,MATCH("D",$D:$D,0),2)))</f>
        <v/>
      </c>
      <c r="R117" s="66" t="str">
        <f>IF(COUNTIFS(Dados!$E:$E,$B117,Dados!$C:$C,INDEX(R$3,1,1),Dados!$A:$A,INDEX($D:$E,MATCH("D",$D:$D,0),2))=0,"",SUMIFS(Dados!$G:$G,Dados!$E:$E,$B117,Dados!$C:$C,INDEX(R$3,1,1),Dados!$A:$A,INDEX($D:$E,MATCH("D",$D:$D,0),2))/COUNTIFS(Dados!$E:$E,$B117,Dados!$C:$C,INDEX(R$3,1,1),Dados!$A:$A,INDEX($D:$E,MATCH("D",$D:$D,0),2)))</f>
        <v/>
      </c>
      <c r="S117" s="66" t="str">
        <f>IF(COUNTIFS(Dados!$E:$E,$B117,Dados!$C:$C,INDEX(S$3,1,1),Dados!$A:$A,INDEX($D:$E,MATCH("D",$D:$D,0),2))=0,"",SUMIFS(Dados!$G:$G,Dados!$E:$E,$B117,Dados!$C:$C,INDEX(S$3,1,1),Dados!$A:$A,INDEX($D:$E,MATCH("D",$D:$D,0),2))/COUNTIFS(Dados!$E:$E,$B117,Dados!$C:$C,INDEX(S$3,1,1),Dados!$A:$A,INDEX($D:$E,MATCH("D",$D:$D,0),2)))</f>
        <v/>
      </c>
      <c r="T117" s="66" t="str">
        <f>IF(COUNTIFS(Dados!$E:$E,$B117,Dados!$C:$C,INDEX(T$3,1,1),Dados!$A:$A,INDEX($D:$E,MATCH("D",$D:$D,0),2))=0,"",SUMIFS(Dados!$G:$G,Dados!$E:$E,$B117,Dados!$C:$C,INDEX(T$3,1,1),Dados!$A:$A,INDEX($D:$E,MATCH("D",$D:$D,0),2))/COUNTIFS(Dados!$E:$E,$B117,Dados!$C:$C,INDEX(T$3,1,1),Dados!$A:$A,INDEX($D:$E,MATCH("D",$D:$D,0),2)))</f>
        <v/>
      </c>
      <c r="U117" s="66" t="str">
        <f>IF(COUNTIFS(Dados!$E:$E,$B117,Dados!$C:$C,INDEX(U$3,1,1),Dados!$A:$A,INDEX($D:$E,MATCH("D",$D:$D,0),2))=0,"",SUMIFS(Dados!$G:$G,Dados!$E:$E,$B117,Dados!$C:$C,INDEX(U$3,1,1),Dados!$A:$A,INDEX($D:$E,MATCH("D",$D:$D,0),2))/COUNTIFS(Dados!$E:$E,$B117,Dados!$C:$C,INDEX(U$3,1,1),Dados!$A:$A,INDEX($D:$E,MATCH("D",$D:$D,0),2)))</f>
        <v/>
      </c>
      <c r="V117" s="66" t="str">
        <f>IF(COUNTIFS(Dados!$E:$E,$B117,Dados!$C:$C,INDEX(V$3,1,1),Dados!$A:$A,INDEX($D:$E,MATCH("D",$D:$D,0),2))=0,"",SUMIFS(Dados!$G:$G,Dados!$E:$E,$B117,Dados!$C:$C,INDEX(V$3,1,1),Dados!$A:$A,INDEX($D:$E,MATCH("D",$D:$D,0),2))/COUNTIFS(Dados!$E:$E,$B117,Dados!$C:$C,INDEX(V$3,1,1),Dados!$A:$A,INDEX($D:$E,MATCH("D",$D:$D,0),2)))</f>
        <v/>
      </c>
    </row>
    <row r="118" spans="2:22" x14ac:dyDescent="0.25">
      <c r="B118" s="67" t="s">
        <v>147</v>
      </c>
      <c r="C118" s="71">
        <f>VLOOKUP(B118,B4:C22,2,0)</f>
        <v>10</v>
      </c>
      <c r="D118" s="68" t="str">
        <f>IF(COUNTIFS(Dados!$E:$E,$B118,Dados!$C:$C,INDEX(D$3,1,1),Dados!$A:$A,INDEX($D:$E,MATCH("D",$D:$D,0),2))=0,"",SUMIFS(Dados!$G:$G,Dados!$E:$E,$B118,Dados!$C:$C,INDEX(D$3,1,1),Dados!$A:$A,INDEX($D:$E,MATCH("D",$D:$D,0),2))/COUNTIFS(Dados!$E:$E,$B118,Dados!$C:$C,INDEX(D$3,1,1),Dados!$A:$A,INDEX($D:$E,MATCH("D",$D:$D,0),2)))</f>
        <v/>
      </c>
      <c r="E118" s="68" t="str">
        <f>IF(COUNTIFS(Dados!$E:$E,$B118,Dados!$C:$C,INDEX(E$3,1,1),Dados!$A:$A,INDEX($D:$E,MATCH("D",$D:$D,0),2))=0,"",SUMIFS(Dados!$G:$G,Dados!$E:$E,$B118,Dados!$C:$C,INDEX(E$3,1,1),Dados!$A:$A,INDEX($D:$E,MATCH("D",$D:$D,0),2))/COUNTIFS(Dados!$E:$E,$B118,Dados!$C:$C,INDEX(E$3,1,1),Dados!$A:$A,INDEX($D:$E,MATCH("D",$D:$D,0),2)))</f>
        <v/>
      </c>
      <c r="F118" s="68" t="str">
        <f>IF(COUNTIFS(Dados!$E:$E,$B118,Dados!$C:$C,INDEX(F$3,1,1),Dados!$A:$A,INDEX($D:$E,MATCH("D",$D:$D,0),2))=0,"",SUMIFS(Dados!$G:$G,Dados!$E:$E,$B118,Dados!$C:$C,INDEX(F$3,1,1),Dados!$A:$A,INDEX($D:$E,MATCH("D",$D:$D,0),2))/COUNTIFS(Dados!$E:$E,$B118,Dados!$C:$C,INDEX(F$3,1,1),Dados!$A:$A,INDEX($D:$E,MATCH("D",$D:$D,0),2)))</f>
        <v/>
      </c>
      <c r="G118" s="68" t="str">
        <f>IF(COUNTIFS(Dados!$E:$E,$B118,Dados!$C:$C,INDEX(G$3,1,1),Dados!$A:$A,INDEX($D:$E,MATCH("D",$D:$D,0),2))=0,"",SUMIFS(Dados!$G:$G,Dados!$E:$E,$B118,Dados!$C:$C,INDEX(G$3,1,1),Dados!$A:$A,INDEX($D:$E,MATCH("D",$D:$D,0),2))/COUNTIFS(Dados!$E:$E,$B118,Dados!$C:$C,INDEX(G$3,1,1),Dados!$A:$A,INDEX($D:$E,MATCH("D",$D:$D,0),2)))</f>
        <v/>
      </c>
      <c r="H118" s="68" t="str">
        <f>IF(COUNTIFS(Dados!$E:$E,$B118,Dados!$C:$C,INDEX(H$3,1,1),Dados!$A:$A,INDEX($D:$E,MATCH("D",$D:$D,0),2))=0,"",SUMIFS(Dados!$G:$G,Dados!$E:$E,$B118,Dados!$C:$C,INDEX(H$3,1,1),Dados!$A:$A,INDEX($D:$E,MATCH("D",$D:$D,0),2))/COUNTIFS(Dados!$E:$E,$B118,Dados!$C:$C,INDEX(H$3,1,1),Dados!$A:$A,INDEX($D:$E,MATCH("D",$D:$D,0),2)))</f>
        <v/>
      </c>
      <c r="I118" s="68" t="str">
        <f>IF(COUNTIFS(Dados!$E:$E,$B118,Dados!$C:$C,INDEX(I$3,1,1),Dados!$A:$A,INDEX($D:$E,MATCH("D",$D:$D,0),2))=0,"",SUMIFS(Dados!$G:$G,Dados!$E:$E,$B118,Dados!$C:$C,INDEX(I$3,1,1),Dados!$A:$A,INDEX($D:$E,MATCH("D",$D:$D,0),2))/COUNTIFS(Dados!$E:$E,$B118,Dados!$C:$C,INDEX(I$3,1,1),Dados!$A:$A,INDEX($D:$E,MATCH("D",$D:$D,0),2)))</f>
        <v/>
      </c>
      <c r="J118" s="68" t="str">
        <f>IF(COUNTIFS(Dados!$E:$E,$B118,Dados!$C:$C,INDEX(J$3,1,1),Dados!$A:$A,INDEX($D:$E,MATCH("D",$D:$D,0),2))=0,"",SUMIFS(Dados!$G:$G,Dados!$E:$E,$B118,Dados!$C:$C,INDEX(J$3,1,1),Dados!$A:$A,INDEX($D:$E,MATCH("D",$D:$D,0),2))/COUNTIFS(Dados!$E:$E,$B118,Dados!$C:$C,INDEX(J$3,1,1),Dados!$A:$A,INDEX($D:$E,MATCH("D",$D:$D,0),2)))</f>
        <v/>
      </c>
      <c r="K118" s="68" t="str">
        <f>IF(COUNTIFS(Dados!$E:$E,$B118,Dados!$C:$C,INDEX(K$3,1,1),Dados!$A:$A,INDEX($D:$E,MATCH("D",$D:$D,0),2))=0,"",SUMIFS(Dados!$G:$G,Dados!$E:$E,$B118,Dados!$C:$C,INDEX(K$3,1,1),Dados!$A:$A,INDEX($D:$E,MATCH("D",$D:$D,0),2))/COUNTIFS(Dados!$E:$E,$B118,Dados!$C:$C,INDEX(K$3,1,1),Dados!$A:$A,INDEX($D:$E,MATCH("D",$D:$D,0),2)))</f>
        <v/>
      </c>
      <c r="L118" s="68" t="str">
        <f>IF(COUNTIFS(Dados!$E:$E,$B118,Dados!$C:$C,INDEX(L$3,1,1),Dados!$A:$A,INDEX($D:$E,MATCH("D",$D:$D,0),2))=0,"",SUMIFS(Dados!$G:$G,Dados!$E:$E,$B118,Dados!$C:$C,INDEX(L$3,1,1),Dados!$A:$A,INDEX($D:$E,MATCH("D",$D:$D,0),2))/COUNTIFS(Dados!$E:$E,$B118,Dados!$C:$C,INDEX(L$3,1,1),Dados!$A:$A,INDEX($D:$E,MATCH("D",$D:$D,0),2)))</f>
        <v/>
      </c>
      <c r="M118" s="68" t="str">
        <f>IF(COUNTIFS(Dados!$E:$E,$B118,Dados!$C:$C,INDEX(M$3,1,1),Dados!$A:$A,INDEX($D:$E,MATCH("D",$D:$D,0),2))=0,"",SUMIFS(Dados!$G:$G,Dados!$E:$E,$B118,Dados!$C:$C,INDEX(M$3,1,1),Dados!$A:$A,INDEX($D:$E,MATCH("D",$D:$D,0),2))/COUNTIFS(Dados!$E:$E,$B118,Dados!$C:$C,INDEX(M$3,1,1),Dados!$A:$A,INDEX($D:$E,MATCH("D",$D:$D,0),2)))</f>
        <v/>
      </c>
      <c r="N118" s="68" t="str">
        <f>IF(COUNTIFS(Dados!$E:$E,$B118,Dados!$C:$C,INDEX(N$3,1,1),Dados!$A:$A,INDEX($D:$E,MATCH("D",$D:$D,0),2))=0,"",SUMIFS(Dados!$G:$G,Dados!$E:$E,$B118,Dados!$C:$C,INDEX(N$3,1,1),Dados!$A:$A,INDEX($D:$E,MATCH("D",$D:$D,0),2))/COUNTIFS(Dados!$E:$E,$B118,Dados!$C:$C,INDEX(N$3,1,1),Dados!$A:$A,INDEX($D:$E,MATCH("D",$D:$D,0),2)))</f>
        <v/>
      </c>
      <c r="O118" s="68" t="str">
        <f>IF(COUNTIFS(Dados!$E:$E,$B118,Dados!$C:$C,INDEX(O$3,1,1),Dados!$A:$A,INDEX($D:$E,MATCH("D",$D:$D,0),2))=0,"",SUMIFS(Dados!$G:$G,Dados!$E:$E,$B118,Dados!$C:$C,INDEX(O$3,1,1),Dados!$A:$A,INDEX($D:$E,MATCH("D",$D:$D,0),2))/COUNTIFS(Dados!$E:$E,$B118,Dados!$C:$C,INDEX(O$3,1,1),Dados!$A:$A,INDEX($D:$E,MATCH("D",$D:$D,0),2)))</f>
        <v/>
      </c>
      <c r="P118" s="68" t="str">
        <f>IF(COUNTIFS(Dados!$E:$E,$B118,Dados!$C:$C,INDEX(P$3,1,1),Dados!$A:$A,INDEX($D:$E,MATCH("D",$D:$D,0),2))=0,"",SUMIFS(Dados!$G:$G,Dados!$E:$E,$B118,Dados!$C:$C,INDEX(P$3,1,1),Dados!$A:$A,INDEX($D:$E,MATCH("D",$D:$D,0),2))/COUNTIFS(Dados!$E:$E,$B118,Dados!$C:$C,INDEX(P$3,1,1),Dados!$A:$A,INDEX($D:$E,MATCH("D",$D:$D,0),2)))</f>
        <v/>
      </c>
      <c r="Q118" s="68" t="str">
        <f>IF(COUNTIFS(Dados!$E:$E,$B118,Dados!$C:$C,INDEX(Q$3,1,1),Dados!$A:$A,INDEX($D:$E,MATCH("D",$D:$D,0),2))=0,"",SUMIFS(Dados!$G:$G,Dados!$E:$E,$B118,Dados!$C:$C,INDEX(Q$3,1,1),Dados!$A:$A,INDEX($D:$E,MATCH("D",$D:$D,0),2))/COUNTIFS(Dados!$E:$E,$B118,Dados!$C:$C,INDEX(Q$3,1,1),Dados!$A:$A,INDEX($D:$E,MATCH("D",$D:$D,0),2)))</f>
        <v/>
      </c>
      <c r="R118" s="68" t="str">
        <f>IF(COUNTIFS(Dados!$E:$E,$B118,Dados!$C:$C,INDEX(R$3,1,1),Dados!$A:$A,INDEX($D:$E,MATCH("D",$D:$D,0),2))=0,"",SUMIFS(Dados!$G:$G,Dados!$E:$E,$B118,Dados!$C:$C,INDEX(R$3,1,1),Dados!$A:$A,INDEX($D:$E,MATCH("D",$D:$D,0),2))/COUNTIFS(Dados!$E:$E,$B118,Dados!$C:$C,INDEX(R$3,1,1),Dados!$A:$A,INDEX($D:$E,MATCH("D",$D:$D,0),2)))</f>
        <v/>
      </c>
      <c r="S118" s="68" t="str">
        <f>IF(COUNTIFS(Dados!$E:$E,$B118,Dados!$C:$C,INDEX(S$3,1,1),Dados!$A:$A,INDEX($D:$E,MATCH("D",$D:$D,0),2))=0,"",SUMIFS(Dados!$G:$G,Dados!$E:$E,$B118,Dados!$C:$C,INDEX(S$3,1,1),Dados!$A:$A,INDEX($D:$E,MATCH("D",$D:$D,0),2))/COUNTIFS(Dados!$E:$E,$B118,Dados!$C:$C,INDEX(S$3,1,1),Dados!$A:$A,INDEX($D:$E,MATCH("D",$D:$D,0),2)))</f>
        <v/>
      </c>
      <c r="T118" s="68" t="str">
        <f>IF(COUNTIFS(Dados!$E:$E,$B118,Dados!$C:$C,INDEX(T$3,1,1),Dados!$A:$A,INDEX($D:$E,MATCH("D",$D:$D,0),2))=0,"",SUMIFS(Dados!$G:$G,Dados!$E:$E,$B118,Dados!$C:$C,INDEX(T$3,1,1),Dados!$A:$A,INDEX($D:$E,MATCH("D",$D:$D,0),2))/COUNTIFS(Dados!$E:$E,$B118,Dados!$C:$C,INDEX(T$3,1,1),Dados!$A:$A,INDEX($D:$E,MATCH("D",$D:$D,0),2)))</f>
        <v/>
      </c>
      <c r="U118" s="68" t="str">
        <f>IF(COUNTIFS(Dados!$E:$E,$B118,Dados!$C:$C,INDEX(U$3,1,1),Dados!$A:$A,INDEX($D:$E,MATCH("D",$D:$D,0),2))=0,"",SUMIFS(Dados!$G:$G,Dados!$E:$E,$B118,Dados!$C:$C,INDEX(U$3,1,1),Dados!$A:$A,INDEX($D:$E,MATCH("D",$D:$D,0),2))/COUNTIFS(Dados!$E:$E,$B118,Dados!$C:$C,INDEX(U$3,1,1),Dados!$A:$A,INDEX($D:$E,MATCH("D",$D:$D,0),2)))</f>
        <v/>
      </c>
      <c r="V118" s="68" t="str">
        <f>IF(COUNTIFS(Dados!$E:$E,$B118,Dados!$C:$C,INDEX(V$3,1,1),Dados!$A:$A,INDEX($D:$E,MATCH("D",$D:$D,0),2))=0,"",SUMIFS(Dados!$G:$G,Dados!$E:$E,$B118,Dados!$C:$C,INDEX(V$3,1,1),Dados!$A:$A,INDEX($D:$E,MATCH("D",$D:$D,0),2))/COUNTIFS(Dados!$E:$E,$B118,Dados!$C:$C,INDEX(V$3,1,1),Dados!$A:$A,INDEX($D:$E,MATCH("D",$D:$D,0),2)))</f>
        <v/>
      </c>
    </row>
    <row r="119" spans="2:22" x14ac:dyDescent="0.25">
      <c r="B119" s="65" t="s">
        <v>898</v>
      </c>
      <c r="C119" s="72">
        <f>VLOOKUP(B119,B4:C22,2,0)</f>
        <v>11</v>
      </c>
      <c r="D119" s="66" t="str">
        <f>IF(COUNTIFS(Dados!$E:$E,$B119,Dados!$C:$C,INDEX(D$3,1,1),Dados!$A:$A,INDEX($D:$E,MATCH("D",$D:$D,0),2))=0,"",SUMIFS(Dados!$G:$G,Dados!$E:$E,$B119,Dados!$C:$C,INDEX(D$3,1,1),Dados!$A:$A,INDEX($D:$E,MATCH("D",$D:$D,0),2))/COUNTIFS(Dados!$E:$E,$B119,Dados!$C:$C,INDEX(D$3,1,1),Dados!$A:$A,INDEX($D:$E,MATCH("D",$D:$D,0),2)))</f>
        <v/>
      </c>
      <c r="E119" s="66" t="str">
        <f>IF(COUNTIFS(Dados!$E:$E,$B119,Dados!$C:$C,INDEX(E$3,1,1),Dados!$A:$A,INDEX($D:$E,MATCH("D",$D:$D,0),2))=0,"",SUMIFS(Dados!$G:$G,Dados!$E:$E,$B119,Dados!$C:$C,INDEX(E$3,1,1),Dados!$A:$A,INDEX($D:$E,MATCH("D",$D:$D,0),2))/COUNTIFS(Dados!$E:$E,$B119,Dados!$C:$C,INDEX(E$3,1,1),Dados!$A:$A,INDEX($D:$E,MATCH("D",$D:$D,0),2)))</f>
        <v/>
      </c>
      <c r="F119" s="66" t="str">
        <f>IF(COUNTIFS(Dados!$E:$E,$B119,Dados!$C:$C,INDEX(F$3,1,1),Dados!$A:$A,INDEX($D:$E,MATCH("D",$D:$D,0),2))=0,"",SUMIFS(Dados!$G:$G,Dados!$E:$E,$B119,Dados!$C:$C,INDEX(F$3,1,1),Dados!$A:$A,INDEX($D:$E,MATCH("D",$D:$D,0),2))/COUNTIFS(Dados!$E:$E,$B119,Dados!$C:$C,INDEX(F$3,1,1),Dados!$A:$A,INDEX($D:$E,MATCH("D",$D:$D,0),2)))</f>
        <v/>
      </c>
      <c r="G119" s="66" t="str">
        <f>IF(COUNTIFS(Dados!$E:$E,$B119,Dados!$C:$C,INDEX(G$3,1,1),Dados!$A:$A,INDEX($D:$E,MATCH("D",$D:$D,0),2))=0,"",SUMIFS(Dados!$G:$G,Dados!$E:$E,$B119,Dados!$C:$C,INDEX(G$3,1,1),Dados!$A:$A,INDEX($D:$E,MATCH("D",$D:$D,0),2))/COUNTIFS(Dados!$E:$E,$B119,Dados!$C:$C,INDEX(G$3,1,1),Dados!$A:$A,INDEX($D:$E,MATCH("D",$D:$D,0),2)))</f>
        <v/>
      </c>
      <c r="H119" s="66" t="str">
        <f>IF(COUNTIFS(Dados!$E:$E,$B119,Dados!$C:$C,INDEX(H$3,1,1),Dados!$A:$A,INDEX($D:$E,MATCH("D",$D:$D,0),2))=0,"",SUMIFS(Dados!$G:$G,Dados!$E:$E,$B119,Dados!$C:$C,INDEX(H$3,1,1),Dados!$A:$A,INDEX($D:$E,MATCH("D",$D:$D,0),2))/COUNTIFS(Dados!$E:$E,$B119,Dados!$C:$C,INDEX(H$3,1,1),Dados!$A:$A,INDEX($D:$E,MATCH("D",$D:$D,0),2)))</f>
        <v/>
      </c>
      <c r="I119" s="66" t="str">
        <f>IF(COUNTIFS(Dados!$E:$E,$B119,Dados!$C:$C,INDEX(I$3,1,1),Dados!$A:$A,INDEX($D:$E,MATCH("D",$D:$D,0),2))=0,"",SUMIFS(Dados!$G:$G,Dados!$E:$E,$B119,Dados!$C:$C,INDEX(I$3,1,1),Dados!$A:$A,INDEX($D:$E,MATCH("D",$D:$D,0),2))/COUNTIFS(Dados!$E:$E,$B119,Dados!$C:$C,INDEX(I$3,1,1),Dados!$A:$A,INDEX($D:$E,MATCH("D",$D:$D,0),2)))</f>
        <v/>
      </c>
      <c r="J119" s="66" t="str">
        <f>IF(COUNTIFS(Dados!$E:$E,$B119,Dados!$C:$C,INDEX(J$3,1,1),Dados!$A:$A,INDEX($D:$E,MATCH("D",$D:$D,0),2))=0,"",SUMIFS(Dados!$G:$G,Dados!$E:$E,$B119,Dados!$C:$C,INDEX(J$3,1,1),Dados!$A:$A,INDEX($D:$E,MATCH("D",$D:$D,0),2))/COUNTIFS(Dados!$E:$E,$B119,Dados!$C:$C,INDEX(J$3,1,1),Dados!$A:$A,INDEX($D:$E,MATCH("D",$D:$D,0),2)))</f>
        <v/>
      </c>
      <c r="K119" s="66" t="str">
        <f>IF(COUNTIFS(Dados!$E:$E,$B119,Dados!$C:$C,INDEX(K$3,1,1),Dados!$A:$A,INDEX($D:$E,MATCH("D",$D:$D,0),2))=0,"",SUMIFS(Dados!$G:$G,Dados!$E:$E,$B119,Dados!$C:$C,INDEX(K$3,1,1),Dados!$A:$A,INDEX($D:$E,MATCH("D",$D:$D,0),2))/COUNTIFS(Dados!$E:$E,$B119,Dados!$C:$C,INDEX(K$3,1,1),Dados!$A:$A,INDEX($D:$E,MATCH("D",$D:$D,0),2)))</f>
        <v/>
      </c>
      <c r="L119" s="66" t="str">
        <f>IF(COUNTIFS(Dados!$E:$E,$B119,Dados!$C:$C,INDEX(L$3,1,1),Dados!$A:$A,INDEX($D:$E,MATCH("D",$D:$D,0),2))=0,"",SUMIFS(Dados!$G:$G,Dados!$E:$E,$B119,Dados!$C:$C,INDEX(L$3,1,1),Dados!$A:$A,INDEX($D:$E,MATCH("D",$D:$D,0),2))/COUNTIFS(Dados!$E:$E,$B119,Dados!$C:$C,INDEX(L$3,1,1),Dados!$A:$A,INDEX($D:$E,MATCH("D",$D:$D,0),2)))</f>
        <v/>
      </c>
      <c r="M119" s="66" t="str">
        <f>IF(COUNTIFS(Dados!$E:$E,$B119,Dados!$C:$C,INDEX(M$3,1,1),Dados!$A:$A,INDEX($D:$E,MATCH("D",$D:$D,0),2))=0,"",SUMIFS(Dados!$G:$G,Dados!$E:$E,$B119,Dados!$C:$C,INDEX(M$3,1,1),Dados!$A:$A,INDEX($D:$E,MATCH("D",$D:$D,0),2))/COUNTIFS(Dados!$E:$E,$B119,Dados!$C:$C,INDEX(M$3,1,1),Dados!$A:$A,INDEX($D:$E,MATCH("D",$D:$D,0),2)))</f>
        <v/>
      </c>
      <c r="N119" s="66" t="str">
        <f>IF(COUNTIFS(Dados!$E:$E,$B119,Dados!$C:$C,INDEX(N$3,1,1),Dados!$A:$A,INDEX($D:$E,MATCH("D",$D:$D,0),2))=0,"",SUMIFS(Dados!$G:$G,Dados!$E:$E,$B119,Dados!$C:$C,INDEX(N$3,1,1),Dados!$A:$A,INDEX($D:$E,MATCH("D",$D:$D,0),2))/COUNTIFS(Dados!$E:$E,$B119,Dados!$C:$C,INDEX(N$3,1,1),Dados!$A:$A,INDEX($D:$E,MATCH("D",$D:$D,0),2)))</f>
        <v/>
      </c>
      <c r="O119" s="66" t="str">
        <f>IF(COUNTIFS(Dados!$E:$E,$B119,Dados!$C:$C,INDEX(O$3,1,1),Dados!$A:$A,INDEX($D:$E,MATCH("D",$D:$D,0),2))=0,"",SUMIFS(Dados!$G:$G,Dados!$E:$E,$B119,Dados!$C:$C,INDEX(O$3,1,1),Dados!$A:$A,INDEX($D:$E,MATCH("D",$D:$D,0),2))/COUNTIFS(Dados!$E:$E,$B119,Dados!$C:$C,INDEX(O$3,1,1),Dados!$A:$A,INDEX($D:$E,MATCH("D",$D:$D,0),2)))</f>
        <v/>
      </c>
      <c r="P119" s="66" t="str">
        <f>IF(COUNTIFS(Dados!$E:$E,$B119,Dados!$C:$C,INDEX(P$3,1,1),Dados!$A:$A,INDEX($D:$E,MATCH("D",$D:$D,0),2))=0,"",SUMIFS(Dados!$G:$G,Dados!$E:$E,$B119,Dados!$C:$C,INDEX(P$3,1,1),Dados!$A:$A,INDEX($D:$E,MATCH("D",$D:$D,0),2))/COUNTIFS(Dados!$E:$E,$B119,Dados!$C:$C,INDEX(P$3,1,1),Dados!$A:$A,INDEX($D:$E,MATCH("D",$D:$D,0),2)))</f>
        <v/>
      </c>
      <c r="Q119" s="66" t="str">
        <f>IF(COUNTIFS(Dados!$E:$E,$B119,Dados!$C:$C,INDEX(Q$3,1,1),Dados!$A:$A,INDEX($D:$E,MATCH("D",$D:$D,0),2))=0,"",SUMIFS(Dados!$G:$G,Dados!$E:$E,$B119,Dados!$C:$C,INDEX(Q$3,1,1),Dados!$A:$A,INDEX($D:$E,MATCH("D",$D:$D,0),2))/COUNTIFS(Dados!$E:$E,$B119,Dados!$C:$C,INDEX(Q$3,1,1),Dados!$A:$A,INDEX($D:$E,MATCH("D",$D:$D,0),2)))</f>
        <v/>
      </c>
      <c r="R119" s="66" t="str">
        <f>IF(COUNTIFS(Dados!$E:$E,$B119,Dados!$C:$C,INDEX(R$3,1,1),Dados!$A:$A,INDEX($D:$E,MATCH("D",$D:$D,0),2))=0,"",SUMIFS(Dados!$G:$G,Dados!$E:$E,$B119,Dados!$C:$C,INDEX(R$3,1,1),Dados!$A:$A,INDEX($D:$E,MATCH("D",$D:$D,0),2))/COUNTIFS(Dados!$E:$E,$B119,Dados!$C:$C,INDEX(R$3,1,1),Dados!$A:$A,INDEX($D:$E,MATCH("D",$D:$D,0),2)))</f>
        <v/>
      </c>
      <c r="S119" s="66" t="str">
        <f>IF(COUNTIFS(Dados!$E:$E,$B119,Dados!$C:$C,INDEX(S$3,1,1),Dados!$A:$A,INDEX($D:$E,MATCH("D",$D:$D,0),2))=0,"",SUMIFS(Dados!$G:$G,Dados!$E:$E,$B119,Dados!$C:$C,INDEX(S$3,1,1),Dados!$A:$A,INDEX($D:$E,MATCH("D",$D:$D,0),2))/COUNTIFS(Dados!$E:$E,$B119,Dados!$C:$C,INDEX(S$3,1,1),Dados!$A:$A,INDEX($D:$E,MATCH("D",$D:$D,0),2)))</f>
        <v/>
      </c>
      <c r="T119" s="66" t="str">
        <f>IF(COUNTIFS(Dados!$E:$E,$B119,Dados!$C:$C,INDEX(T$3,1,1),Dados!$A:$A,INDEX($D:$E,MATCH("D",$D:$D,0),2))=0,"",SUMIFS(Dados!$G:$G,Dados!$E:$E,$B119,Dados!$C:$C,INDEX(T$3,1,1),Dados!$A:$A,INDEX($D:$E,MATCH("D",$D:$D,0),2))/COUNTIFS(Dados!$E:$E,$B119,Dados!$C:$C,INDEX(T$3,1,1),Dados!$A:$A,INDEX($D:$E,MATCH("D",$D:$D,0),2)))</f>
        <v/>
      </c>
      <c r="U119" s="66" t="str">
        <f>IF(COUNTIFS(Dados!$E:$E,$B119,Dados!$C:$C,INDEX(U$3,1,1),Dados!$A:$A,INDEX($D:$E,MATCH("D",$D:$D,0),2))=0,"",SUMIFS(Dados!$G:$G,Dados!$E:$E,$B119,Dados!$C:$C,INDEX(U$3,1,1),Dados!$A:$A,INDEX($D:$E,MATCH("D",$D:$D,0),2))/COUNTIFS(Dados!$E:$E,$B119,Dados!$C:$C,INDEX(U$3,1,1),Dados!$A:$A,INDEX($D:$E,MATCH("D",$D:$D,0),2)))</f>
        <v/>
      </c>
      <c r="V119" s="66" t="str">
        <f>IF(COUNTIFS(Dados!$E:$E,$B119,Dados!$C:$C,INDEX(V$3,1,1),Dados!$A:$A,INDEX($D:$E,MATCH("D",$D:$D,0),2))=0,"",SUMIFS(Dados!$G:$G,Dados!$E:$E,$B119,Dados!$C:$C,INDEX(V$3,1,1),Dados!$A:$A,INDEX($D:$E,MATCH("D",$D:$D,0),2))/COUNTIFS(Dados!$E:$E,$B119,Dados!$C:$C,INDEX(V$3,1,1),Dados!$A:$A,INDEX($D:$E,MATCH("D",$D:$D,0),2)))</f>
        <v/>
      </c>
    </row>
    <row r="120" spans="2:22" x14ac:dyDescent="0.25">
      <c r="B120" s="67" t="s">
        <v>1301</v>
      </c>
      <c r="C120" s="71">
        <f>VLOOKUP(B120,B4:C22,2,0)</f>
        <v>12</v>
      </c>
      <c r="D120" s="68" t="str">
        <f>IF(COUNTIFS(Dados!$E:$E,$B120,Dados!$C:$C,INDEX(D$3,1,1),Dados!$A:$A,INDEX($D:$E,MATCH("D",$D:$D,0),2))=0,"",SUMIFS(Dados!$G:$G,Dados!$E:$E,$B120,Dados!$C:$C,INDEX(D$3,1,1),Dados!$A:$A,INDEX($D:$E,MATCH("D",$D:$D,0),2))/COUNTIFS(Dados!$E:$E,$B120,Dados!$C:$C,INDEX(D$3,1,1),Dados!$A:$A,INDEX($D:$E,MATCH("D",$D:$D,0),2)))</f>
        <v/>
      </c>
      <c r="E120" s="68" t="str">
        <f>IF(COUNTIFS(Dados!$E:$E,$B120,Dados!$C:$C,INDEX(E$3,1,1),Dados!$A:$A,INDEX($D:$E,MATCH("D",$D:$D,0),2))=0,"",SUMIFS(Dados!$G:$G,Dados!$E:$E,$B120,Dados!$C:$C,INDEX(E$3,1,1),Dados!$A:$A,INDEX($D:$E,MATCH("D",$D:$D,0),2))/COUNTIFS(Dados!$E:$E,$B120,Dados!$C:$C,INDEX(E$3,1,1),Dados!$A:$A,INDEX($D:$E,MATCH("D",$D:$D,0),2)))</f>
        <v/>
      </c>
      <c r="F120" s="68" t="str">
        <f>IF(COUNTIFS(Dados!$E:$E,$B120,Dados!$C:$C,INDEX(F$3,1,1),Dados!$A:$A,INDEX($D:$E,MATCH("D",$D:$D,0),2))=0,"",SUMIFS(Dados!$G:$G,Dados!$E:$E,$B120,Dados!$C:$C,INDEX(F$3,1,1),Dados!$A:$A,INDEX($D:$E,MATCH("D",$D:$D,0),2))/COUNTIFS(Dados!$E:$E,$B120,Dados!$C:$C,INDEX(F$3,1,1),Dados!$A:$A,INDEX($D:$E,MATCH("D",$D:$D,0),2)))</f>
        <v/>
      </c>
      <c r="G120" s="68" t="str">
        <f>IF(COUNTIFS(Dados!$E:$E,$B120,Dados!$C:$C,INDEX(G$3,1,1),Dados!$A:$A,INDEX($D:$E,MATCH("D",$D:$D,0),2))=0,"",SUMIFS(Dados!$G:$G,Dados!$E:$E,$B120,Dados!$C:$C,INDEX(G$3,1,1),Dados!$A:$A,INDEX($D:$E,MATCH("D",$D:$D,0),2))/COUNTIFS(Dados!$E:$E,$B120,Dados!$C:$C,INDEX(G$3,1,1),Dados!$A:$A,INDEX($D:$E,MATCH("D",$D:$D,0),2)))</f>
        <v/>
      </c>
      <c r="H120" s="68" t="str">
        <f>IF(COUNTIFS(Dados!$E:$E,$B120,Dados!$C:$C,INDEX(H$3,1,1),Dados!$A:$A,INDEX($D:$E,MATCH("D",$D:$D,0),2))=0,"",SUMIFS(Dados!$G:$G,Dados!$E:$E,$B120,Dados!$C:$C,INDEX(H$3,1,1),Dados!$A:$A,INDEX($D:$E,MATCH("D",$D:$D,0),2))/COUNTIFS(Dados!$E:$E,$B120,Dados!$C:$C,INDEX(H$3,1,1),Dados!$A:$A,INDEX($D:$E,MATCH("D",$D:$D,0),2)))</f>
        <v/>
      </c>
      <c r="I120" s="68" t="str">
        <f>IF(COUNTIFS(Dados!$E:$E,$B120,Dados!$C:$C,INDEX(I$3,1,1),Dados!$A:$A,INDEX($D:$E,MATCH("D",$D:$D,0),2))=0,"",SUMIFS(Dados!$G:$G,Dados!$E:$E,$B120,Dados!$C:$C,INDEX(I$3,1,1),Dados!$A:$A,INDEX($D:$E,MATCH("D",$D:$D,0),2))/COUNTIFS(Dados!$E:$E,$B120,Dados!$C:$C,INDEX(I$3,1,1),Dados!$A:$A,INDEX($D:$E,MATCH("D",$D:$D,0),2)))</f>
        <v/>
      </c>
      <c r="J120" s="68" t="str">
        <f>IF(COUNTIFS(Dados!$E:$E,$B120,Dados!$C:$C,INDEX(J$3,1,1),Dados!$A:$A,INDEX($D:$E,MATCH("D",$D:$D,0),2))=0,"",SUMIFS(Dados!$G:$G,Dados!$E:$E,$B120,Dados!$C:$C,INDEX(J$3,1,1),Dados!$A:$A,INDEX($D:$E,MATCH("D",$D:$D,0),2))/COUNTIFS(Dados!$E:$E,$B120,Dados!$C:$C,INDEX(J$3,1,1),Dados!$A:$A,INDEX($D:$E,MATCH("D",$D:$D,0),2)))</f>
        <v/>
      </c>
      <c r="K120" s="68" t="str">
        <f>IF(COUNTIFS(Dados!$E:$E,$B120,Dados!$C:$C,INDEX(K$3,1,1),Dados!$A:$A,INDEX($D:$E,MATCH("D",$D:$D,0),2))=0,"",SUMIFS(Dados!$G:$G,Dados!$E:$E,$B120,Dados!$C:$C,INDEX(K$3,1,1),Dados!$A:$A,INDEX($D:$E,MATCH("D",$D:$D,0),2))/COUNTIFS(Dados!$E:$E,$B120,Dados!$C:$C,INDEX(K$3,1,1),Dados!$A:$A,INDEX($D:$E,MATCH("D",$D:$D,0),2)))</f>
        <v/>
      </c>
      <c r="L120" s="68" t="str">
        <f>IF(COUNTIFS(Dados!$E:$E,$B120,Dados!$C:$C,INDEX(L$3,1,1),Dados!$A:$A,INDEX($D:$E,MATCH("D",$D:$D,0),2))=0,"",SUMIFS(Dados!$G:$G,Dados!$E:$E,$B120,Dados!$C:$C,INDEX(L$3,1,1),Dados!$A:$A,INDEX($D:$E,MATCH("D",$D:$D,0),2))/COUNTIFS(Dados!$E:$E,$B120,Dados!$C:$C,INDEX(L$3,1,1),Dados!$A:$A,INDEX($D:$E,MATCH("D",$D:$D,0),2)))</f>
        <v/>
      </c>
      <c r="M120" s="68" t="str">
        <f>IF(COUNTIFS(Dados!$E:$E,$B120,Dados!$C:$C,INDEX(M$3,1,1),Dados!$A:$A,INDEX($D:$E,MATCH("D",$D:$D,0),2))=0,"",SUMIFS(Dados!$G:$G,Dados!$E:$E,$B120,Dados!$C:$C,INDEX(M$3,1,1),Dados!$A:$A,INDEX($D:$E,MATCH("D",$D:$D,0),2))/COUNTIFS(Dados!$E:$E,$B120,Dados!$C:$C,INDEX(M$3,1,1),Dados!$A:$A,INDEX($D:$E,MATCH("D",$D:$D,0),2)))</f>
        <v/>
      </c>
      <c r="N120" s="68" t="str">
        <f>IF(COUNTIFS(Dados!$E:$E,$B120,Dados!$C:$C,INDEX(N$3,1,1),Dados!$A:$A,INDEX($D:$E,MATCH("D",$D:$D,0),2))=0,"",SUMIFS(Dados!$G:$G,Dados!$E:$E,$B120,Dados!$C:$C,INDEX(N$3,1,1),Dados!$A:$A,INDEX($D:$E,MATCH("D",$D:$D,0),2))/COUNTIFS(Dados!$E:$E,$B120,Dados!$C:$C,INDEX(N$3,1,1),Dados!$A:$A,INDEX($D:$E,MATCH("D",$D:$D,0),2)))</f>
        <v/>
      </c>
      <c r="O120" s="68" t="str">
        <f>IF(COUNTIFS(Dados!$E:$E,$B120,Dados!$C:$C,INDEX(O$3,1,1),Dados!$A:$A,INDEX($D:$E,MATCH("D",$D:$D,0),2))=0,"",SUMIFS(Dados!$G:$G,Dados!$E:$E,$B120,Dados!$C:$C,INDEX(O$3,1,1),Dados!$A:$A,INDEX($D:$E,MATCH("D",$D:$D,0),2))/COUNTIFS(Dados!$E:$E,$B120,Dados!$C:$C,INDEX(O$3,1,1),Dados!$A:$A,INDEX($D:$E,MATCH("D",$D:$D,0),2)))</f>
        <v/>
      </c>
      <c r="P120" s="68" t="str">
        <f>IF(COUNTIFS(Dados!$E:$E,$B120,Dados!$C:$C,INDEX(P$3,1,1),Dados!$A:$A,INDEX($D:$E,MATCH("D",$D:$D,0),2))=0,"",SUMIFS(Dados!$G:$G,Dados!$E:$E,$B120,Dados!$C:$C,INDEX(P$3,1,1),Dados!$A:$A,INDEX($D:$E,MATCH("D",$D:$D,0),2))/COUNTIFS(Dados!$E:$E,$B120,Dados!$C:$C,INDEX(P$3,1,1),Dados!$A:$A,INDEX($D:$E,MATCH("D",$D:$D,0),2)))</f>
        <v/>
      </c>
      <c r="Q120" s="68" t="str">
        <f>IF(COUNTIFS(Dados!$E:$E,$B120,Dados!$C:$C,INDEX(Q$3,1,1),Dados!$A:$A,INDEX($D:$E,MATCH("D",$D:$D,0),2))=0,"",SUMIFS(Dados!$G:$G,Dados!$E:$E,$B120,Dados!$C:$C,INDEX(Q$3,1,1),Dados!$A:$A,INDEX($D:$E,MATCH("D",$D:$D,0),2))/COUNTIFS(Dados!$E:$E,$B120,Dados!$C:$C,INDEX(Q$3,1,1),Dados!$A:$A,INDEX($D:$E,MATCH("D",$D:$D,0),2)))</f>
        <v/>
      </c>
      <c r="R120" s="68" t="str">
        <f>IF(COUNTIFS(Dados!$E:$E,$B120,Dados!$C:$C,INDEX(R$3,1,1),Dados!$A:$A,INDEX($D:$E,MATCH("D",$D:$D,0),2))=0,"",SUMIFS(Dados!$G:$G,Dados!$E:$E,$B120,Dados!$C:$C,INDEX(R$3,1,1),Dados!$A:$A,INDEX($D:$E,MATCH("D",$D:$D,0),2))/COUNTIFS(Dados!$E:$E,$B120,Dados!$C:$C,INDEX(R$3,1,1),Dados!$A:$A,INDEX($D:$E,MATCH("D",$D:$D,0),2)))</f>
        <v/>
      </c>
      <c r="S120" s="68" t="str">
        <f>IF(COUNTIFS(Dados!$E:$E,$B120,Dados!$C:$C,INDEX(S$3,1,1),Dados!$A:$A,INDEX($D:$E,MATCH("D",$D:$D,0),2))=0,"",SUMIFS(Dados!$G:$G,Dados!$E:$E,$B120,Dados!$C:$C,INDEX(S$3,1,1),Dados!$A:$A,INDEX($D:$E,MATCH("D",$D:$D,0),2))/COUNTIFS(Dados!$E:$E,$B120,Dados!$C:$C,INDEX(S$3,1,1),Dados!$A:$A,INDEX($D:$E,MATCH("D",$D:$D,0),2)))</f>
        <v/>
      </c>
      <c r="T120" s="68" t="str">
        <f>IF(COUNTIFS(Dados!$E:$E,$B120,Dados!$C:$C,INDEX(T$3,1,1),Dados!$A:$A,INDEX($D:$E,MATCH("D",$D:$D,0),2))=0,"",SUMIFS(Dados!$G:$G,Dados!$E:$E,$B120,Dados!$C:$C,INDEX(T$3,1,1),Dados!$A:$A,INDEX($D:$E,MATCH("D",$D:$D,0),2))/COUNTIFS(Dados!$E:$E,$B120,Dados!$C:$C,INDEX(T$3,1,1),Dados!$A:$A,INDEX($D:$E,MATCH("D",$D:$D,0),2)))</f>
        <v/>
      </c>
      <c r="U120" s="68" t="str">
        <f>IF(COUNTIFS(Dados!$E:$E,$B120,Dados!$C:$C,INDEX(U$3,1,1),Dados!$A:$A,INDEX($D:$E,MATCH("D",$D:$D,0),2))=0,"",SUMIFS(Dados!$G:$G,Dados!$E:$E,$B120,Dados!$C:$C,INDEX(U$3,1,1),Dados!$A:$A,INDEX($D:$E,MATCH("D",$D:$D,0),2))/COUNTIFS(Dados!$E:$E,$B120,Dados!$C:$C,INDEX(U$3,1,1),Dados!$A:$A,INDEX($D:$E,MATCH("D",$D:$D,0),2)))</f>
        <v/>
      </c>
      <c r="V120" s="68" t="str">
        <f>IF(COUNTIFS(Dados!$E:$E,$B120,Dados!$C:$C,INDEX(V$3,1,1),Dados!$A:$A,INDEX($D:$E,MATCH("D",$D:$D,0),2))=0,"",SUMIFS(Dados!$G:$G,Dados!$E:$E,$B120,Dados!$C:$C,INDEX(V$3,1,1),Dados!$A:$A,INDEX($D:$E,MATCH("D",$D:$D,0),2))/COUNTIFS(Dados!$E:$E,$B120,Dados!$C:$C,INDEX(V$3,1,1),Dados!$A:$A,INDEX($D:$E,MATCH("D",$D:$D,0),2)))</f>
        <v/>
      </c>
    </row>
    <row r="121" spans="2:22" x14ac:dyDescent="0.25">
      <c r="B121" s="65" t="s">
        <v>1302</v>
      </c>
      <c r="C121" s="72">
        <f>VLOOKUP(B121,B4:C22,2,0)</f>
        <v>13</v>
      </c>
      <c r="D121" s="66" t="str">
        <f>IF(COUNTIFS(Dados!$E:$E,$B121,Dados!$C:$C,INDEX(D$3,1,1),Dados!$A:$A,INDEX($D:$E,MATCH("D",$D:$D,0),2))=0,"",SUMIFS(Dados!$G:$G,Dados!$E:$E,$B121,Dados!$C:$C,INDEX(D$3,1,1),Dados!$A:$A,INDEX($D:$E,MATCH("D",$D:$D,0),2))/COUNTIFS(Dados!$E:$E,$B121,Dados!$C:$C,INDEX(D$3,1,1),Dados!$A:$A,INDEX($D:$E,MATCH("D",$D:$D,0),2)))</f>
        <v/>
      </c>
      <c r="E121" s="66" t="str">
        <f>IF(COUNTIFS(Dados!$E:$E,$B121,Dados!$C:$C,INDEX(E$3,1,1),Dados!$A:$A,INDEX($D:$E,MATCH("D",$D:$D,0),2))=0,"",SUMIFS(Dados!$G:$G,Dados!$E:$E,$B121,Dados!$C:$C,INDEX(E$3,1,1),Dados!$A:$A,INDEX($D:$E,MATCH("D",$D:$D,0),2))/COUNTIFS(Dados!$E:$E,$B121,Dados!$C:$C,INDEX(E$3,1,1),Dados!$A:$A,INDEX($D:$E,MATCH("D",$D:$D,0),2)))</f>
        <v/>
      </c>
      <c r="F121" s="66" t="str">
        <f>IF(COUNTIFS(Dados!$E:$E,$B121,Dados!$C:$C,INDEX(F$3,1,1),Dados!$A:$A,INDEX($D:$E,MATCH("D",$D:$D,0),2))=0,"",SUMIFS(Dados!$G:$G,Dados!$E:$E,$B121,Dados!$C:$C,INDEX(F$3,1,1),Dados!$A:$A,INDEX($D:$E,MATCH("D",$D:$D,0),2))/COUNTIFS(Dados!$E:$E,$B121,Dados!$C:$C,INDEX(F$3,1,1),Dados!$A:$A,INDEX($D:$E,MATCH("D",$D:$D,0),2)))</f>
        <v/>
      </c>
      <c r="G121" s="66" t="str">
        <f>IF(COUNTIFS(Dados!$E:$E,$B121,Dados!$C:$C,INDEX(G$3,1,1),Dados!$A:$A,INDEX($D:$E,MATCH("D",$D:$D,0),2))=0,"",SUMIFS(Dados!$G:$G,Dados!$E:$E,$B121,Dados!$C:$C,INDEX(G$3,1,1),Dados!$A:$A,INDEX($D:$E,MATCH("D",$D:$D,0),2))/COUNTIFS(Dados!$E:$E,$B121,Dados!$C:$C,INDEX(G$3,1,1),Dados!$A:$A,INDEX($D:$E,MATCH("D",$D:$D,0),2)))</f>
        <v/>
      </c>
      <c r="H121" s="66" t="str">
        <f>IF(COUNTIFS(Dados!$E:$E,$B121,Dados!$C:$C,INDEX(H$3,1,1),Dados!$A:$A,INDEX($D:$E,MATCH("D",$D:$D,0),2))=0,"",SUMIFS(Dados!$G:$G,Dados!$E:$E,$B121,Dados!$C:$C,INDEX(H$3,1,1),Dados!$A:$A,INDEX($D:$E,MATCH("D",$D:$D,0),2))/COUNTIFS(Dados!$E:$E,$B121,Dados!$C:$C,INDEX(H$3,1,1),Dados!$A:$A,INDEX($D:$E,MATCH("D",$D:$D,0),2)))</f>
        <v/>
      </c>
      <c r="I121" s="66" t="str">
        <f>IF(COUNTIFS(Dados!$E:$E,$B121,Dados!$C:$C,INDEX(I$3,1,1),Dados!$A:$A,INDEX($D:$E,MATCH("D",$D:$D,0),2))=0,"",SUMIFS(Dados!$G:$G,Dados!$E:$E,$B121,Dados!$C:$C,INDEX(I$3,1,1),Dados!$A:$A,INDEX($D:$E,MATCH("D",$D:$D,0),2))/COUNTIFS(Dados!$E:$E,$B121,Dados!$C:$C,INDEX(I$3,1,1),Dados!$A:$A,INDEX($D:$E,MATCH("D",$D:$D,0),2)))</f>
        <v/>
      </c>
      <c r="J121" s="66" t="str">
        <f>IF(COUNTIFS(Dados!$E:$E,$B121,Dados!$C:$C,INDEX(J$3,1,1),Dados!$A:$A,INDEX($D:$E,MATCH("D",$D:$D,0),2))=0,"",SUMIFS(Dados!$G:$G,Dados!$E:$E,$B121,Dados!$C:$C,INDEX(J$3,1,1),Dados!$A:$A,INDEX($D:$E,MATCH("D",$D:$D,0),2))/COUNTIFS(Dados!$E:$E,$B121,Dados!$C:$C,INDEX(J$3,1,1),Dados!$A:$A,INDEX($D:$E,MATCH("D",$D:$D,0),2)))</f>
        <v/>
      </c>
      <c r="K121" s="66" t="str">
        <f>IF(COUNTIFS(Dados!$E:$E,$B121,Dados!$C:$C,INDEX(K$3,1,1),Dados!$A:$A,INDEX($D:$E,MATCH("D",$D:$D,0),2))=0,"",SUMIFS(Dados!$G:$G,Dados!$E:$E,$B121,Dados!$C:$C,INDEX(K$3,1,1),Dados!$A:$A,INDEX($D:$E,MATCH("D",$D:$D,0),2))/COUNTIFS(Dados!$E:$E,$B121,Dados!$C:$C,INDEX(K$3,1,1),Dados!$A:$A,INDEX($D:$E,MATCH("D",$D:$D,0),2)))</f>
        <v/>
      </c>
      <c r="L121" s="66" t="str">
        <f>IF(COUNTIFS(Dados!$E:$E,$B121,Dados!$C:$C,INDEX(L$3,1,1),Dados!$A:$A,INDEX($D:$E,MATCH("D",$D:$D,0),2))=0,"",SUMIFS(Dados!$G:$G,Dados!$E:$E,$B121,Dados!$C:$C,INDEX(L$3,1,1),Dados!$A:$A,INDEX($D:$E,MATCH("D",$D:$D,0),2))/COUNTIFS(Dados!$E:$E,$B121,Dados!$C:$C,INDEX(L$3,1,1),Dados!$A:$A,INDEX($D:$E,MATCH("D",$D:$D,0),2)))</f>
        <v/>
      </c>
      <c r="M121" s="66" t="str">
        <f>IF(COUNTIFS(Dados!$E:$E,$B121,Dados!$C:$C,INDEX(M$3,1,1),Dados!$A:$A,INDEX($D:$E,MATCH("D",$D:$D,0),2))=0,"",SUMIFS(Dados!$G:$G,Dados!$E:$E,$B121,Dados!$C:$C,INDEX(M$3,1,1),Dados!$A:$A,INDEX($D:$E,MATCH("D",$D:$D,0),2))/COUNTIFS(Dados!$E:$E,$B121,Dados!$C:$C,INDEX(M$3,1,1),Dados!$A:$A,INDEX($D:$E,MATCH("D",$D:$D,0),2)))</f>
        <v/>
      </c>
      <c r="N121" s="66" t="str">
        <f>IF(COUNTIFS(Dados!$E:$E,$B121,Dados!$C:$C,INDEX(N$3,1,1),Dados!$A:$A,INDEX($D:$E,MATCH("D",$D:$D,0),2))=0,"",SUMIFS(Dados!$G:$G,Dados!$E:$E,$B121,Dados!$C:$C,INDEX(N$3,1,1),Dados!$A:$A,INDEX($D:$E,MATCH("D",$D:$D,0),2))/COUNTIFS(Dados!$E:$E,$B121,Dados!$C:$C,INDEX(N$3,1,1),Dados!$A:$A,INDEX($D:$E,MATCH("D",$D:$D,0),2)))</f>
        <v/>
      </c>
      <c r="O121" s="66" t="str">
        <f>IF(COUNTIFS(Dados!$E:$E,$B121,Dados!$C:$C,INDEX(O$3,1,1),Dados!$A:$A,INDEX($D:$E,MATCH("D",$D:$D,0),2))=0,"",SUMIFS(Dados!$G:$G,Dados!$E:$E,$B121,Dados!$C:$C,INDEX(O$3,1,1),Dados!$A:$A,INDEX($D:$E,MATCH("D",$D:$D,0),2))/COUNTIFS(Dados!$E:$E,$B121,Dados!$C:$C,INDEX(O$3,1,1),Dados!$A:$A,INDEX($D:$E,MATCH("D",$D:$D,0),2)))</f>
        <v/>
      </c>
      <c r="P121" s="66" t="str">
        <f>IF(COUNTIFS(Dados!$E:$E,$B121,Dados!$C:$C,INDEX(P$3,1,1),Dados!$A:$A,INDEX($D:$E,MATCH("D",$D:$D,0),2))=0,"",SUMIFS(Dados!$G:$G,Dados!$E:$E,$B121,Dados!$C:$C,INDEX(P$3,1,1),Dados!$A:$A,INDEX($D:$E,MATCH("D",$D:$D,0),2))/COUNTIFS(Dados!$E:$E,$B121,Dados!$C:$C,INDEX(P$3,1,1),Dados!$A:$A,INDEX($D:$E,MATCH("D",$D:$D,0),2)))</f>
        <v/>
      </c>
      <c r="Q121" s="66" t="str">
        <f>IF(COUNTIFS(Dados!$E:$E,$B121,Dados!$C:$C,INDEX(Q$3,1,1),Dados!$A:$A,INDEX($D:$E,MATCH("D",$D:$D,0),2))=0,"",SUMIFS(Dados!$G:$G,Dados!$E:$E,$B121,Dados!$C:$C,INDEX(Q$3,1,1),Dados!$A:$A,INDEX($D:$E,MATCH("D",$D:$D,0),2))/COUNTIFS(Dados!$E:$E,$B121,Dados!$C:$C,INDEX(Q$3,1,1),Dados!$A:$A,INDEX($D:$E,MATCH("D",$D:$D,0),2)))</f>
        <v/>
      </c>
      <c r="R121" s="66" t="str">
        <f>IF(COUNTIFS(Dados!$E:$E,$B121,Dados!$C:$C,INDEX(R$3,1,1),Dados!$A:$A,INDEX($D:$E,MATCH("D",$D:$D,0),2))=0,"",SUMIFS(Dados!$G:$G,Dados!$E:$E,$B121,Dados!$C:$C,INDEX(R$3,1,1),Dados!$A:$A,INDEX($D:$E,MATCH("D",$D:$D,0),2))/COUNTIFS(Dados!$E:$E,$B121,Dados!$C:$C,INDEX(R$3,1,1),Dados!$A:$A,INDEX($D:$E,MATCH("D",$D:$D,0),2)))</f>
        <v/>
      </c>
      <c r="S121" s="66" t="str">
        <f>IF(COUNTIFS(Dados!$E:$E,$B121,Dados!$C:$C,INDEX(S$3,1,1),Dados!$A:$A,INDEX($D:$E,MATCH("D",$D:$D,0),2))=0,"",SUMIFS(Dados!$G:$G,Dados!$E:$E,$B121,Dados!$C:$C,INDEX(S$3,1,1),Dados!$A:$A,INDEX($D:$E,MATCH("D",$D:$D,0),2))/COUNTIFS(Dados!$E:$E,$B121,Dados!$C:$C,INDEX(S$3,1,1),Dados!$A:$A,INDEX($D:$E,MATCH("D",$D:$D,0),2)))</f>
        <v/>
      </c>
      <c r="T121" s="66" t="str">
        <f>IF(COUNTIFS(Dados!$E:$E,$B121,Dados!$C:$C,INDEX(T$3,1,1),Dados!$A:$A,INDEX($D:$E,MATCH("D",$D:$D,0),2))=0,"",SUMIFS(Dados!$G:$G,Dados!$E:$E,$B121,Dados!$C:$C,INDEX(T$3,1,1),Dados!$A:$A,INDEX($D:$E,MATCH("D",$D:$D,0),2))/COUNTIFS(Dados!$E:$E,$B121,Dados!$C:$C,INDEX(T$3,1,1),Dados!$A:$A,INDEX($D:$E,MATCH("D",$D:$D,0),2)))</f>
        <v/>
      </c>
      <c r="U121" s="66" t="str">
        <f>IF(COUNTIFS(Dados!$E:$E,$B121,Dados!$C:$C,INDEX(U$3,1,1),Dados!$A:$A,INDEX($D:$E,MATCH("D",$D:$D,0),2))=0,"",SUMIFS(Dados!$G:$G,Dados!$E:$E,$B121,Dados!$C:$C,INDEX(U$3,1,1),Dados!$A:$A,INDEX($D:$E,MATCH("D",$D:$D,0),2))/COUNTIFS(Dados!$E:$E,$B121,Dados!$C:$C,INDEX(U$3,1,1),Dados!$A:$A,INDEX($D:$E,MATCH("D",$D:$D,0),2)))</f>
        <v/>
      </c>
      <c r="V121" s="66" t="str">
        <f>IF(COUNTIFS(Dados!$E:$E,$B121,Dados!$C:$C,INDEX(V$3,1,1),Dados!$A:$A,INDEX($D:$E,MATCH("D",$D:$D,0),2))=0,"",SUMIFS(Dados!$G:$G,Dados!$E:$E,$B121,Dados!$C:$C,INDEX(V$3,1,1),Dados!$A:$A,INDEX($D:$E,MATCH("D",$D:$D,0),2))/COUNTIFS(Dados!$E:$E,$B121,Dados!$C:$C,INDEX(V$3,1,1),Dados!$A:$A,INDEX($D:$E,MATCH("D",$D:$D,0),2)))</f>
        <v/>
      </c>
    </row>
    <row r="122" spans="2:22" x14ac:dyDescent="0.25">
      <c r="B122" s="67" t="s">
        <v>1296</v>
      </c>
      <c r="C122" s="71">
        <f>VLOOKUP(B122,B4:C22,2,0)</f>
        <v>14</v>
      </c>
      <c r="D122" s="68" t="str">
        <f>IF(COUNTIFS(Dados!$E:$E,$B122,Dados!$C:$C,INDEX(D$3,1,1),Dados!$A:$A,INDEX($D:$E,MATCH("D",$D:$D,0),2))=0,"",SUMIFS(Dados!$G:$G,Dados!$E:$E,$B122,Dados!$C:$C,INDEX(D$3,1,1),Dados!$A:$A,INDEX($D:$E,MATCH("D",$D:$D,0),2))/COUNTIFS(Dados!$E:$E,$B122,Dados!$C:$C,INDEX(D$3,1,1),Dados!$A:$A,INDEX($D:$E,MATCH("D",$D:$D,0),2)))</f>
        <v/>
      </c>
      <c r="E122" s="68" t="str">
        <f>IF(COUNTIFS(Dados!$E:$E,$B122,Dados!$C:$C,INDEX(E$3,1,1),Dados!$A:$A,INDEX($D:$E,MATCH("D",$D:$D,0),2))=0,"",SUMIFS(Dados!$G:$G,Dados!$E:$E,$B122,Dados!$C:$C,INDEX(E$3,1,1),Dados!$A:$A,INDEX($D:$E,MATCH("D",$D:$D,0),2))/COUNTIFS(Dados!$E:$E,$B122,Dados!$C:$C,INDEX(E$3,1,1),Dados!$A:$A,INDEX($D:$E,MATCH("D",$D:$D,0),2)))</f>
        <v/>
      </c>
      <c r="F122" s="68" t="str">
        <f>IF(COUNTIFS(Dados!$E:$E,$B122,Dados!$C:$C,INDEX(F$3,1,1),Dados!$A:$A,INDEX($D:$E,MATCH("D",$D:$D,0),2))=0,"",SUMIFS(Dados!$G:$G,Dados!$E:$E,$B122,Dados!$C:$C,INDEX(F$3,1,1),Dados!$A:$A,INDEX($D:$E,MATCH("D",$D:$D,0),2))/COUNTIFS(Dados!$E:$E,$B122,Dados!$C:$C,INDEX(F$3,1,1),Dados!$A:$A,INDEX($D:$E,MATCH("D",$D:$D,0),2)))</f>
        <v/>
      </c>
      <c r="G122" s="68" t="str">
        <f>IF(COUNTIFS(Dados!$E:$E,$B122,Dados!$C:$C,INDEX(G$3,1,1),Dados!$A:$A,INDEX($D:$E,MATCH("D",$D:$D,0),2))=0,"",SUMIFS(Dados!$G:$G,Dados!$E:$E,$B122,Dados!$C:$C,INDEX(G$3,1,1),Dados!$A:$A,INDEX($D:$E,MATCH("D",$D:$D,0),2))/COUNTIFS(Dados!$E:$E,$B122,Dados!$C:$C,INDEX(G$3,1,1),Dados!$A:$A,INDEX($D:$E,MATCH("D",$D:$D,0),2)))</f>
        <v/>
      </c>
      <c r="H122" s="68" t="str">
        <f>IF(COUNTIFS(Dados!$E:$E,$B122,Dados!$C:$C,INDEX(H$3,1,1),Dados!$A:$A,INDEX($D:$E,MATCH("D",$D:$D,0),2))=0,"",SUMIFS(Dados!$G:$G,Dados!$E:$E,$B122,Dados!$C:$C,INDEX(H$3,1,1),Dados!$A:$A,INDEX($D:$E,MATCH("D",$D:$D,0),2))/COUNTIFS(Dados!$E:$E,$B122,Dados!$C:$C,INDEX(H$3,1,1),Dados!$A:$A,INDEX($D:$E,MATCH("D",$D:$D,0),2)))</f>
        <v/>
      </c>
      <c r="I122" s="68" t="str">
        <f>IF(COUNTIFS(Dados!$E:$E,$B122,Dados!$C:$C,INDEX(I$3,1,1),Dados!$A:$A,INDEX($D:$E,MATCH("D",$D:$D,0),2))=0,"",SUMIFS(Dados!$G:$G,Dados!$E:$E,$B122,Dados!$C:$C,INDEX(I$3,1,1),Dados!$A:$A,INDEX($D:$E,MATCH("D",$D:$D,0),2))/COUNTIFS(Dados!$E:$E,$B122,Dados!$C:$C,INDEX(I$3,1,1),Dados!$A:$A,INDEX($D:$E,MATCH("D",$D:$D,0),2)))</f>
        <v/>
      </c>
      <c r="J122" s="68" t="str">
        <f>IF(COUNTIFS(Dados!$E:$E,$B122,Dados!$C:$C,INDEX(J$3,1,1),Dados!$A:$A,INDEX($D:$E,MATCH("D",$D:$D,0),2))=0,"",SUMIFS(Dados!$G:$G,Dados!$E:$E,$B122,Dados!$C:$C,INDEX(J$3,1,1),Dados!$A:$A,INDEX($D:$E,MATCH("D",$D:$D,0),2))/COUNTIFS(Dados!$E:$E,$B122,Dados!$C:$C,INDEX(J$3,1,1),Dados!$A:$A,INDEX($D:$E,MATCH("D",$D:$D,0),2)))</f>
        <v/>
      </c>
      <c r="K122" s="68" t="str">
        <f>IF(COUNTIFS(Dados!$E:$E,$B122,Dados!$C:$C,INDEX(K$3,1,1),Dados!$A:$A,INDEX($D:$E,MATCH("D",$D:$D,0),2))=0,"",SUMIFS(Dados!$G:$G,Dados!$E:$E,$B122,Dados!$C:$C,INDEX(K$3,1,1),Dados!$A:$A,INDEX($D:$E,MATCH("D",$D:$D,0),2))/COUNTIFS(Dados!$E:$E,$B122,Dados!$C:$C,INDEX(K$3,1,1),Dados!$A:$A,INDEX($D:$E,MATCH("D",$D:$D,0),2)))</f>
        <v/>
      </c>
      <c r="L122" s="68" t="str">
        <f>IF(COUNTIFS(Dados!$E:$E,$B122,Dados!$C:$C,INDEX(L$3,1,1),Dados!$A:$A,INDEX($D:$E,MATCH("D",$D:$D,0),2))=0,"",SUMIFS(Dados!$G:$G,Dados!$E:$E,$B122,Dados!$C:$C,INDEX(L$3,1,1),Dados!$A:$A,INDEX($D:$E,MATCH("D",$D:$D,0),2))/COUNTIFS(Dados!$E:$E,$B122,Dados!$C:$C,INDEX(L$3,1,1),Dados!$A:$A,INDEX($D:$E,MATCH("D",$D:$D,0),2)))</f>
        <v/>
      </c>
      <c r="M122" s="68" t="str">
        <f>IF(COUNTIFS(Dados!$E:$E,$B122,Dados!$C:$C,INDEX(M$3,1,1),Dados!$A:$A,INDEX($D:$E,MATCH("D",$D:$D,0),2))=0,"",SUMIFS(Dados!$G:$G,Dados!$E:$E,$B122,Dados!$C:$C,INDEX(M$3,1,1),Dados!$A:$A,INDEX($D:$E,MATCH("D",$D:$D,0),2))/COUNTIFS(Dados!$E:$E,$B122,Dados!$C:$C,INDEX(M$3,1,1),Dados!$A:$A,INDEX($D:$E,MATCH("D",$D:$D,0),2)))</f>
        <v/>
      </c>
      <c r="N122" s="68" t="str">
        <f>IF(COUNTIFS(Dados!$E:$E,$B122,Dados!$C:$C,INDEX(N$3,1,1),Dados!$A:$A,INDEX($D:$E,MATCH("D",$D:$D,0),2))=0,"",SUMIFS(Dados!$G:$G,Dados!$E:$E,$B122,Dados!$C:$C,INDEX(N$3,1,1),Dados!$A:$A,INDEX($D:$E,MATCH("D",$D:$D,0),2))/COUNTIFS(Dados!$E:$E,$B122,Dados!$C:$C,INDEX(N$3,1,1),Dados!$A:$A,INDEX($D:$E,MATCH("D",$D:$D,0),2)))</f>
        <v/>
      </c>
      <c r="O122" s="68" t="str">
        <f>IF(COUNTIFS(Dados!$E:$E,$B122,Dados!$C:$C,INDEX(O$3,1,1),Dados!$A:$A,INDEX($D:$E,MATCH("D",$D:$D,0),2))=0,"",SUMIFS(Dados!$G:$G,Dados!$E:$E,$B122,Dados!$C:$C,INDEX(O$3,1,1),Dados!$A:$A,INDEX($D:$E,MATCH("D",$D:$D,0),2))/COUNTIFS(Dados!$E:$E,$B122,Dados!$C:$C,INDEX(O$3,1,1),Dados!$A:$A,INDEX($D:$E,MATCH("D",$D:$D,0),2)))</f>
        <v/>
      </c>
      <c r="P122" s="68" t="str">
        <f>IF(COUNTIFS(Dados!$E:$E,$B122,Dados!$C:$C,INDEX(P$3,1,1),Dados!$A:$A,INDEX($D:$E,MATCH("D",$D:$D,0),2))=0,"",SUMIFS(Dados!$G:$G,Dados!$E:$E,$B122,Dados!$C:$C,INDEX(P$3,1,1),Dados!$A:$A,INDEX($D:$E,MATCH("D",$D:$D,0),2))/COUNTIFS(Dados!$E:$E,$B122,Dados!$C:$C,INDEX(P$3,1,1),Dados!$A:$A,INDEX($D:$E,MATCH("D",$D:$D,0),2)))</f>
        <v/>
      </c>
      <c r="Q122" s="68" t="str">
        <f>IF(COUNTIFS(Dados!$E:$E,$B122,Dados!$C:$C,INDEX(Q$3,1,1),Dados!$A:$A,INDEX($D:$E,MATCH("D",$D:$D,0),2))=0,"",SUMIFS(Dados!$G:$G,Dados!$E:$E,$B122,Dados!$C:$C,INDEX(Q$3,1,1),Dados!$A:$A,INDEX($D:$E,MATCH("D",$D:$D,0),2))/COUNTIFS(Dados!$E:$E,$B122,Dados!$C:$C,INDEX(Q$3,1,1),Dados!$A:$A,INDEX($D:$E,MATCH("D",$D:$D,0),2)))</f>
        <v/>
      </c>
      <c r="R122" s="68" t="str">
        <f>IF(COUNTIFS(Dados!$E:$E,$B122,Dados!$C:$C,INDEX(R$3,1,1),Dados!$A:$A,INDEX($D:$E,MATCH("D",$D:$D,0),2))=0,"",SUMIFS(Dados!$G:$G,Dados!$E:$E,$B122,Dados!$C:$C,INDEX(R$3,1,1),Dados!$A:$A,INDEX($D:$E,MATCH("D",$D:$D,0),2))/COUNTIFS(Dados!$E:$E,$B122,Dados!$C:$C,INDEX(R$3,1,1),Dados!$A:$A,INDEX($D:$E,MATCH("D",$D:$D,0),2)))</f>
        <v/>
      </c>
      <c r="S122" s="68" t="str">
        <f>IF(COUNTIFS(Dados!$E:$E,$B122,Dados!$C:$C,INDEX(S$3,1,1),Dados!$A:$A,INDEX($D:$E,MATCH("D",$D:$D,0),2))=0,"",SUMIFS(Dados!$G:$G,Dados!$E:$E,$B122,Dados!$C:$C,INDEX(S$3,1,1),Dados!$A:$A,INDEX($D:$E,MATCH("D",$D:$D,0),2))/COUNTIFS(Dados!$E:$E,$B122,Dados!$C:$C,INDEX(S$3,1,1),Dados!$A:$A,INDEX($D:$E,MATCH("D",$D:$D,0),2)))</f>
        <v/>
      </c>
      <c r="T122" s="68" t="str">
        <f>IF(COUNTIFS(Dados!$E:$E,$B122,Dados!$C:$C,INDEX(T$3,1,1),Dados!$A:$A,INDEX($D:$E,MATCH("D",$D:$D,0),2))=0,"",SUMIFS(Dados!$G:$G,Dados!$E:$E,$B122,Dados!$C:$C,INDEX(T$3,1,1),Dados!$A:$A,INDEX($D:$E,MATCH("D",$D:$D,0),2))/COUNTIFS(Dados!$E:$E,$B122,Dados!$C:$C,INDEX(T$3,1,1),Dados!$A:$A,INDEX($D:$E,MATCH("D",$D:$D,0),2)))</f>
        <v/>
      </c>
      <c r="U122" s="68" t="str">
        <f>IF(COUNTIFS(Dados!$E:$E,$B122,Dados!$C:$C,INDEX(U$3,1,1),Dados!$A:$A,INDEX($D:$E,MATCH("D",$D:$D,0),2))=0,"",SUMIFS(Dados!$G:$G,Dados!$E:$E,$B122,Dados!$C:$C,INDEX(U$3,1,1),Dados!$A:$A,INDEX($D:$E,MATCH("D",$D:$D,0),2))/COUNTIFS(Dados!$E:$E,$B122,Dados!$C:$C,INDEX(U$3,1,1),Dados!$A:$A,INDEX($D:$E,MATCH("D",$D:$D,0),2)))</f>
        <v/>
      </c>
      <c r="V122" s="68" t="str">
        <f>IF(COUNTIFS(Dados!$E:$E,$B122,Dados!$C:$C,INDEX(V$3,1,1),Dados!$A:$A,INDEX($D:$E,MATCH("D",$D:$D,0),2))=0,"",SUMIFS(Dados!$G:$G,Dados!$E:$E,$B122,Dados!$C:$C,INDEX(V$3,1,1),Dados!$A:$A,INDEX($D:$E,MATCH("D",$D:$D,0),2))/COUNTIFS(Dados!$E:$E,$B122,Dados!$C:$C,INDEX(V$3,1,1),Dados!$A:$A,INDEX($D:$E,MATCH("D",$D:$D,0),2)))</f>
        <v/>
      </c>
    </row>
    <row r="123" spans="2:22" x14ac:dyDescent="0.25">
      <c r="B123" s="65" t="s">
        <v>33</v>
      </c>
      <c r="C123" s="72">
        <f>VLOOKUP(B123,B4:C22,2,0)</f>
        <v>15</v>
      </c>
      <c r="D123" s="66" t="str">
        <f>IF(COUNTIFS(Dados!$E:$E,$B123,Dados!$C:$C,INDEX(D$3,1,1),Dados!$A:$A,INDEX($D:$E,MATCH("D",$D:$D,0),2))=0,"",SUMIFS(Dados!$G:$G,Dados!$E:$E,$B123,Dados!$C:$C,INDEX(D$3,1,1),Dados!$A:$A,INDEX($D:$E,MATCH("D",$D:$D,0),2))/COUNTIFS(Dados!$E:$E,$B123,Dados!$C:$C,INDEX(D$3,1,1),Dados!$A:$A,INDEX($D:$E,MATCH("D",$D:$D,0),2)))</f>
        <v/>
      </c>
      <c r="E123" s="66" t="str">
        <f>IF(COUNTIFS(Dados!$E:$E,$B123,Dados!$C:$C,INDEX(E$3,1,1),Dados!$A:$A,INDEX($D:$E,MATCH("D",$D:$D,0),2))=0,"",SUMIFS(Dados!$G:$G,Dados!$E:$E,$B123,Dados!$C:$C,INDEX(E$3,1,1),Dados!$A:$A,INDEX($D:$E,MATCH("D",$D:$D,0),2))/COUNTIFS(Dados!$E:$E,$B123,Dados!$C:$C,INDEX(E$3,1,1),Dados!$A:$A,INDEX($D:$E,MATCH("D",$D:$D,0),2)))</f>
        <v/>
      </c>
      <c r="F123" s="66" t="str">
        <f>IF(COUNTIFS(Dados!$E:$E,$B123,Dados!$C:$C,INDEX(F$3,1,1),Dados!$A:$A,INDEX($D:$E,MATCH("D",$D:$D,0),2))=0,"",SUMIFS(Dados!$G:$G,Dados!$E:$E,$B123,Dados!$C:$C,INDEX(F$3,1,1),Dados!$A:$A,INDEX($D:$E,MATCH("D",$D:$D,0),2))/COUNTIFS(Dados!$E:$E,$B123,Dados!$C:$C,INDEX(F$3,1,1),Dados!$A:$A,INDEX($D:$E,MATCH("D",$D:$D,0),2)))</f>
        <v/>
      </c>
      <c r="G123" s="66" t="str">
        <f>IF(COUNTIFS(Dados!$E:$E,$B123,Dados!$C:$C,INDEX(G$3,1,1),Dados!$A:$A,INDEX($D:$E,MATCH("D",$D:$D,0),2))=0,"",SUMIFS(Dados!$G:$G,Dados!$E:$E,$B123,Dados!$C:$C,INDEX(G$3,1,1),Dados!$A:$A,INDEX($D:$E,MATCH("D",$D:$D,0),2))/COUNTIFS(Dados!$E:$E,$B123,Dados!$C:$C,INDEX(G$3,1,1),Dados!$A:$A,INDEX($D:$E,MATCH("D",$D:$D,0),2)))</f>
        <v/>
      </c>
      <c r="H123" s="66" t="str">
        <f>IF(COUNTIFS(Dados!$E:$E,$B123,Dados!$C:$C,INDEX(H$3,1,1),Dados!$A:$A,INDEX($D:$E,MATCH("D",$D:$D,0),2))=0,"",SUMIFS(Dados!$G:$G,Dados!$E:$E,$B123,Dados!$C:$C,INDEX(H$3,1,1),Dados!$A:$A,INDEX($D:$E,MATCH("D",$D:$D,0),2))/COUNTIFS(Dados!$E:$E,$B123,Dados!$C:$C,INDEX(H$3,1,1),Dados!$A:$A,INDEX($D:$E,MATCH("D",$D:$D,0),2)))</f>
        <v/>
      </c>
      <c r="I123" s="66" t="str">
        <f>IF(COUNTIFS(Dados!$E:$E,$B123,Dados!$C:$C,INDEX(I$3,1,1),Dados!$A:$A,INDEX($D:$E,MATCH("D",$D:$D,0),2))=0,"",SUMIFS(Dados!$G:$G,Dados!$E:$E,$B123,Dados!$C:$C,INDEX(I$3,1,1),Dados!$A:$A,INDEX($D:$E,MATCH("D",$D:$D,0),2))/COUNTIFS(Dados!$E:$E,$B123,Dados!$C:$C,INDEX(I$3,1,1),Dados!$A:$A,INDEX($D:$E,MATCH("D",$D:$D,0),2)))</f>
        <v/>
      </c>
      <c r="J123" s="66" t="str">
        <f>IF(COUNTIFS(Dados!$E:$E,$B123,Dados!$C:$C,INDEX(J$3,1,1),Dados!$A:$A,INDEX($D:$E,MATCH("D",$D:$D,0),2))=0,"",SUMIFS(Dados!$G:$G,Dados!$E:$E,$B123,Dados!$C:$C,INDEX(J$3,1,1),Dados!$A:$A,INDEX($D:$E,MATCH("D",$D:$D,0),2))/COUNTIFS(Dados!$E:$E,$B123,Dados!$C:$C,INDEX(J$3,1,1),Dados!$A:$A,INDEX($D:$E,MATCH("D",$D:$D,0),2)))</f>
        <v/>
      </c>
      <c r="K123" s="66" t="str">
        <f>IF(COUNTIFS(Dados!$E:$E,$B123,Dados!$C:$C,INDEX(K$3,1,1),Dados!$A:$A,INDEX($D:$E,MATCH("D",$D:$D,0),2))=0,"",SUMIFS(Dados!$G:$G,Dados!$E:$E,$B123,Dados!$C:$C,INDEX(K$3,1,1),Dados!$A:$A,INDEX($D:$E,MATCH("D",$D:$D,0),2))/COUNTIFS(Dados!$E:$E,$B123,Dados!$C:$C,INDEX(K$3,1,1),Dados!$A:$A,INDEX($D:$E,MATCH("D",$D:$D,0),2)))</f>
        <v/>
      </c>
      <c r="L123" s="66" t="str">
        <f>IF(COUNTIFS(Dados!$E:$E,$B123,Dados!$C:$C,INDEX(L$3,1,1),Dados!$A:$A,INDEX($D:$E,MATCH("D",$D:$D,0),2))=0,"",SUMIFS(Dados!$G:$G,Dados!$E:$E,$B123,Dados!$C:$C,INDEX(L$3,1,1),Dados!$A:$A,INDEX($D:$E,MATCH("D",$D:$D,0),2))/COUNTIFS(Dados!$E:$E,$B123,Dados!$C:$C,INDEX(L$3,1,1),Dados!$A:$A,INDEX($D:$E,MATCH("D",$D:$D,0),2)))</f>
        <v/>
      </c>
      <c r="M123" s="66" t="str">
        <f>IF(COUNTIFS(Dados!$E:$E,$B123,Dados!$C:$C,INDEX(M$3,1,1),Dados!$A:$A,INDEX($D:$E,MATCH("D",$D:$D,0),2))=0,"",SUMIFS(Dados!$G:$G,Dados!$E:$E,$B123,Dados!$C:$C,INDEX(M$3,1,1),Dados!$A:$A,INDEX($D:$E,MATCH("D",$D:$D,0),2))/COUNTIFS(Dados!$E:$E,$B123,Dados!$C:$C,INDEX(M$3,1,1),Dados!$A:$A,INDEX($D:$E,MATCH("D",$D:$D,0),2)))</f>
        <v/>
      </c>
      <c r="N123" s="66" t="str">
        <f>IF(COUNTIFS(Dados!$E:$E,$B123,Dados!$C:$C,INDEX(N$3,1,1),Dados!$A:$A,INDEX($D:$E,MATCH("D",$D:$D,0),2))=0,"",SUMIFS(Dados!$G:$G,Dados!$E:$E,$B123,Dados!$C:$C,INDEX(N$3,1,1),Dados!$A:$A,INDEX($D:$E,MATCH("D",$D:$D,0),2))/COUNTIFS(Dados!$E:$E,$B123,Dados!$C:$C,INDEX(N$3,1,1),Dados!$A:$A,INDEX($D:$E,MATCH("D",$D:$D,0),2)))</f>
        <v/>
      </c>
      <c r="O123" s="66" t="str">
        <f>IF(COUNTIFS(Dados!$E:$E,$B123,Dados!$C:$C,INDEX(O$3,1,1),Dados!$A:$A,INDEX($D:$E,MATCH("D",$D:$D,0),2))=0,"",SUMIFS(Dados!$G:$G,Dados!$E:$E,$B123,Dados!$C:$C,INDEX(O$3,1,1),Dados!$A:$A,INDEX($D:$E,MATCH("D",$D:$D,0),2))/COUNTIFS(Dados!$E:$E,$B123,Dados!$C:$C,INDEX(O$3,1,1),Dados!$A:$A,INDEX($D:$E,MATCH("D",$D:$D,0),2)))</f>
        <v/>
      </c>
      <c r="P123" s="66" t="str">
        <f>IF(COUNTIFS(Dados!$E:$E,$B123,Dados!$C:$C,INDEX(P$3,1,1),Dados!$A:$A,INDEX($D:$E,MATCH("D",$D:$D,0),2))=0,"",SUMIFS(Dados!$G:$G,Dados!$E:$E,$B123,Dados!$C:$C,INDEX(P$3,1,1),Dados!$A:$A,INDEX($D:$E,MATCH("D",$D:$D,0),2))/COUNTIFS(Dados!$E:$E,$B123,Dados!$C:$C,INDEX(P$3,1,1),Dados!$A:$A,INDEX($D:$E,MATCH("D",$D:$D,0),2)))</f>
        <v/>
      </c>
      <c r="Q123" s="66" t="str">
        <f>IF(COUNTIFS(Dados!$E:$E,$B123,Dados!$C:$C,INDEX(Q$3,1,1),Dados!$A:$A,INDEX($D:$E,MATCH("D",$D:$D,0),2))=0,"",SUMIFS(Dados!$G:$G,Dados!$E:$E,$B123,Dados!$C:$C,INDEX(Q$3,1,1),Dados!$A:$A,INDEX($D:$E,MATCH("D",$D:$D,0),2))/COUNTIFS(Dados!$E:$E,$B123,Dados!$C:$C,INDEX(Q$3,1,1),Dados!$A:$A,INDEX($D:$E,MATCH("D",$D:$D,0),2)))</f>
        <v/>
      </c>
      <c r="R123" s="66" t="str">
        <f>IF(COUNTIFS(Dados!$E:$E,$B123,Dados!$C:$C,INDEX(R$3,1,1),Dados!$A:$A,INDEX($D:$E,MATCH("D",$D:$D,0),2))=0,"",SUMIFS(Dados!$G:$G,Dados!$E:$E,$B123,Dados!$C:$C,INDEX(R$3,1,1),Dados!$A:$A,INDEX($D:$E,MATCH("D",$D:$D,0),2))/COUNTIFS(Dados!$E:$E,$B123,Dados!$C:$C,INDEX(R$3,1,1),Dados!$A:$A,INDEX($D:$E,MATCH("D",$D:$D,0),2)))</f>
        <v/>
      </c>
      <c r="S123" s="66" t="str">
        <f>IF(COUNTIFS(Dados!$E:$E,$B123,Dados!$C:$C,INDEX(S$3,1,1),Dados!$A:$A,INDEX($D:$E,MATCH("D",$D:$D,0),2))=0,"",SUMIFS(Dados!$G:$G,Dados!$E:$E,$B123,Dados!$C:$C,INDEX(S$3,1,1),Dados!$A:$A,INDEX($D:$E,MATCH("D",$D:$D,0),2))/COUNTIFS(Dados!$E:$E,$B123,Dados!$C:$C,INDEX(S$3,1,1),Dados!$A:$A,INDEX($D:$E,MATCH("D",$D:$D,0),2)))</f>
        <v/>
      </c>
      <c r="T123" s="66">
        <f>IF(COUNTIFS(Dados!$E:$E,$B123,Dados!$C:$C,INDEX(T$3,1,1),Dados!$A:$A,INDEX($D:$E,MATCH("D",$D:$D,0),2))=0,"",SUMIFS(Dados!$G:$G,Dados!$E:$E,$B123,Dados!$C:$C,INDEX(T$3,1,1),Dados!$A:$A,INDEX($D:$E,MATCH("D",$D:$D,0),2))/COUNTIFS(Dados!$E:$E,$B123,Dados!$C:$C,INDEX(T$3,1,1),Dados!$A:$A,INDEX($D:$E,MATCH("D",$D:$D,0),2)))</f>
        <v>0.32621327565308855</v>
      </c>
      <c r="U123" s="66">
        <f>IF(COUNTIFS(Dados!$E:$E,$B123,Dados!$C:$C,INDEX(U$3,1,1),Dados!$A:$A,INDEX($D:$E,MATCH("D",$D:$D,0),2))=0,"",SUMIFS(Dados!$G:$G,Dados!$E:$E,$B123,Dados!$C:$C,INDEX(U$3,1,1),Dados!$A:$A,INDEX($D:$E,MATCH("D",$D:$D,0),2))/COUNTIFS(Dados!$E:$E,$B123,Dados!$C:$C,INDEX(U$3,1,1),Dados!$A:$A,INDEX($D:$E,MATCH("D",$D:$D,0),2)))</f>
        <v>0.48649495738552867</v>
      </c>
      <c r="V123" s="66" t="str">
        <f>IF(COUNTIFS(Dados!$E:$E,$B123,Dados!$C:$C,INDEX(V$3,1,1),Dados!$A:$A,INDEX($D:$E,MATCH("D",$D:$D,0),2))=0,"",SUMIFS(Dados!$G:$G,Dados!$E:$E,$B123,Dados!$C:$C,INDEX(V$3,1,1),Dados!$A:$A,INDEX($D:$E,MATCH("D",$D:$D,0),2))/COUNTIFS(Dados!$E:$E,$B123,Dados!$C:$C,INDEX(V$3,1,1),Dados!$A:$A,INDEX($D:$E,MATCH("D",$D:$D,0),2)))</f>
        <v/>
      </c>
    </row>
    <row r="124" spans="2:22" x14ac:dyDescent="0.25">
      <c r="B124" s="67" t="s">
        <v>1299</v>
      </c>
      <c r="C124" s="71">
        <f>VLOOKUP(B124,B4:C22,2,0)</f>
        <v>16</v>
      </c>
      <c r="D124" s="68" t="str">
        <f>IF(COUNTIFS(Dados!$E:$E,$B124,Dados!$C:$C,INDEX(D$3,1,1),Dados!$A:$A,INDEX($D:$E,MATCH("D",$D:$D,0),2))=0,"",SUMIFS(Dados!$G:$G,Dados!$E:$E,$B124,Dados!$C:$C,INDEX(D$3,1,1),Dados!$A:$A,INDEX($D:$E,MATCH("D",$D:$D,0),2))/COUNTIFS(Dados!$E:$E,$B124,Dados!$C:$C,INDEX(D$3,1,1),Dados!$A:$A,INDEX($D:$E,MATCH("D",$D:$D,0),2)))</f>
        <v/>
      </c>
      <c r="E124" s="68" t="str">
        <f>IF(COUNTIFS(Dados!$E:$E,$B124,Dados!$C:$C,INDEX(E$3,1,1),Dados!$A:$A,INDEX($D:$E,MATCH("D",$D:$D,0),2))=0,"",SUMIFS(Dados!$G:$G,Dados!$E:$E,$B124,Dados!$C:$C,INDEX(E$3,1,1),Dados!$A:$A,INDEX($D:$E,MATCH("D",$D:$D,0),2))/COUNTIFS(Dados!$E:$E,$B124,Dados!$C:$C,INDEX(E$3,1,1),Dados!$A:$A,INDEX($D:$E,MATCH("D",$D:$D,0),2)))</f>
        <v/>
      </c>
      <c r="F124" s="68" t="str">
        <f>IF(COUNTIFS(Dados!$E:$E,$B124,Dados!$C:$C,INDEX(F$3,1,1),Dados!$A:$A,INDEX($D:$E,MATCH("D",$D:$D,0),2))=0,"",SUMIFS(Dados!$G:$G,Dados!$E:$E,$B124,Dados!$C:$C,INDEX(F$3,1,1),Dados!$A:$A,INDEX($D:$E,MATCH("D",$D:$D,0),2))/COUNTIFS(Dados!$E:$E,$B124,Dados!$C:$C,INDEX(F$3,1,1),Dados!$A:$A,INDEX($D:$E,MATCH("D",$D:$D,0),2)))</f>
        <v/>
      </c>
      <c r="G124" s="68" t="str">
        <f>IF(COUNTIFS(Dados!$E:$E,$B124,Dados!$C:$C,INDEX(G$3,1,1),Dados!$A:$A,INDEX($D:$E,MATCH("D",$D:$D,0),2))=0,"",SUMIFS(Dados!$G:$G,Dados!$E:$E,$B124,Dados!$C:$C,INDEX(G$3,1,1),Dados!$A:$A,INDEX($D:$E,MATCH("D",$D:$D,0),2))/COUNTIFS(Dados!$E:$E,$B124,Dados!$C:$C,INDEX(G$3,1,1),Dados!$A:$A,INDEX($D:$E,MATCH("D",$D:$D,0),2)))</f>
        <v/>
      </c>
      <c r="H124" s="68" t="str">
        <f>IF(COUNTIFS(Dados!$E:$E,$B124,Dados!$C:$C,INDEX(H$3,1,1),Dados!$A:$A,INDEX($D:$E,MATCH("D",$D:$D,0),2))=0,"",SUMIFS(Dados!$G:$G,Dados!$E:$E,$B124,Dados!$C:$C,INDEX(H$3,1,1),Dados!$A:$A,INDEX($D:$E,MATCH("D",$D:$D,0),2))/COUNTIFS(Dados!$E:$E,$B124,Dados!$C:$C,INDEX(H$3,1,1),Dados!$A:$A,INDEX($D:$E,MATCH("D",$D:$D,0),2)))</f>
        <v/>
      </c>
      <c r="I124" s="68" t="str">
        <f>IF(COUNTIFS(Dados!$E:$E,$B124,Dados!$C:$C,INDEX(I$3,1,1),Dados!$A:$A,INDEX($D:$E,MATCH("D",$D:$D,0),2))=0,"",SUMIFS(Dados!$G:$G,Dados!$E:$E,$B124,Dados!$C:$C,INDEX(I$3,1,1),Dados!$A:$A,INDEX($D:$E,MATCH("D",$D:$D,0),2))/COUNTIFS(Dados!$E:$E,$B124,Dados!$C:$C,INDEX(I$3,1,1),Dados!$A:$A,INDEX($D:$E,MATCH("D",$D:$D,0),2)))</f>
        <v/>
      </c>
      <c r="J124" s="68" t="str">
        <f>IF(COUNTIFS(Dados!$E:$E,$B124,Dados!$C:$C,INDEX(J$3,1,1),Dados!$A:$A,INDEX($D:$E,MATCH("D",$D:$D,0),2))=0,"",SUMIFS(Dados!$G:$G,Dados!$E:$E,$B124,Dados!$C:$C,INDEX(J$3,1,1),Dados!$A:$A,INDEX($D:$E,MATCH("D",$D:$D,0),2))/COUNTIFS(Dados!$E:$E,$B124,Dados!$C:$C,INDEX(J$3,1,1),Dados!$A:$A,INDEX($D:$E,MATCH("D",$D:$D,0),2)))</f>
        <v/>
      </c>
      <c r="K124" s="68" t="str">
        <f>IF(COUNTIFS(Dados!$E:$E,$B124,Dados!$C:$C,INDEX(K$3,1,1),Dados!$A:$A,INDEX($D:$E,MATCH("D",$D:$D,0),2))=0,"",SUMIFS(Dados!$G:$G,Dados!$E:$E,$B124,Dados!$C:$C,INDEX(K$3,1,1),Dados!$A:$A,INDEX($D:$E,MATCH("D",$D:$D,0),2))/COUNTIFS(Dados!$E:$E,$B124,Dados!$C:$C,INDEX(K$3,1,1),Dados!$A:$A,INDEX($D:$E,MATCH("D",$D:$D,0),2)))</f>
        <v/>
      </c>
      <c r="L124" s="68" t="str">
        <f>IF(COUNTIFS(Dados!$E:$E,$B124,Dados!$C:$C,INDEX(L$3,1,1),Dados!$A:$A,INDEX($D:$E,MATCH("D",$D:$D,0),2))=0,"",SUMIFS(Dados!$G:$G,Dados!$E:$E,$B124,Dados!$C:$C,INDEX(L$3,1,1),Dados!$A:$A,INDEX($D:$E,MATCH("D",$D:$D,0),2))/COUNTIFS(Dados!$E:$E,$B124,Dados!$C:$C,INDEX(L$3,1,1),Dados!$A:$A,INDEX($D:$E,MATCH("D",$D:$D,0),2)))</f>
        <v/>
      </c>
      <c r="M124" s="68" t="str">
        <f>IF(COUNTIFS(Dados!$E:$E,$B124,Dados!$C:$C,INDEX(M$3,1,1),Dados!$A:$A,INDEX($D:$E,MATCH("D",$D:$D,0),2))=0,"",SUMIFS(Dados!$G:$G,Dados!$E:$E,$B124,Dados!$C:$C,INDEX(M$3,1,1),Dados!$A:$A,INDEX($D:$E,MATCH("D",$D:$D,0),2))/COUNTIFS(Dados!$E:$E,$B124,Dados!$C:$C,INDEX(M$3,1,1),Dados!$A:$A,INDEX($D:$E,MATCH("D",$D:$D,0),2)))</f>
        <v/>
      </c>
      <c r="N124" s="68" t="str">
        <f>IF(COUNTIFS(Dados!$E:$E,$B124,Dados!$C:$C,INDEX(N$3,1,1),Dados!$A:$A,INDEX($D:$E,MATCH("D",$D:$D,0),2))=0,"",SUMIFS(Dados!$G:$G,Dados!$E:$E,$B124,Dados!$C:$C,INDEX(N$3,1,1),Dados!$A:$A,INDEX($D:$E,MATCH("D",$D:$D,0),2))/COUNTIFS(Dados!$E:$E,$B124,Dados!$C:$C,INDEX(N$3,1,1),Dados!$A:$A,INDEX($D:$E,MATCH("D",$D:$D,0),2)))</f>
        <v/>
      </c>
      <c r="O124" s="68" t="str">
        <f>IF(COUNTIFS(Dados!$E:$E,$B124,Dados!$C:$C,INDEX(O$3,1,1),Dados!$A:$A,INDEX($D:$E,MATCH("D",$D:$D,0),2))=0,"",SUMIFS(Dados!$G:$G,Dados!$E:$E,$B124,Dados!$C:$C,INDEX(O$3,1,1),Dados!$A:$A,INDEX($D:$E,MATCH("D",$D:$D,0),2))/COUNTIFS(Dados!$E:$E,$B124,Dados!$C:$C,INDEX(O$3,1,1),Dados!$A:$A,INDEX($D:$E,MATCH("D",$D:$D,0),2)))</f>
        <v/>
      </c>
      <c r="P124" s="68" t="str">
        <f>IF(COUNTIFS(Dados!$E:$E,$B124,Dados!$C:$C,INDEX(P$3,1,1),Dados!$A:$A,INDEX($D:$E,MATCH("D",$D:$D,0),2))=0,"",SUMIFS(Dados!$G:$G,Dados!$E:$E,$B124,Dados!$C:$C,INDEX(P$3,1,1),Dados!$A:$A,INDEX($D:$E,MATCH("D",$D:$D,0),2))/COUNTIFS(Dados!$E:$E,$B124,Dados!$C:$C,INDEX(P$3,1,1),Dados!$A:$A,INDEX($D:$E,MATCH("D",$D:$D,0),2)))</f>
        <v/>
      </c>
      <c r="Q124" s="68" t="str">
        <f>IF(COUNTIFS(Dados!$E:$E,$B124,Dados!$C:$C,INDEX(Q$3,1,1),Dados!$A:$A,INDEX($D:$E,MATCH("D",$D:$D,0),2))=0,"",SUMIFS(Dados!$G:$G,Dados!$E:$E,$B124,Dados!$C:$C,INDEX(Q$3,1,1),Dados!$A:$A,INDEX($D:$E,MATCH("D",$D:$D,0),2))/COUNTIFS(Dados!$E:$E,$B124,Dados!$C:$C,INDEX(Q$3,1,1),Dados!$A:$A,INDEX($D:$E,MATCH("D",$D:$D,0),2)))</f>
        <v/>
      </c>
      <c r="R124" s="68" t="str">
        <f>IF(COUNTIFS(Dados!$E:$E,$B124,Dados!$C:$C,INDEX(R$3,1,1),Dados!$A:$A,INDEX($D:$E,MATCH("D",$D:$D,0),2))=0,"",SUMIFS(Dados!$G:$G,Dados!$E:$E,$B124,Dados!$C:$C,INDEX(R$3,1,1),Dados!$A:$A,INDEX($D:$E,MATCH("D",$D:$D,0),2))/COUNTIFS(Dados!$E:$E,$B124,Dados!$C:$C,INDEX(R$3,1,1),Dados!$A:$A,INDEX($D:$E,MATCH("D",$D:$D,0),2)))</f>
        <v/>
      </c>
      <c r="S124" s="68" t="str">
        <f>IF(COUNTIFS(Dados!$E:$E,$B124,Dados!$C:$C,INDEX(S$3,1,1),Dados!$A:$A,INDEX($D:$E,MATCH("D",$D:$D,0),2))=0,"",SUMIFS(Dados!$G:$G,Dados!$E:$E,$B124,Dados!$C:$C,INDEX(S$3,1,1),Dados!$A:$A,INDEX($D:$E,MATCH("D",$D:$D,0),2))/COUNTIFS(Dados!$E:$E,$B124,Dados!$C:$C,INDEX(S$3,1,1),Dados!$A:$A,INDEX($D:$E,MATCH("D",$D:$D,0),2)))</f>
        <v/>
      </c>
      <c r="T124" s="68" t="str">
        <f>IF(COUNTIFS(Dados!$E:$E,$B124,Dados!$C:$C,INDEX(T$3,1,1),Dados!$A:$A,INDEX($D:$E,MATCH("D",$D:$D,0),2))=0,"",SUMIFS(Dados!$G:$G,Dados!$E:$E,$B124,Dados!$C:$C,INDEX(T$3,1,1),Dados!$A:$A,INDEX($D:$E,MATCH("D",$D:$D,0),2))/COUNTIFS(Dados!$E:$E,$B124,Dados!$C:$C,INDEX(T$3,1,1),Dados!$A:$A,INDEX($D:$E,MATCH("D",$D:$D,0),2)))</f>
        <v/>
      </c>
      <c r="U124" s="68" t="str">
        <f>IF(COUNTIFS(Dados!$E:$E,$B124,Dados!$C:$C,INDEX(U$3,1,1),Dados!$A:$A,INDEX($D:$E,MATCH("D",$D:$D,0),2))=0,"",SUMIFS(Dados!$G:$G,Dados!$E:$E,$B124,Dados!$C:$C,INDEX(U$3,1,1),Dados!$A:$A,INDEX($D:$E,MATCH("D",$D:$D,0),2))/COUNTIFS(Dados!$E:$E,$B124,Dados!$C:$C,INDEX(U$3,1,1),Dados!$A:$A,INDEX($D:$E,MATCH("D",$D:$D,0),2)))</f>
        <v/>
      </c>
      <c r="V124" s="68" t="str">
        <f>IF(COUNTIFS(Dados!$E:$E,$B124,Dados!$C:$C,INDEX(V$3,1,1),Dados!$A:$A,INDEX($D:$E,MATCH("D",$D:$D,0),2))=0,"",SUMIFS(Dados!$G:$G,Dados!$E:$E,$B124,Dados!$C:$C,INDEX(V$3,1,1),Dados!$A:$A,INDEX($D:$E,MATCH("D",$D:$D,0),2))/COUNTIFS(Dados!$E:$E,$B124,Dados!$C:$C,INDEX(V$3,1,1),Dados!$A:$A,INDEX($D:$E,MATCH("D",$D:$D,0),2)))</f>
        <v/>
      </c>
    </row>
    <row r="125" spans="2:22" x14ac:dyDescent="0.25">
      <c r="B125" s="65" t="s">
        <v>374</v>
      </c>
      <c r="C125" s="72">
        <f>VLOOKUP(B125,B4:C22,2,0)</f>
        <v>17</v>
      </c>
      <c r="D125" s="66" t="str">
        <f>IF(COUNTIFS(Dados!$E:$E,$B125,Dados!$C:$C,INDEX(D$3,1,1),Dados!$A:$A,INDEX($D:$E,MATCH("D",$D:$D,0),2))=0,"",SUMIFS(Dados!$G:$G,Dados!$E:$E,$B125,Dados!$C:$C,INDEX(D$3,1,1),Dados!$A:$A,INDEX($D:$E,MATCH("D",$D:$D,0),2))/COUNTIFS(Dados!$E:$E,$B125,Dados!$C:$C,INDEX(D$3,1,1),Dados!$A:$A,INDEX($D:$E,MATCH("D",$D:$D,0),2)))</f>
        <v/>
      </c>
      <c r="E125" s="66" t="str">
        <f>IF(COUNTIFS(Dados!$E:$E,$B125,Dados!$C:$C,INDEX(E$3,1,1),Dados!$A:$A,INDEX($D:$E,MATCH("D",$D:$D,0),2))=0,"",SUMIFS(Dados!$G:$G,Dados!$E:$E,$B125,Dados!$C:$C,INDEX(E$3,1,1),Dados!$A:$A,INDEX($D:$E,MATCH("D",$D:$D,0),2))/COUNTIFS(Dados!$E:$E,$B125,Dados!$C:$C,INDEX(E$3,1,1),Dados!$A:$A,INDEX($D:$E,MATCH("D",$D:$D,0),2)))</f>
        <v/>
      </c>
      <c r="F125" s="66" t="str">
        <f>IF(COUNTIFS(Dados!$E:$E,$B125,Dados!$C:$C,INDEX(F$3,1,1),Dados!$A:$A,INDEX($D:$E,MATCH("D",$D:$D,0),2))=0,"",SUMIFS(Dados!$G:$G,Dados!$E:$E,$B125,Dados!$C:$C,INDEX(F$3,1,1),Dados!$A:$A,INDEX($D:$E,MATCH("D",$D:$D,0),2))/COUNTIFS(Dados!$E:$E,$B125,Dados!$C:$C,INDEX(F$3,1,1),Dados!$A:$A,INDEX($D:$E,MATCH("D",$D:$D,0),2)))</f>
        <v/>
      </c>
      <c r="G125" s="66" t="str">
        <f>IF(COUNTIFS(Dados!$E:$E,$B125,Dados!$C:$C,INDEX(G$3,1,1),Dados!$A:$A,INDEX($D:$E,MATCH("D",$D:$D,0),2))=0,"",SUMIFS(Dados!$G:$G,Dados!$E:$E,$B125,Dados!$C:$C,INDEX(G$3,1,1),Dados!$A:$A,INDEX($D:$E,MATCH("D",$D:$D,0),2))/COUNTIFS(Dados!$E:$E,$B125,Dados!$C:$C,INDEX(G$3,1,1),Dados!$A:$A,INDEX($D:$E,MATCH("D",$D:$D,0),2)))</f>
        <v/>
      </c>
      <c r="H125" s="66" t="str">
        <f>IF(COUNTIFS(Dados!$E:$E,$B125,Dados!$C:$C,INDEX(H$3,1,1),Dados!$A:$A,INDEX($D:$E,MATCH("D",$D:$D,0),2))=0,"",SUMIFS(Dados!$G:$G,Dados!$E:$E,$B125,Dados!$C:$C,INDEX(H$3,1,1),Dados!$A:$A,INDEX($D:$E,MATCH("D",$D:$D,0),2))/COUNTIFS(Dados!$E:$E,$B125,Dados!$C:$C,INDEX(H$3,1,1),Dados!$A:$A,INDEX($D:$E,MATCH("D",$D:$D,0),2)))</f>
        <v/>
      </c>
      <c r="I125" s="66" t="str">
        <f>IF(COUNTIFS(Dados!$E:$E,$B125,Dados!$C:$C,INDEX(I$3,1,1),Dados!$A:$A,INDEX($D:$E,MATCH("D",$D:$D,0),2))=0,"",SUMIFS(Dados!$G:$G,Dados!$E:$E,$B125,Dados!$C:$C,INDEX(I$3,1,1),Dados!$A:$A,INDEX($D:$E,MATCH("D",$D:$D,0),2))/COUNTIFS(Dados!$E:$E,$B125,Dados!$C:$C,INDEX(I$3,1,1),Dados!$A:$A,INDEX($D:$E,MATCH("D",$D:$D,0),2)))</f>
        <v/>
      </c>
      <c r="J125" s="66" t="str">
        <f>IF(COUNTIFS(Dados!$E:$E,$B125,Dados!$C:$C,INDEX(J$3,1,1),Dados!$A:$A,INDEX($D:$E,MATCH("D",$D:$D,0),2))=0,"",SUMIFS(Dados!$G:$G,Dados!$E:$E,$B125,Dados!$C:$C,INDEX(J$3,1,1),Dados!$A:$A,INDEX($D:$E,MATCH("D",$D:$D,0),2))/COUNTIFS(Dados!$E:$E,$B125,Dados!$C:$C,INDEX(J$3,1,1),Dados!$A:$A,INDEX($D:$E,MATCH("D",$D:$D,0),2)))</f>
        <v/>
      </c>
      <c r="K125" s="66" t="str">
        <f>IF(COUNTIFS(Dados!$E:$E,$B125,Dados!$C:$C,INDEX(K$3,1,1),Dados!$A:$A,INDEX($D:$E,MATCH("D",$D:$D,0),2))=0,"",SUMIFS(Dados!$G:$G,Dados!$E:$E,$B125,Dados!$C:$C,INDEX(K$3,1,1),Dados!$A:$A,INDEX($D:$E,MATCH("D",$D:$D,0),2))/COUNTIFS(Dados!$E:$E,$B125,Dados!$C:$C,INDEX(K$3,1,1),Dados!$A:$A,INDEX($D:$E,MATCH("D",$D:$D,0),2)))</f>
        <v/>
      </c>
      <c r="L125" s="66" t="str">
        <f>IF(COUNTIFS(Dados!$E:$E,$B125,Dados!$C:$C,INDEX(L$3,1,1),Dados!$A:$A,INDEX($D:$E,MATCH("D",$D:$D,0),2))=0,"",SUMIFS(Dados!$G:$G,Dados!$E:$E,$B125,Dados!$C:$C,INDEX(L$3,1,1),Dados!$A:$A,INDEX($D:$E,MATCH("D",$D:$D,0),2))/COUNTIFS(Dados!$E:$E,$B125,Dados!$C:$C,INDEX(L$3,1,1),Dados!$A:$A,INDEX($D:$E,MATCH("D",$D:$D,0),2)))</f>
        <v/>
      </c>
      <c r="M125" s="66" t="str">
        <f>IF(COUNTIFS(Dados!$E:$E,$B125,Dados!$C:$C,INDEX(M$3,1,1),Dados!$A:$A,INDEX($D:$E,MATCH("D",$D:$D,0),2))=0,"",SUMIFS(Dados!$G:$G,Dados!$E:$E,$B125,Dados!$C:$C,INDEX(M$3,1,1),Dados!$A:$A,INDEX($D:$E,MATCH("D",$D:$D,0),2))/COUNTIFS(Dados!$E:$E,$B125,Dados!$C:$C,INDEX(M$3,1,1),Dados!$A:$A,INDEX($D:$E,MATCH("D",$D:$D,0),2)))</f>
        <v/>
      </c>
      <c r="N125" s="66" t="str">
        <f>IF(COUNTIFS(Dados!$E:$E,$B125,Dados!$C:$C,INDEX(N$3,1,1),Dados!$A:$A,INDEX($D:$E,MATCH("D",$D:$D,0),2))=0,"",SUMIFS(Dados!$G:$G,Dados!$E:$E,$B125,Dados!$C:$C,INDEX(N$3,1,1),Dados!$A:$A,INDEX($D:$E,MATCH("D",$D:$D,0),2))/COUNTIFS(Dados!$E:$E,$B125,Dados!$C:$C,INDEX(N$3,1,1),Dados!$A:$A,INDEX($D:$E,MATCH("D",$D:$D,0),2)))</f>
        <v/>
      </c>
      <c r="O125" s="66" t="str">
        <f>IF(COUNTIFS(Dados!$E:$E,$B125,Dados!$C:$C,INDEX(O$3,1,1),Dados!$A:$A,INDEX($D:$E,MATCH("D",$D:$D,0),2))=0,"",SUMIFS(Dados!$G:$G,Dados!$E:$E,$B125,Dados!$C:$C,INDEX(O$3,1,1),Dados!$A:$A,INDEX($D:$E,MATCH("D",$D:$D,0),2))/COUNTIFS(Dados!$E:$E,$B125,Dados!$C:$C,INDEX(O$3,1,1),Dados!$A:$A,INDEX($D:$E,MATCH("D",$D:$D,0),2)))</f>
        <v/>
      </c>
      <c r="P125" s="66" t="str">
        <f>IF(COUNTIFS(Dados!$E:$E,$B125,Dados!$C:$C,INDEX(P$3,1,1),Dados!$A:$A,INDEX($D:$E,MATCH("D",$D:$D,0),2))=0,"",SUMIFS(Dados!$G:$G,Dados!$E:$E,$B125,Dados!$C:$C,INDEX(P$3,1,1),Dados!$A:$A,INDEX($D:$E,MATCH("D",$D:$D,0),2))/COUNTIFS(Dados!$E:$E,$B125,Dados!$C:$C,INDEX(P$3,1,1),Dados!$A:$A,INDEX($D:$E,MATCH("D",$D:$D,0),2)))</f>
        <v/>
      </c>
      <c r="Q125" s="66" t="str">
        <f>IF(COUNTIFS(Dados!$E:$E,$B125,Dados!$C:$C,INDEX(Q$3,1,1),Dados!$A:$A,INDEX($D:$E,MATCH("D",$D:$D,0),2))=0,"",SUMIFS(Dados!$G:$G,Dados!$E:$E,$B125,Dados!$C:$C,INDEX(Q$3,1,1),Dados!$A:$A,INDEX($D:$E,MATCH("D",$D:$D,0),2))/COUNTIFS(Dados!$E:$E,$B125,Dados!$C:$C,INDEX(Q$3,1,1),Dados!$A:$A,INDEX($D:$E,MATCH("D",$D:$D,0),2)))</f>
        <v/>
      </c>
      <c r="R125" s="66" t="str">
        <f>IF(COUNTIFS(Dados!$E:$E,$B125,Dados!$C:$C,INDEX(R$3,1,1),Dados!$A:$A,INDEX($D:$E,MATCH("D",$D:$D,0),2))=0,"",SUMIFS(Dados!$G:$G,Dados!$E:$E,$B125,Dados!$C:$C,INDEX(R$3,1,1),Dados!$A:$A,INDEX($D:$E,MATCH("D",$D:$D,0),2))/COUNTIFS(Dados!$E:$E,$B125,Dados!$C:$C,INDEX(R$3,1,1),Dados!$A:$A,INDEX($D:$E,MATCH("D",$D:$D,0),2)))</f>
        <v/>
      </c>
      <c r="S125" s="66" t="str">
        <f>IF(COUNTIFS(Dados!$E:$E,$B125,Dados!$C:$C,INDEX(S$3,1,1),Dados!$A:$A,INDEX($D:$E,MATCH("D",$D:$D,0),2))=0,"",SUMIFS(Dados!$G:$G,Dados!$E:$E,$B125,Dados!$C:$C,INDEX(S$3,1,1),Dados!$A:$A,INDEX($D:$E,MATCH("D",$D:$D,0),2))/COUNTIFS(Dados!$E:$E,$B125,Dados!$C:$C,INDEX(S$3,1,1),Dados!$A:$A,INDEX($D:$E,MATCH("D",$D:$D,0),2)))</f>
        <v/>
      </c>
      <c r="T125" s="66" t="str">
        <f>IF(COUNTIFS(Dados!$E:$E,$B125,Dados!$C:$C,INDEX(T$3,1,1),Dados!$A:$A,INDEX($D:$E,MATCH("D",$D:$D,0),2))=0,"",SUMIFS(Dados!$G:$G,Dados!$E:$E,$B125,Dados!$C:$C,INDEX(T$3,1,1),Dados!$A:$A,INDEX($D:$E,MATCH("D",$D:$D,0),2))/COUNTIFS(Dados!$E:$E,$B125,Dados!$C:$C,INDEX(T$3,1,1),Dados!$A:$A,INDEX($D:$E,MATCH("D",$D:$D,0),2)))</f>
        <v/>
      </c>
      <c r="U125" s="66" t="str">
        <f>IF(COUNTIFS(Dados!$E:$E,$B125,Dados!$C:$C,INDEX(U$3,1,1),Dados!$A:$A,INDEX($D:$E,MATCH("D",$D:$D,0),2))=0,"",SUMIFS(Dados!$G:$G,Dados!$E:$E,$B125,Dados!$C:$C,INDEX(U$3,1,1),Dados!$A:$A,INDEX($D:$E,MATCH("D",$D:$D,0),2))/COUNTIFS(Dados!$E:$E,$B125,Dados!$C:$C,INDEX(U$3,1,1),Dados!$A:$A,INDEX($D:$E,MATCH("D",$D:$D,0),2)))</f>
        <v/>
      </c>
      <c r="V125" s="66" t="str">
        <f>IF(COUNTIFS(Dados!$E:$E,$B125,Dados!$C:$C,INDEX(V$3,1,1),Dados!$A:$A,INDEX($D:$E,MATCH("D",$D:$D,0),2))=0,"",SUMIFS(Dados!$G:$G,Dados!$E:$E,$B125,Dados!$C:$C,INDEX(V$3,1,1),Dados!$A:$A,INDEX($D:$E,MATCH("D",$D:$D,0),2))/COUNTIFS(Dados!$E:$E,$B125,Dados!$C:$C,INDEX(V$3,1,1),Dados!$A:$A,INDEX($D:$E,MATCH("D",$D:$D,0),2)))</f>
        <v/>
      </c>
    </row>
    <row r="126" spans="2:22" x14ac:dyDescent="0.25">
      <c r="B126" s="67" t="s">
        <v>375</v>
      </c>
      <c r="C126" s="71">
        <f>VLOOKUP(B126,B4:C22,2,0)</f>
        <v>18</v>
      </c>
      <c r="D126" s="68" t="str">
        <f>IF(COUNTIFS(Dados!$E:$E,$B126,Dados!$C:$C,INDEX(D$3,1,1),Dados!$A:$A,INDEX($D:$E,MATCH("D",$D:$D,0),2))=0,"",SUMIFS(Dados!$G:$G,Dados!$E:$E,$B126,Dados!$C:$C,INDEX(D$3,1,1),Dados!$A:$A,INDEX($D:$E,MATCH("D",$D:$D,0),2))/COUNTIFS(Dados!$E:$E,$B126,Dados!$C:$C,INDEX(D$3,1,1),Dados!$A:$A,INDEX($D:$E,MATCH("D",$D:$D,0),2)))</f>
        <v/>
      </c>
      <c r="E126" s="68" t="str">
        <f>IF(COUNTIFS(Dados!$E:$E,$B126,Dados!$C:$C,INDEX(E$3,1,1),Dados!$A:$A,INDEX($D:$E,MATCH("D",$D:$D,0),2))=0,"",SUMIFS(Dados!$G:$G,Dados!$E:$E,$B126,Dados!$C:$C,INDEX(E$3,1,1),Dados!$A:$A,INDEX($D:$E,MATCH("D",$D:$D,0),2))/COUNTIFS(Dados!$E:$E,$B126,Dados!$C:$C,INDEX(E$3,1,1),Dados!$A:$A,INDEX($D:$E,MATCH("D",$D:$D,0),2)))</f>
        <v/>
      </c>
      <c r="F126" s="68" t="str">
        <f>IF(COUNTIFS(Dados!$E:$E,$B126,Dados!$C:$C,INDEX(F$3,1,1),Dados!$A:$A,INDEX($D:$E,MATCH("D",$D:$D,0),2))=0,"",SUMIFS(Dados!$G:$G,Dados!$E:$E,$B126,Dados!$C:$C,INDEX(F$3,1,1),Dados!$A:$A,INDEX($D:$E,MATCH("D",$D:$D,0),2))/COUNTIFS(Dados!$E:$E,$B126,Dados!$C:$C,INDEX(F$3,1,1),Dados!$A:$A,INDEX($D:$E,MATCH("D",$D:$D,0),2)))</f>
        <v/>
      </c>
      <c r="G126" s="68" t="str">
        <f>IF(COUNTIFS(Dados!$E:$E,$B126,Dados!$C:$C,INDEX(G$3,1,1),Dados!$A:$A,INDEX($D:$E,MATCH("D",$D:$D,0),2))=0,"",SUMIFS(Dados!$G:$G,Dados!$E:$E,$B126,Dados!$C:$C,INDEX(G$3,1,1),Dados!$A:$A,INDEX($D:$E,MATCH("D",$D:$D,0),2))/COUNTIFS(Dados!$E:$E,$B126,Dados!$C:$C,INDEX(G$3,1,1),Dados!$A:$A,INDEX($D:$E,MATCH("D",$D:$D,0),2)))</f>
        <v/>
      </c>
      <c r="H126" s="68" t="str">
        <f>IF(COUNTIFS(Dados!$E:$E,$B126,Dados!$C:$C,INDEX(H$3,1,1),Dados!$A:$A,INDEX($D:$E,MATCH("D",$D:$D,0),2))=0,"",SUMIFS(Dados!$G:$G,Dados!$E:$E,$B126,Dados!$C:$C,INDEX(H$3,1,1),Dados!$A:$A,INDEX($D:$E,MATCH("D",$D:$D,0),2))/COUNTIFS(Dados!$E:$E,$B126,Dados!$C:$C,INDEX(H$3,1,1),Dados!$A:$A,INDEX($D:$E,MATCH("D",$D:$D,0),2)))</f>
        <v/>
      </c>
      <c r="I126" s="68" t="str">
        <f>IF(COUNTIFS(Dados!$E:$E,$B126,Dados!$C:$C,INDEX(I$3,1,1),Dados!$A:$A,INDEX($D:$E,MATCH("D",$D:$D,0),2))=0,"",SUMIFS(Dados!$G:$G,Dados!$E:$E,$B126,Dados!$C:$C,INDEX(I$3,1,1),Dados!$A:$A,INDEX($D:$E,MATCH("D",$D:$D,0),2))/COUNTIFS(Dados!$E:$E,$B126,Dados!$C:$C,INDEX(I$3,1,1),Dados!$A:$A,INDEX($D:$E,MATCH("D",$D:$D,0),2)))</f>
        <v/>
      </c>
      <c r="J126" s="68" t="str">
        <f>IF(COUNTIFS(Dados!$E:$E,$B126,Dados!$C:$C,INDEX(J$3,1,1),Dados!$A:$A,INDEX($D:$E,MATCH("D",$D:$D,0),2))=0,"",SUMIFS(Dados!$G:$G,Dados!$E:$E,$B126,Dados!$C:$C,INDEX(J$3,1,1),Dados!$A:$A,INDEX($D:$E,MATCH("D",$D:$D,0),2))/COUNTIFS(Dados!$E:$E,$B126,Dados!$C:$C,INDEX(J$3,1,1),Dados!$A:$A,INDEX($D:$E,MATCH("D",$D:$D,0),2)))</f>
        <v/>
      </c>
      <c r="K126" s="68" t="str">
        <f>IF(COUNTIFS(Dados!$E:$E,$B126,Dados!$C:$C,INDEX(K$3,1,1),Dados!$A:$A,INDEX($D:$E,MATCH("D",$D:$D,0),2))=0,"",SUMIFS(Dados!$G:$G,Dados!$E:$E,$B126,Dados!$C:$C,INDEX(K$3,1,1),Dados!$A:$A,INDEX($D:$E,MATCH("D",$D:$D,0),2))/COUNTIFS(Dados!$E:$E,$B126,Dados!$C:$C,INDEX(K$3,1,1),Dados!$A:$A,INDEX($D:$E,MATCH("D",$D:$D,0),2)))</f>
        <v/>
      </c>
      <c r="L126" s="68" t="str">
        <f>IF(COUNTIFS(Dados!$E:$E,$B126,Dados!$C:$C,INDEX(L$3,1,1),Dados!$A:$A,INDEX($D:$E,MATCH("D",$D:$D,0),2))=0,"",SUMIFS(Dados!$G:$G,Dados!$E:$E,$B126,Dados!$C:$C,INDEX(L$3,1,1),Dados!$A:$A,INDEX($D:$E,MATCH("D",$D:$D,0),2))/COUNTIFS(Dados!$E:$E,$B126,Dados!$C:$C,INDEX(L$3,1,1),Dados!$A:$A,INDEX($D:$E,MATCH("D",$D:$D,0),2)))</f>
        <v/>
      </c>
      <c r="M126" s="68" t="str">
        <f>IF(COUNTIFS(Dados!$E:$E,$B126,Dados!$C:$C,INDEX(M$3,1,1),Dados!$A:$A,INDEX($D:$E,MATCH("D",$D:$D,0),2))=0,"",SUMIFS(Dados!$G:$G,Dados!$E:$E,$B126,Dados!$C:$C,INDEX(M$3,1,1),Dados!$A:$A,INDEX($D:$E,MATCH("D",$D:$D,0),2))/COUNTIFS(Dados!$E:$E,$B126,Dados!$C:$C,INDEX(M$3,1,1),Dados!$A:$A,INDEX($D:$E,MATCH("D",$D:$D,0),2)))</f>
        <v/>
      </c>
      <c r="N126" s="68" t="str">
        <f>IF(COUNTIFS(Dados!$E:$E,$B126,Dados!$C:$C,INDEX(N$3,1,1),Dados!$A:$A,INDEX($D:$E,MATCH("D",$D:$D,0),2))=0,"",SUMIFS(Dados!$G:$G,Dados!$E:$E,$B126,Dados!$C:$C,INDEX(N$3,1,1),Dados!$A:$A,INDEX($D:$E,MATCH("D",$D:$D,0),2))/COUNTIFS(Dados!$E:$E,$B126,Dados!$C:$C,INDEX(N$3,1,1),Dados!$A:$A,INDEX($D:$E,MATCH("D",$D:$D,0),2)))</f>
        <v/>
      </c>
      <c r="O126" s="68" t="str">
        <f>IF(COUNTIFS(Dados!$E:$E,$B126,Dados!$C:$C,INDEX(O$3,1,1),Dados!$A:$A,INDEX($D:$E,MATCH("D",$D:$D,0),2))=0,"",SUMIFS(Dados!$G:$G,Dados!$E:$E,$B126,Dados!$C:$C,INDEX(O$3,1,1),Dados!$A:$A,INDEX($D:$E,MATCH("D",$D:$D,0),2))/COUNTIFS(Dados!$E:$E,$B126,Dados!$C:$C,INDEX(O$3,1,1),Dados!$A:$A,INDEX($D:$E,MATCH("D",$D:$D,0),2)))</f>
        <v/>
      </c>
      <c r="P126" s="68" t="str">
        <f>IF(COUNTIFS(Dados!$E:$E,$B126,Dados!$C:$C,INDEX(P$3,1,1),Dados!$A:$A,INDEX($D:$E,MATCH("D",$D:$D,0),2))=0,"",SUMIFS(Dados!$G:$G,Dados!$E:$E,$B126,Dados!$C:$C,INDEX(P$3,1,1),Dados!$A:$A,INDEX($D:$E,MATCH("D",$D:$D,0),2))/COUNTIFS(Dados!$E:$E,$B126,Dados!$C:$C,INDEX(P$3,1,1),Dados!$A:$A,INDEX($D:$E,MATCH("D",$D:$D,0),2)))</f>
        <v/>
      </c>
      <c r="Q126" s="68" t="str">
        <f>IF(COUNTIFS(Dados!$E:$E,$B126,Dados!$C:$C,INDEX(Q$3,1,1),Dados!$A:$A,INDEX($D:$E,MATCH("D",$D:$D,0),2))=0,"",SUMIFS(Dados!$G:$G,Dados!$E:$E,$B126,Dados!$C:$C,INDEX(Q$3,1,1),Dados!$A:$A,INDEX($D:$E,MATCH("D",$D:$D,0),2))/COUNTIFS(Dados!$E:$E,$B126,Dados!$C:$C,INDEX(Q$3,1,1),Dados!$A:$A,INDEX($D:$E,MATCH("D",$D:$D,0),2)))</f>
        <v/>
      </c>
      <c r="R126" s="68" t="str">
        <f>IF(COUNTIFS(Dados!$E:$E,$B126,Dados!$C:$C,INDEX(R$3,1,1),Dados!$A:$A,INDEX($D:$E,MATCH("D",$D:$D,0),2))=0,"",SUMIFS(Dados!$G:$G,Dados!$E:$E,$B126,Dados!$C:$C,INDEX(R$3,1,1),Dados!$A:$A,INDEX($D:$E,MATCH("D",$D:$D,0),2))/COUNTIFS(Dados!$E:$E,$B126,Dados!$C:$C,INDEX(R$3,1,1),Dados!$A:$A,INDEX($D:$E,MATCH("D",$D:$D,0),2)))</f>
        <v/>
      </c>
      <c r="S126" s="68" t="str">
        <f>IF(COUNTIFS(Dados!$E:$E,$B126,Dados!$C:$C,INDEX(S$3,1,1),Dados!$A:$A,INDEX($D:$E,MATCH("D",$D:$D,0),2))=0,"",SUMIFS(Dados!$G:$G,Dados!$E:$E,$B126,Dados!$C:$C,INDEX(S$3,1,1),Dados!$A:$A,INDEX($D:$E,MATCH("D",$D:$D,0),2))/COUNTIFS(Dados!$E:$E,$B126,Dados!$C:$C,INDEX(S$3,1,1),Dados!$A:$A,INDEX($D:$E,MATCH("D",$D:$D,0),2)))</f>
        <v/>
      </c>
      <c r="T126" s="68" t="str">
        <f>IF(COUNTIFS(Dados!$E:$E,$B126,Dados!$C:$C,INDEX(T$3,1,1),Dados!$A:$A,INDEX($D:$E,MATCH("D",$D:$D,0),2))=0,"",SUMIFS(Dados!$G:$G,Dados!$E:$E,$B126,Dados!$C:$C,INDEX(T$3,1,1),Dados!$A:$A,INDEX($D:$E,MATCH("D",$D:$D,0),2))/COUNTIFS(Dados!$E:$E,$B126,Dados!$C:$C,INDEX(T$3,1,1),Dados!$A:$A,INDEX($D:$E,MATCH("D",$D:$D,0),2)))</f>
        <v/>
      </c>
      <c r="U126" s="68" t="str">
        <f>IF(COUNTIFS(Dados!$E:$E,$B126,Dados!$C:$C,INDEX(U$3,1,1),Dados!$A:$A,INDEX($D:$E,MATCH("D",$D:$D,0),2))=0,"",SUMIFS(Dados!$G:$G,Dados!$E:$E,$B126,Dados!$C:$C,INDEX(U$3,1,1),Dados!$A:$A,INDEX($D:$E,MATCH("D",$D:$D,0),2))/COUNTIFS(Dados!$E:$E,$B126,Dados!$C:$C,INDEX(U$3,1,1),Dados!$A:$A,INDEX($D:$E,MATCH("D",$D:$D,0),2)))</f>
        <v/>
      </c>
      <c r="V126" s="68" t="str">
        <f>IF(COUNTIFS(Dados!$E:$E,$B126,Dados!$C:$C,INDEX(V$3,1,1),Dados!$A:$A,INDEX($D:$E,MATCH("D",$D:$D,0),2))=0,"",SUMIFS(Dados!$G:$G,Dados!$E:$E,$B126,Dados!$C:$C,INDEX(V$3,1,1),Dados!$A:$A,INDEX($D:$E,MATCH("D",$D:$D,0),2))/COUNTIFS(Dados!$E:$E,$B126,Dados!$C:$C,INDEX(V$3,1,1),Dados!$A:$A,INDEX($D:$E,MATCH("D",$D:$D,0),2)))</f>
        <v/>
      </c>
    </row>
    <row r="127" spans="2:22" x14ac:dyDescent="0.25">
      <c r="B127" s="65" t="s">
        <v>1300</v>
      </c>
      <c r="C127" s="72">
        <f>VLOOKUP(B127,B4:C22,2,0)</f>
        <v>19</v>
      </c>
      <c r="D127" s="66" t="str">
        <f>IF(COUNTIFS(Dados!$E:$E,$B127,Dados!$C:$C,INDEX(D$3,1,1),Dados!$A:$A,INDEX($D:$E,MATCH("D",$D:$D,0),2))=0,"",SUMIFS(Dados!$G:$G,Dados!$E:$E,$B127,Dados!$C:$C,INDEX(D$3,1,1),Dados!$A:$A,INDEX($D:$E,MATCH("D",$D:$D,0),2))/COUNTIFS(Dados!$E:$E,$B127,Dados!$C:$C,INDEX(D$3,1,1),Dados!$A:$A,INDEX($D:$E,MATCH("D",$D:$D,0),2)))</f>
        <v/>
      </c>
      <c r="E127" s="66" t="str">
        <f>IF(COUNTIFS(Dados!$E:$E,$B127,Dados!$C:$C,INDEX(E$3,1,1),Dados!$A:$A,INDEX($D:$E,MATCH("D",$D:$D,0),2))=0,"",SUMIFS(Dados!$G:$G,Dados!$E:$E,$B127,Dados!$C:$C,INDEX(E$3,1,1),Dados!$A:$A,INDEX($D:$E,MATCH("D",$D:$D,0),2))/COUNTIFS(Dados!$E:$E,$B127,Dados!$C:$C,INDEX(E$3,1,1),Dados!$A:$A,INDEX($D:$E,MATCH("D",$D:$D,0),2)))</f>
        <v/>
      </c>
      <c r="F127" s="66" t="str">
        <f>IF(COUNTIFS(Dados!$E:$E,$B127,Dados!$C:$C,INDEX(F$3,1,1),Dados!$A:$A,INDEX($D:$E,MATCH("D",$D:$D,0),2))=0,"",SUMIFS(Dados!$G:$G,Dados!$E:$E,$B127,Dados!$C:$C,INDEX(F$3,1,1),Dados!$A:$A,INDEX($D:$E,MATCH("D",$D:$D,0),2))/COUNTIFS(Dados!$E:$E,$B127,Dados!$C:$C,INDEX(F$3,1,1),Dados!$A:$A,INDEX($D:$E,MATCH("D",$D:$D,0),2)))</f>
        <v/>
      </c>
      <c r="G127" s="66" t="str">
        <f>IF(COUNTIFS(Dados!$E:$E,$B127,Dados!$C:$C,INDEX(G$3,1,1),Dados!$A:$A,INDEX($D:$E,MATCH("D",$D:$D,0),2))=0,"",SUMIFS(Dados!$G:$G,Dados!$E:$E,$B127,Dados!$C:$C,INDEX(G$3,1,1),Dados!$A:$A,INDEX($D:$E,MATCH("D",$D:$D,0),2))/COUNTIFS(Dados!$E:$E,$B127,Dados!$C:$C,INDEX(G$3,1,1),Dados!$A:$A,INDEX($D:$E,MATCH("D",$D:$D,0),2)))</f>
        <v/>
      </c>
      <c r="H127" s="66" t="str">
        <f>IF(COUNTIFS(Dados!$E:$E,$B127,Dados!$C:$C,INDEX(H$3,1,1),Dados!$A:$A,INDEX($D:$E,MATCH("D",$D:$D,0),2))=0,"",SUMIFS(Dados!$G:$G,Dados!$E:$E,$B127,Dados!$C:$C,INDEX(H$3,1,1),Dados!$A:$A,INDEX($D:$E,MATCH("D",$D:$D,0),2))/COUNTIFS(Dados!$E:$E,$B127,Dados!$C:$C,INDEX(H$3,1,1),Dados!$A:$A,INDEX($D:$E,MATCH("D",$D:$D,0),2)))</f>
        <v/>
      </c>
      <c r="I127" s="66" t="str">
        <f>IF(COUNTIFS(Dados!$E:$E,$B127,Dados!$C:$C,INDEX(I$3,1,1),Dados!$A:$A,INDEX($D:$E,MATCH("D",$D:$D,0),2))=0,"",SUMIFS(Dados!$G:$G,Dados!$E:$E,$B127,Dados!$C:$C,INDEX(I$3,1,1),Dados!$A:$A,INDEX($D:$E,MATCH("D",$D:$D,0),2))/COUNTIFS(Dados!$E:$E,$B127,Dados!$C:$C,INDEX(I$3,1,1),Dados!$A:$A,INDEX($D:$E,MATCH("D",$D:$D,0),2)))</f>
        <v/>
      </c>
      <c r="J127" s="66" t="str">
        <f>IF(COUNTIFS(Dados!$E:$E,$B127,Dados!$C:$C,INDEX(J$3,1,1),Dados!$A:$A,INDEX($D:$E,MATCH("D",$D:$D,0),2))=0,"",SUMIFS(Dados!$G:$G,Dados!$E:$E,$B127,Dados!$C:$C,INDEX(J$3,1,1),Dados!$A:$A,INDEX($D:$E,MATCH("D",$D:$D,0),2))/COUNTIFS(Dados!$E:$E,$B127,Dados!$C:$C,INDEX(J$3,1,1),Dados!$A:$A,INDEX($D:$E,MATCH("D",$D:$D,0),2)))</f>
        <v/>
      </c>
      <c r="K127" s="66" t="str">
        <f>IF(COUNTIFS(Dados!$E:$E,$B127,Dados!$C:$C,INDEX(K$3,1,1),Dados!$A:$A,INDEX($D:$E,MATCH("D",$D:$D,0),2))=0,"",SUMIFS(Dados!$G:$G,Dados!$E:$E,$B127,Dados!$C:$C,INDEX(K$3,1,1),Dados!$A:$A,INDEX($D:$E,MATCH("D",$D:$D,0),2))/COUNTIFS(Dados!$E:$E,$B127,Dados!$C:$C,INDEX(K$3,1,1),Dados!$A:$A,INDEX($D:$E,MATCH("D",$D:$D,0),2)))</f>
        <v/>
      </c>
      <c r="L127" s="66" t="str">
        <f>IF(COUNTIFS(Dados!$E:$E,$B127,Dados!$C:$C,INDEX(L$3,1,1),Dados!$A:$A,INDEX($D:$E,MATCH("D",$D:$D,0),2))=0,"",SUMIFS(Dados!$G:$G,Dados!$E:$E,$B127,Dados!$C:$C,INDEX(L$3,1,1),Dados!$A:$A,INDEX($D:$E,MATCH("D",$D:$D,0),2))/COUNTIFS(Dados!$E:$E,$B127,Dados!$C:$C,INDEX(L$3,1,1),Dados!$A:$A,INDEX($D:$E,MATCH("D",$D:$D,0),2)))</f>
        <v/>
      </c>
      <c r="M127" s="66" t="str">
        <f>IF(COUNTIFS(Dados!$E:$E,$B127,Dados!$C:$C,INDEX(M$3,1,1),Dados!$A:$A,INDEX($D:$E,MATCH("D",$D:$D,0),2))=0,"",SUMIFS(Dados!$G:$G,Dados!$E:$E,$B127,Dados!$C:$C,INDEX(M$3,1,1),Dados!$A:$A,INDEX($D:$E,MATCH("D",$D:$D,0),2))/COUNTIFS(Dados!$E:$E,$B127,Dados!$C:$C,INDEX(M$3,1,1),Dados!$A:$A,INDEX($D:$E,MATCH("D",$D:$D,0),2)))</f>
        <v/>
      </c>
      <c r="N127" s="66" t="str">
        <f>IF(COUNTIFS(Dados!$E:$E,$B127,Dados!$C:$C,INDEX(N$3,1,1),Dados!$A:$A,INDEX($D:$E,MATCH("D",$D:$D,0),2))=0,"",SUMIFS(Dados!$G:$G,Dados!$E:$E,$B127,Dados!$C:$C,INDEX(N$3,1,1),Dados!$A:$A,INDEX($D:$E,MATCH("D",$D:$D,0),2))/COUNTIFS(Dados!$E:$E,$B127,Dados!$C:$C,INDEX(N$3,1,1),Dados!$A:$A,INDEX($D:$E,MATCH("D",$D:$D,0),2)))</f>
        <v/>
      </c>
      <c r="O127" s="66" t="str">
        <f>IF(COUNTIFS(Dados!$E:$E,$B127,Dados!$C:$C,INDEX(O$3,1,1),Dados!$A:$A,INDEX($D:$E,MATCH("D",$D:$D,0),2))=0,"",SUMIFS(Dados!$G:$G,Dados!$E:$E,$B127,Dados!$C:$C,INDEX(O$3,1,1),Dados!$A:$A,INDEX($D:$E,MATCH("D",$D:$D,0),2))/COUNTIFS(Dados!$E:$E,$B127,Dados!$C:$C,INDEX(O$3,1,1),Dados!$A:$A,INDEX($D:$E,MATCH("D",$D:$D,0),2)))</f>
        <v/>
      </c>
      <c r="P127" s="66" t="str">
        <f>IF(COUNTIFS(Dados!$E:$E,$B127,Dados!$C:$C,INDEX(P$3,1,1),Dados!$A:$A,INDEX($D:$E,MATCH("D",$D:$D,0),2))=0,"",SUMIFS(Dados!$G:$G,Dados!$E:$E,$B127,Dados!$C:$C,INDEX(P$3,1,1),Dados!$A:$A,INDEX($D:$E,MATCH("D",$D:$D,0),2))/COUNTIFS(Dados!$E:$E,$B127,Dados!$C:$C,INDEX(P$3,1,1),Dados!$A:$A,INDEX($D:$E,MATCH("D",$D:$D,0),2)))</f>
        <v/>
      </c>
      <c r="Q127" s="66" t="str">
        <f>IF(COUNTIFS(Dados!$E:$E,$B127,Dados!$C:$C,INDEX(Q$3,1,1),Dados!$A:$A,INDEX($D:$E,MATCH("D",$D:$D,0),2))=0,"",SUMIFS(Dados!$G:$G,Dados!$E:$E,$B127,Dados!$C:$C,INDEX(Q$3,1,1),Dados!$A:$A,INDEX($D:$E,MATCH("D",$D:$D,0),2))/COUNTIFS(Dados!$E:$E,$B127,Dados!$C:$C,INDEX(Q$3,1,1),Dados!$A:$A,INDEX($D:$E,MATCH("D",$D:$D,0),2)))</f>
        <v/>
      </c>
      <c r="R127" s="66" t="str">
        <f>IF(COUNTIFS(Dados!$E:$E,$B127,Dados!$C:$C,INDEX(R$3,1,1),Dados!$A:$A,INDEX($D:$E,MATCH("D",$D:$D,0),2))=0,"",SUMIFS(Dados!$G:$G,Dados!$E:$E,$B127,Dados!$C:$C,INDEX(R$3,1,1),Dados!$A:$A,INDEX($D:$E,MATCH("D",$D:$D,0),2))/COUNTIFS(Dados!$E:$E,$B127,Dados!$C:$C,INDEX(R$3,1,1),Dados!$A:$A,INDEX($D:$E,MATCH("D",$D:$D,0),2)))</f>
        <v/>
      </c>
      <c r="S127" s="66" t="str">
        <f>IF(COUNTIFS(Dados!$E:$E,$B127,Dados!$C:$C,INDEX(S$3,1,1),Dados!$A:$A,INDEX($D:$E,MATCH("D",$D:$D,0),2))=0,"",SUMIFS(Dados!$G:$G,Dados!$E:$E,$B127,Dados!$C:$C,INDEX(S$3,1,1),Dados!$A:$A,INDEX($D:$E,MATCH("D",$D:$D,0),2))/COUNTIFS(Dados!$E:$E,$B127,Dados!$C:$C,INDEX(S$3,1,1),Dados!$A:$A,INDEX($D:$E,MATCH("D",$D:$D,0),2)))</f>
        <v/>
      </c>
      <c r="T127" s="66" t="str">
        <f>IF(COUNTIFS(Dados!$E:$E,$B127,Dados!$C:$C,INDEX(T$3,1,1),Dados!$A:$A,INDEX($D:$E,MATCH("D",$D:$D,0),2))=0,"",SUMIFS(Dados!$G:$G,Dados!$E:$E,$B127,Dados!$C:$C,INDEX(T$3,1,1),Dados!$A:$A,INDEX($D:$E,MATCH("D",$D:$D,0),2))/COUNTIFS(Dados!$E:$E,$B127,Dados!$C:$C,INDEX(T$3,1,1),Dados!$A:$A,INDEX($D:$E,MATCH("D",$D:$D,0),2)))</f>
        <v/>
      </c>
      <c r="U127" s="66" t="str">
        <f>IF(COUNTIFS(Dados!$E:$E,$B127,Dados!$C:$C,INDEX(U$3,1,1),Dados!$A:$A,INDEX($D:$E,MATCH("D",$D:$D,0),2))=0,"",SUMIFS(Dados!$G:$G,Dados!$E:$E,$B127,Dados!$C:$C,INDEX(U$3,1,1),Dados!$A:$A,INDEX($D:$E,MATCH("D",$D:$D,0),2))/COUNTIFS(Dados!$E:$E,$B127,Dados!$C:$C,INDEX(U$3,1,1),Dados!$A:$A,INDEX($D:$E,MATCH("D",$D:$D,0),2)))</f>
        <v/>
      </c>
      <c r="V127" s="66" t="str">
        <f>IF(COUNTIFS(Dados!$E:$E,$B127,Dados!$C:$C,INDEX(V$3,1,1),Dados!$A:$A,INDEX($D:$E,MATCH("D",$D:$D,0),2))=0,"",SUMIFS(Dados!$G:$G,Dados!$E:$E,$B127,Dados!$C:$C,INDEX(V$3,1,1),Dados!$A:$A,INDEX($D:$E,MATCH("D",$D:$D,0),2))/COUNTIFS(Dados!$E:$E,$B127,Dados!$C:$C,INDEX(V$3,1,1),Dados!$A:$A,INDEX($D:$E,MATCH("D",$D:$D,0),2)))</f>
        <v/>
      </c>
    </row>
    <row r="128" spans="2:22" x14ac:dyDescent="0.25">
      <c r="B128" s="63" t="s">
        <v>983</v>
      </c>
      <c r="C128" s="63"/>
      <c r="D128" s="63" t="s">
        <v>1278</v>
      </c>
      <c r="E128" s="73">
        <v>25</v>
      </c>
    </row>
    <row r="129" spans="2:22" x14ac:dyDescent="0.25">
      <c r="B129" s="69" t="s">
        <v>974</v>
      </c>
      <c r="C129" s="70" t="s">
        <v>1291</v>
      </c>
      <c r="D129" s="61">
        <v>1978</v>
      </c>
      <c r="E129" s="61">
        <v>1982</v>
      </c>
      <c r="F129" s="61">
        <v>1991</v>
      </c>
      <c r="G129" s="61">
        <v>1996</v>
      </c>
      <c r="H129" s="61">
        <v>1997</v>
      </c>
      <c r="I129" s="61">
        <v>1998</v>
      </c>
      <c r="J129" s="61">
        <v>1999</v>
      </c>
      <c r="K129" s="61">
        <v>2000</v>
      </c>
      <c r="L129" s="61">
        <v>2001</v>
      </c>
      <c r="M129" s="61">
        <v>2002</v>
      </c>
      <c r="N129" s="61">
        <v>2003</v>
      </c>
      <c r="O129" s="61">
        <v>2004</v>
      </c>
      <c r="P129" s="61">
        <v>2005</v>
      </c>
      <c r="Q129" s="61">
        <v>2006</v>
      </c>
      <c r="R129" s="61">
        <v>2007</v>
      </c>
      <c r="S129" s="61">
        <v>2008</v>
      </c>
      <c r="T129" s="61">
        <v>2010</v>
      </c>
      <c r="U129" s="61">
        <v>2011</v>
      </c>
      <c r="V129" s="61">
        <v>2012</v>
      </c>
    </row>
    <row r="130" spans="2:22" x14ac:dyDescent="0.25">
      <c r="B130" s="67" t="s">
        <v>107</v>
      </c>
      <c r="C130" s="71">
        <f>VLOOKUP(B130,B4:C22,2,0)</f>
        <v>1</v>
      </c>
      <c r="D130" s="68" t="str">
        <f ca="1">IF(COUNTIFS(Dados!$E:$E,$B130,Dados!$C:$C,INDEX(D$3,1,1),Dados!$A:$A,INDEX($D:$E,MATCH("F",$D:$D,0),2))=0,"",SUMIFS(Dados!$G:$G,Dados!$E:$E,$B130,Dados!$C:$C,INDEX(D$3,1,1),Dados!$A:$A,INDEX($D:$E,MATCH("F",$D:$D,0),2))/COUNTIFS(Dados!$E:$E,$B130,Dados!$C:$C,INDEX(D$3,1,1),Dados!$A:$A,INDEX($D:$E,MATCH("F",$D:$D,0),2)))</f>
        <v/>
      </c>
      <c r="E130" s="68" t="str">
        <f ca="1">IF(COUNTIFS(Dados!$E:$E,$B130,Dados!$C:$C,INDEX(E$3,1,1),Dados!$A:$A,INDEX($D:$E,MATCH("F",$D:$D,0),2))=0,"",SUMIFS(Dados!$G:$G,Dados!$E:$E,$B130,Dados!$C:$C,INDEX(E$3,1,1),Dados!$A:$A,INDEX($D:$E,MATCH("F",$D:$D,0),2))/COUNTIFS(Dados!$E:$E,$B130,Dados!$C:$C,INDEX(E$3,1,1),Dados!$A:$A,INDEX($D:$E,MATCH("F",$D:$D,0),2)))</f>
        <v/>
      </c>
      <c r="F130" s="68" t="str">
        <f ca="1">IF(COUNTIFS(Dados!$E:$E,$B130,Dados!$C:$C,INDEX(F$3,1,1),Dados!$A:$A,INDEX($D:$E,MATCH("F",$D:$D,0),2))=0,"",SUMIFS(Dados!$G:$G,Dados!$E:$E,$B130,Dados!$C:$C,INDEX(F$3,1,1),Dados!$A:$A,INDEX($D:$E,MATCH("F",$D:$D,0),2))/COUNTIFS(Dados!$E:$E,$B130,Dados!$C:$C,INDEX(F$3,1,1),Dados!$A:$A,INDEX($D:$E,MATCH("F",$D:$D,0),2)))</f>
        <v/>
      </c>
      <c r="G130" s="68" t="str">
        <f ca="1">IF(COUNTIFS(Dados!$E:$E,$B130,Dados!$C:$C,INDEX(G$3,1,1),Dados!$A:$A,INDEX($D:$E,MATCH("F",$D:$D,0),2))=0,"",SUMIFS(Dados!$G:$G,Dados!$E:$E,$B130,Dados!$C:$C,INDEX(G$3,1,1),Dados!$A:$A,INDEX($D:$E,MATCH("F",$D:$D,0),2))/COUNTIFS(Dados!$E:$E,$B130,Dados!$C:$C,INDEX(G$3,1,1),Dados!$A:$A,INDEX($D:$E,MATCH("F",$D:$D,0),2)))</f>
        <v/>
      </c>
      <c r="H130" s="68" t="str">
        <f ca="1">IF(COUNTIFS(Dados!$E:$E,$B130,Dados!$C:$C,INDEX(H$3,1,1),Dados!$A:$A,INDEX($D:$E,MATCH("F",$D:$D,0),2))=0,"",SUMIFS(Dados!$G:$G,Dados!$E:$E,$B130,Dados!$C:$C,INDEX(H$3,1,1),Dados!$A:$A,INDEX($D:$E,MATCH("F",$D:$D,0),2))/COUNTIFS(Dados!$E:$E,$B130,Dados!$C:$C,INDEX(H$3,1,1),Dados!$A:$A,INDEX($D:$E,MATCH("F",$D:$D,0),2)))</f>
        <v/>
      </c>
      <c r="I130" s="68" t="str">
        <f ca="1">IF(COUNTIFS(Dados!$E:$E,$B130,Dados!$C:$C,INDEX(I$3,1,1),Dados!$A:$A,INDEX($D:$E,MATCH("F",$D:$D,0),2))=0,"",SUMIFS(Dados!$G:$G,Dados!$E:$E,$B130,Dados!$C:$C,INDEX(I$3,1,1),Dados!$A:$A,INDEX($D:$E,MATCH("F",$D:$D,0),2))/COUNTIFS(Dados!$E:$E,$B130,Dados!$C:$C,INDEX(I$3,1,1),Dados!$A:$A,INDEX($D:$E,MATCH("F",$D:$D,0),2)))</f>
        <v/>
      </c>
      <c r="J130" s="68" t="str">
        <f ca="1">IF(COUNTIFS(Dados!$E:$E,$B130,Dados!$C:$C,INDEX(J$3,1,1),Dados!$A:$A,INDEX($D:$E,MATCH("F",$D:$D,0),2))=0,"",SUMIFS(Dados!$G:$G,Dados!$E:$E,$B130,Dados!$C:$C,INDEX(J$3,1,1),Dados!$A:$A,INDEX($D:$E,MATCH("F",$D:$D,0),2))/COUNTIFS(Dados!$E:$E,$B130,Dados!$C:$C,INDEX(J$3,1,1),Dados!$A:$A,INDEX($D:$E,MATCH("F",$D:$D,0),2)))</f>
        <v/>
      </c>
      <c r="K130" s="68" t="str">
        <f ca="1">IF(COUNTIFS(Dados!$E:$E,$B130,Dados!$C:$C,INDEX(K$3,1,1),Dados!$A:$A,INDEX($D:$E,MATCH("F",$D:$D,0),2))=0,"",SUMIFS(Dados!$G:$G,Dados!$E:$E,$B130,Dados!$C:$C,INDEX(K$3,1,1),Dados!$A:$A,INDEX($D:$E,MATCH("F",$D:$D,0),2))/COUNTIFS(Dados!$E:$E,$B130,Dados!$C:$C,INDEX(K$3,1,1),Dados!$A:$A,INDEX($D:$E,MATCH("F",$D:$D,0),2)))</f>
        <v/>
      </c>
      <c r="L130" s="68" t="str">
        <f ca="1">IF(COUNTIFS(Dados!$E:$E,$B130,Dados!$C:$C,INDEX(L$3,1,1),Dados!$A:$A,INDEX($D:$E,MATCH("F",$D:$D,0),2))=0,"",SUMIFS(Dados!$G:$G,Dados!$E:$E,$B130,Dados!$C:$C,INDEX(L$3,1,1),Dados!$A:$A,INDEX($D:$E,MATCH("F",$D:$D,0),2))/COUNTIFS(Dados!$E:$E,$B130,Dados!$C:$C,INDEX(L$3,1,1),Dados!$A:$A,INDEX($D:$E,MATCH("F",$D:$D,0),2)))</f>
        <v/>
      </c>
      <c r="M130" s="68" t="str">
        <f ca="1">IF(COUNTIFS(Dados!$E:$E,$B130,Dados!$C:$C,INDEX(M$3,1,1),Dados!$A:$A,INDEX($D:$E,MATCH("F",$D:$D,0),2))=0,"",SUMIFS(Dados!$G:$G,Dados!$E:$E,$B130,Dados!$C:$C,INDEX(M$3,1,1),Dados!$A:$A,INDEX($D:$E,MATCH("F",$D:$D,0),2))/COUNTIFS(Dados!$E:$E,$B130,Dados!$C:$C,INDEX(M$3,1,1),Dados!$A:$A,INDEX($D:$E,MATCH("F",$D:$D,0),2)))</f>
        <v/>
      </c>
      <c r="N130" s="68" t="str">
        <f ca="1">IF(COUNTIFS(Dados!$E:$E,$B130,Dados!$C:$C,INDEX(N$3,1,1),Dados!$A:$A,INDEX($D:$E,MATCH("F",$D:$D,0),2))=0,"",SUMIFS(Dados!$G:$G,Dados!$E:$E,$B130,Dados!$C:$C,INDEX(N$3,1,1),Dados!$A:$A,INDEX($D:$E,MATCH("F",$D:$D,0),2))/COUNTIFS(Dados!$E:$E,$B130,Dados!$C:$C,INDEX(N$3,1,1),Dados!$A:$A,INDEX($D:$E,MATCH("F",$D:$D,0),2)))</f>
        <v/>
      </c>
      <c r="O130" s="68" t="str">
        <f ca="1">IF(COUNTIFS(Dados!$E:$E,$B130,Dados!$C:$C,INDEX(O$3,1,1),Dados!$A:$A,INDEX($D:$E,MATCH("F",$D:$D,0),2))=0,"",SUMIFS(Dados!$G:$G,Dados!$E:$E,$B130,Dados!$C:$C,INDEX(O$3,1,1),Dados!$A:$A,INDEX($D:$E,MATCH("F",$D:$D,0),2))/COUNTIFS(Dados!$E:$E,$B130,Dados!$C:$C,INDEX(O$3,1,1),Dados!$A:$A,INDEX($D:$E,MATCH("F",$D:$D,0),2)))</f>
        <v/>
      </c>
      <c r="P130" s="68" t="str">
        <f ca="1">IF(COUNTIFS(Dados!$E:$E,$B130,Dados!$C:$C,INDEX(P$3,1,1),Dados!$A:$A,INDEX($D:$E,MATCH("F",$D:$D,0),2))=0,"",SUMIFS(Dados!$G:$G,Dados!$E:$E,$B130,Dados!$C:$C,INDEX(P$3,1,1),Dados!$A:$A,INDEX($D:$E,MATCH("F",$D:$D,0),2))/COUNTIFS(Dados!$E:$E,$B130,Dados!$C:$C,INDEX(P$3,1,1),Dados!$A:$A,INDEX($D:$E,MATCH("F",$D:$D,0),2)))</f>
        <v/>
      </c>
      <c r="Q130" s="68" t="str">
        <f ca="1">IF(COUNTIFS(Dados!$E:$E,$B130,Dados!$C:$C,INDEX(Q$3,1,1),Dados!$A:$A,INDEX($D:$E,MATCH("F",$D:$D,0),2))=0,"",SUMIFS(Dados!$G:$G,Dados!$E:$E,$B130,Dados!$C:$C,INDEX(Q$3,1,1),Dados!$A:$A,INDEX($D:$E,MATCH("F",$D:$D,0),2))/COUNTIFS(Dados!$E:$E,$B130,Dados!$C:$C,INDEX(Q$3,1,1),Dados!$A:$A,INDEX($D:$E,MATCH("F",$D:$D,0),2)))</f>
        <v/>
      </c>
      <c r="R130" s="68" t="str">
        <f ca="1">IF(COUNTIFS(Dados!$E:$E,$B130,Dados!$C:$C,INDEX(R$3,1,1),Dados!$A:$A,INDEX($D:$E,MATCH("F",$D:$D,0),2))=0,"",SUMIFS(Dados!$G:$G,Dados!$E:$E,$B130,Dados!$C:$C,INDEX(R$3,1,1),Dados!$A:$A,INDEX($D:$E,MATCH("F",$D:$D,0),2))/COUNTIFS(Dados!$E:$E,$B130,Dados!$C:$C,INDEX(R$3,1,1),Dados!$A:$A,INDEX($D:$E,MATCH("F",$D:$D,0),2)))</f>
        <v/>
      </c>
      <c r="S130" s="68" t="str">
        <f ca="1">IF(COUNTIFS(Dados!$E:$E,$B130,Dados!$C:$C,INDEX(S$3,1,1),Dados!$A:$A,INDEX($D:$E,MATCH("F",$D:$D,0),2))=0,"",SUMIFS(Dados!$G:$G,Dados!$E:$E,$B130,Dados!$C:$C,INDEX(S$3,1,1),Dados!$A:$A,INDEX($D:$E,MATCH("F",$D:$D,0),2))/COUNTIFS(Dados!$E:$E,$B130,Dados!$C:$C,INDEX(S$3,1,1),Dados!$A:$A,INDEX($D:$E,MATCH("F",$D:$D,0),2)))</f>
        <v/>
      </c>
      <c r="T130" s="68" t="str">
        <f ca="1">IF(COUNTIFS(Dados!$E:$E,$B130,Dados!$C:$C,INDEX(T$3,1,1),Dados!$A:$A,INDEX($D:$E,MATCH("F",$D:$D,0),2))=0,"",SUMIFS(Dados!$G:$G,Dados!$E:$E,$B130,Dados!$C:$C,INDEX(T$3,1,1),Dados!$A:$A,INDEX($D:$E,MATCH("F",$D:$D,0),2))/COUNTIFS(Dados!$E:$E,$B130,Dados!$C:$C,INDEX(T$3,1,1),Dados!$A:$A,INDEX($D:$E,MATCH("F",$D:$D,0),2)))</f>
        <v/>
      </c>
      <c r="U130" s="68" t="str">
        <f ca="1">IF(COUNTIFS(Dados!$E:$E,$B130,Dados!$C:$C,INDEX(U$3,1,1),Dados!$A:$A,INDEX($D:$E,MATCH("F",$D:$D,0),2))=0,"",SUMIFS(Dados!$G:$G,Dados!$E:$E,$B130,Dados!$C:$C,INDEX(U$3,1,1),Dados!$A:$A,INDEX($D:$E,MATCH("F",$D:$D,0),2))/COUNTIFS(Dados!$E:$E,$B130,Dados!$C:$C,INDEX(U$3,1,1),Dados!$A:$A,INDEX($D:$E,MATCH("F",$D:$D,0),2)))</f>
        <v/>
      </c>
      <c r="V130" s="68" t="str">
        <f ca="1">IF(COUNTIFS(Dados!$E:$E,$B130,Dados!$C:$C,INDEX(V$3,1,1),Dados!$A:$A,INDEX($D:$E,MATCH("F",$D:$D,0),2))=0,"",SUMIFS(Dados!$G:$G,Dados!$E:$E,$B130,Dados!$C:$C,INDEX(V$3,1,1),Dados!$A:$A,INDEX($D:$E,MATCH("F",$D:$D,0),2))/COUNTIFS(Dados!$E:$E,$B130,Dados!$C:$C,INDEX(V$3,1,1),Dados!$A:$A,INDEX($D:$E,MATCH("F",$D:$D,0),2)))</f>
        <v/>
      </c>
    </row>
    <row r="131" spans="2:22" x14ac:dyDescent="0.25">
      <c r="B131" s="65" t="s">
        <v>96</v>
      </c>
      <c r="C131" s="72">
        <f>VLOOKUP(B131,B4:C22,2,0)</f>
        <v>2</v>
      </c>
      <c r="D131" s="66" t="str">
        <f ca="1">IF(COUNTIFS(Dados!$E:$E,$B131,Dados!$C:$C,INDEX(D$3,1,1),Dados!$A:$A,INDEX($D:$E,MATCH("F",$D:$D,0),2))=0,"",SUMIFS(Dados!$G:$G,Dados!$E:$E,$B131,Dados!$C:$C,INDEX(D$3,1,1),Dados!$A:$A,INDEX($D:$E,MATCH("F",$D:$D,0),2))/COUNTIFS(Dados!$E:$E,$B131,Dados!$C:$C,INDEX(D$3,1,1),Dados!$A:$A,INDEX($D:$E,MATCH("F",$D:$D,0),2)))</f>
        <v/>
      </c>
      <c r="E131" s="66" t="str">
        <f ca="1">IF(COUNTIFS(Dados!$E:$E,$B131,Dados!$C:$C,INDEX(E$3,1,1),Dados!$A:$A,INDEX($D:$E,MATCH("F",$D:$D,0),2))=0,"",SUMIFS(Dados!$G:$G,Dados!$E:$E,$B131,Dados!$C:$C,INDEX(E$3,1,1),Dados!$A:$A,INDEX($D:$E,MATCH("F",$D:$D,0),2))/COUNTIFS(Dados!$E:$E,$B131,Dados!$C:$C,INDEX(E$3,1,1),Dados!$A:$A,INDEX($D:$E,MATCH("F",$D:$D,0),2)))</f>
        <v/>
      </c>
      <c r="F131" s="66" t="str">
        <f ca="1">IF(COUNTIFS(Dados!$E:$E,$B131,Dados!$C:$C,INDEX(F$3,1,1),Dados!$A:$A,INDEX($D:$E,MATCH("F",$D:$D,0),2))=0,"",SUMIFS(Dados!$G:$G,Dados!$E:$E,$B131,Dados!$C:$C,INDEX(F$3,1,1),Dados!$A:$A,INDEX($D:$E,MATCH("F",$D:$D,0),2))/COUNTIFS(Dados!$E:$E,$B131,Dados!$C:$C,INDEX(F$3,1,1),Dados!$A:$A,INDEX($D:$E,MATCH("F",$D:$D,0),2)))</f>
        <v/>
      </c>
      <c r="G131" s="66" t="str">
        <f ca="1">IF(COUNTIFS(Dados!$E:$E,$B131,Dados!$C:$C,INDEX(G$3,1,1),Dados!$A:$A,INDEX($D:$E,MATCH("F",$D:$D,0),2))=0,"",SUMIFS(Dados!$G:$G,Dados!$E:$E,$B131,Dados!$C:$C,INDEX(G$3,1,1),Dados!$A:$A,INDEX($D:$E,MATCH("F",$D:$D,0),2))/COUNTIFS(Dados!$E:$E,$B131,Dados!$C:$C,INDEX(G$3,1,1),Dados!$A:$A,INDEX($D:$E,MATCH("F",$D:$D,0),2)))</f>
        <v/>
      </c>
      <c r="H131" s="66" t="str">
        <f ca="1">IF(COUNTIFS(Dados!$E:$E,$B131,Dados!$C:$C,INDEX(H$3,1,1),Dados!$A:$A,INDEX($D:$E,MATCH("F",$D:$D,0),2))=0,"",SUMIFS(Dados!$G:$G,Dados!$E:$E,$B131,Dados!$C:$C,INDEX(H$3,1,1),Dados!$A:$A,INDEX($D:$E,MATCH("F",$D:$D,0),2))/COUNTIFS(Dados!$E:$E,$B131,Dados!$C:$C,INDEX(H$3,1,1),Dados!$A:$A,INDEX($D:$E,MATCH("F",$D:$D,0),2)))</f>
        <v/>
      </c>
      <c r="I131" s="66" t="str">
        <f ca="1">IF(COUNTIFS(Dados!$E:$E,$B131,Dados!$C:$C,INDEX(I$3,1,1),Dados!$A:$A,INDEX($D:$E,MATCH("F",$D:$D,0),2))=0,"",SUMIFS(Dados!$G:$G,Dados!$E:$E,$B131,Dados!$C:$C,INDEX(I$3,1,1),Dados!$A:$A,INDEX($D:$E,MATCH("F",$D:$D,0),2))/COUNTIFS(Dados!$E:$E,$B131,Dados!$C:$C,INDEX(I$3,1,1),Dados!$A:$A,INDEX($D:$E,MATCH("F",$D:$D,0),2)))</f>
        <v/>
      </c>
      <c r="J131" s="66" t="str">
        <f ca="1">IF(COUNTIFS(Dados!$E:$E,$B131,Dados!$C:$C,INDEX(J$3,1,1),Dados!$A:$A,INDEX($D:$E,MATCH("F",$D:$D,0),2))=0,"",SUMIFS(Dados!$G:$G,Dados!$E:$E,$B131,Dados!$C:$C,INDEX(J$3,1,1),Dados!$A:$A,INDEX($D:$E,MATCH("F",$D:$D,0),2))/COUNTIFS(Dados!$E:$E,$B131,Dados!$C:$C,INDEX(J$3,1,1),Dados!$A:$A,INDEX($D:$E,MATCH("F",$D:$D,0),2)))</f>
        <v/>
      </c>
      <c r="K131" s="66" t="str">
        <f ca="1">IF(COUNTIFS(Dados!$E:$E,$B131,Dados!$C:$C,INDEX(K$3,1,1),Dados!$A:$A,INDEX($D:$E,MATCH("F",$D:$D,0),2))=0,"",SUMIFS(Dados!$G:$G,Dados!$E:$E,$B131,Dados!$C:$C,INDEX(K$3,1,1),Dados!$A:$A,INDEX($D:$E,MATCH("F",$D:$D,0),2))/COUNTIFS(Dados!$E:$E,$B131,Dados!$C:$C,INDEX(K$3,1,1),Dados!$A:$A,INDEX($D:$E,MATCH("F",$D:$D,0),2)))</f>
        <v/>
      </c>
      <c r="L131" s="66" t="str">
        <f ca="1">IF(COUNTIFS(Dados!$E:$E,$B131,Dados!$C:$C,INDEX(L$3,1,1),Dados!$A:$A,INDEX($D:$E,MATCH("F",$D:$D,0),2))=0,"",SUMIFS(Dados!$G:$G,Dados!$E:$E,$B131,Dados!$C:$C,INDEX(L$3,1,1),Dados!$A:$A,INDEX($D:$E,MATCH("F",$D:$D,0),2))/COUNTIFS(Dados!$E:$E,$B131,Dados!$C:$C,INDEX(L$3,1,1),Dados!$A:$A,INDEX($D:$E,MATCH("F",$D:$D,0),2)))</f>
        <v/>
      </c>
      <c r="M131" s="66" t="str">
        <f ca="1">IF(COUNTIFS(Dados!$E:$E,$B131,Dados!$C:$C,INDEX(M$3,1,1),Dados!$A:$A,INDEX($D:$E,MATCH("F",$D:$D,0),2))=0,"",SUMIFS(Dados!$G:$G,Dados!$E:$E,$B131,Dados!$C:$C,INDEX(M$3,1,1),Dados!$A:$A,INDEX($D:$E,MATCH("F",$D:$D,0),2))/COUNTIFS(Dados!$E:$E,$B131,Dados!$C:$C,INDEX(M$3,1,1),Dados!$A:$A,INDEX($D:$E,MATCH("F",$D:$D,0),2)))</f>
        <v/>
      </c>
      <c r="N131" s="66" t="str">
        <f ca="1">IF(COUNTIFS(Dados!$E:$E,$B131,Dados!$C:$C,INDEX(N$3,1,1),Dados!$A:$A,INDEX($D:$E,MATCH("F",$D:$D,0),2))=0,"",SUMIFS(Dados!$G:$G,Dados!$E:$E,$B131,Dados!$C:$C,INDEX(N$3,1,1),Dados!$A:$A,INDEX($D:$E,MATCH("F",$D:$D,0),2))/COUNTIFS(Dados!$E:$E,$B131,Dados!$C:$C,INDEX(N$3,1,1),Dados!$A:$A,INDEX($D:$E,MATCH("F",$D:$D,0),2)))</f>
        <v/>
      </c>
      <c r="O131" s="66" t="str">
        <f ca="1">IF(COUNTIFS(Dados!$E:$E,$B131,Dados!$C:$C,INDEX(O$3,1,1),Dados!$A:$A,INDEX($D:$E,MATCH("F",$D:$D,0),2))=0,"",SUMIFS(Dados!$G:$G,Dados!$E:$E,$B131,Dados!$C:$C,INDEX(O$3,1,1),Dados!$A:$A,INDEX($D:$E,MATCH("F",$D:$D,0),2))/COUNTIFS(Dados!$E:$E,$B131,Dados!$C:$C,INDEX(O$3,1,1),Dados!$A:$A,INDEX($D:$E,MATCH("F",$D:$D,0),2)))</f>
        <v/>
      </c>
      <c r="P131" s="66" t="str">
        <f ca="1">IF(COUNTIFS(Dados!$E:$E,$B131,Dados!$C:$C,INDEX(P$3,1,1),Dados!$A:$A,INDEX($D:$E,MATCH("F",$D:$D,0),2))=0,"",SUMIFS(Dados!$G:$G,Dados!$E:$E,$B131,Dados!$C:$C,INDEX(P$3,1,1),Dados!$A:$A,INDEX($D:$E,MATCH("F",$D:$D,0),2))/COUNTIFS(Dados!$E:$E,$B131,Dados!$C:$C,INDEX(P$3,1,1),Dados!$A:$A,INDEX($D:$E,MATCH("F",$D:$D,0),2)))</f>
        <v/>
      </c>
      <c r="Q131" s="66" t="str">
        <f ca="1">IF(COUNTIFS(Dados!$E:$E,$B131,Dados!$C:$C,INDEX(Q$3,1,1),Dados!$A:$A,INDEX($D:$E,MATCH("F",$D:$D,0),2))=0,"",SUMIFS(Dados!$G:$G,Dados!$E:$E,$B131,Dados!$C:$C,INDEX(Q$3,1,1),Dados!$A:$A,INDEX($D:$E,MATCH("F",$D:$D,0),2))/COUNTIFS(Dados!$E:$E,$B131,Dados!$C:$C,INDEX(Q$3,1,1),Dados!$A:$A,INDEX($D:$E,MATCH("F",$D:$D,0),2)))</f>
        <v/>
      </c>
      <c r="R131" s="66" t="str">
        <f ca="1">IF(COUNTIFS(Dados!$E:$E,$B131,Dados!$C:$C,INDEX(R$3,1,1),Dados!$A:$A,INDEX($D:$E,MATCH("F",$D:$D,0),2))=0,"",SUMIFS(Dados!$G:$G,Dados!$E:$E,$B131,Dados!$C:$C,INDEX(R$3,1,1),Dados!$A:$A,INDEX($D:$E,MATCH("F",$D:$D,0),2))/COUNTIFS(Dados!$E:$E,$B131,Dados!$C:$C,INDEX(R$3,1,1),Dados!$A:$A,INDEX($D:$E,MATCH("F",$D:$D,0),2)))</f>
        <v/>
      </c>
      <c r="S131" s="66" t="str">
        <f ca="1">IF(COUNTIFS(Dados!$E:$E,$B131,Dados!$C:$C,INDEX(S$3,1,1),Dados!$A:$A,INDEX($D:$E,MATCH("F",$D:$D,0),2))=0,"",SUMIFS(Dados!$G:$G,Dados!$E:$E,$B131,Dados!$C:$C,INDEX(S$3,1,1),Dados!$A:$A,INDEX($D:$E,MATCH("F",$D:$D,0),2))/COUNTIFS(Dados!$E:$E,$B131,Dados!$C:$C,INDEX(S$3,1,1),Dados!$A:$A,INDEX($D:$E,MATCH("F",$D:$D,0),2)))</f>
        <v/>
      </c>
      <c r="T131" s="66" t="str">
        <f ca="1">IF(COUNTIFS(Dados!$E:$E,$B131,Dados!$C:$C,INDEX(T$3,1,1),Dados!$A:$A,INDEX($D:$E,MATCH("F",$D:$D,0),2))=0,"",SUMIFS(Dados!$G:$G,Dados!$E:$E,$B131,Dados!$C:$C,INDEX(T$3,1,1),Dados!$A:$A,INDEX($D:$E,MATCH("F",$D:$D,0),2))/COUNTIFS(Dados!$E:$E,$B131,Dados!$C:$C,INDEX(T$3,1,1),Dados!$A:$A,INDEX($D:$E,MATCH("F",$D:$D,0),2)))</f>
        <v/>
      </c>
      <c r="U131" s="66" t="str">
        <f ca="1">IF(COUNTIFS(Dados!$E:$E,$B131,Dados!$C:$C,INDEX(U$3,1,1),Dados!$A:$A,INDEX($D:$E,MATCH("F",$D:$D,0),2))=0,"",SUMIFS(Dados!$G:$G,Dados!$E:$E,$B131,Dados!$C:$C,INDEX(U$3,1,1),Dados!$A:$A,INDEX($D:$E,MATCH("F",$D:$D,0),2))/COUNTIFS(Dados!$E:$E,$B131,Dados!$C:$C,INDEX(U$3,1,1),Dados!$A:$A,INDEX($D:$E,MATCH("F",$D:$D,0),2)))</f>
        <v/>
      </c>
      <c r="V131" s="66" t="str">
        <f ca="1">IF(COUNTIFS(Dados!$E:$E,$B131,Dados!$C:$C,INDEX(V$3,1,1),Dados!$A:$A,INDEX($D:$E,MATCH("F",$D:$D,0),2))=0,"",SUMIFS(Dados!$G:$G,Dados!$E:$E,$B131,Dados!$C:$C,INDEX(V$3,1,1),Dados!$A:$A,INDEX($D:$E,MATCH("F",$D:$D,0),2))/COUNTIFS(Dados!$E:$E,$B131,Dados!$C:$C,INDEX(V$3,1,1),Dados!$A:$A,INDEX($D:$E,MATCH("F",$D:$D,0),2)))</f>
        <v/>
      </c>
    </row>
    <row r="132" spans="2:22" x14ac:dyDescent="0.25">
      <c r="B132" s="67" t="s">
        <v>1297</v>
      </c>
      <c r="C132" s="71">
        <f>VLOOKUP(B132,B4:C22,2,0)</f>
        <v>3</v>
      </c>
      <c r="D132" s="68" t="str">
        <f ca="1">IF(COUNTIFS(Dados!$E:$E,$B132,Dados!$C:$C,INDEX(D$3,1,1),Dados!$A:$A,INDEX($D:$E,MATCH("F",$D:$D,0),2))=0,"",SUMIFS(Dados!$G:$G,Dados!$E:$E,$B132,Dados!$C:$C,INDEX(D$3,1,1),Dados!$A:$A,INDEX($D:$E,MATCH("F",$D:$D,0),2))/COUNTIFS(Dados!$E:$E,$B132,Dados!$C:$C,INDEX(D$3,1,1),Dados!$A:$A,INDEX($D:$E,MATCH("F",$D:$D,0),2)))</f>
        <v/>
      </c>
      <c r="E132" s="68" t="str">
        <f ca="1">IF(COUNTIFS(Dados!$E:$E,$B132,Dados!$C:$C,INDEX(E$3,1,1),Dados!$A:$A,INDEX($D:$E,MATCH("F",$D:$D,0),2))=0,"",SUMIFS(Dados!$G:$G,Dados!$E:$E,$B132,Dados!$C:$C,INDEX(E$3,1,1),Dados!$A:$A,INDEX($D:$E,MATCH("F",$D:$D,0),2))/COUNTIFS(Dados!$E:$E,$B132,Dados!$C:$C,INDEX(E$3,1,1),Dados!$A:$A,INDEX($D:$E,MATCH("F",$D:$D,0),2)))</f>
        <v/>
      </c>
      <c r="F132" s="68" t="str">
        <f ca="1">IF(COUNTIFS(Dados!$E:$E,$B132,Dados!$C:$C,INDEX(F$3,1,1),Dados!$A:$A,INDEX($D:$E,MATCH("F",$D:$D,0),2))=0,"",SUMIFS(Dados!$G:$G,Dados!$E:$E,$B132,Dados!$C:$C,INDEX(F$3,1,1),Dados!$A:$A,INDEX($D:$E,MATCH("F",$D:$D,0),2))/COUNTIFS(Dados!$E:$E,$B132,Dados!$C:$C,INDEX(F$3,1,1),Dados!$A:$A,INDEX($D:$E,MATCH("F",$D:$D,0),2)))</f>
        <v/>
      </c>
      <c r="G132" s="68" t="str">
        <f ca="1">IF(COUNTIFS(Dados!$E:$E,$B132,Dados!$C:$C,INDEX(G$3,1,1),Dados!$A:$A,INDEX($D:$E,MATCH("F",$D:$D,0),2))=0,"",SUMIFS(Dados!$G:$G,Dados!$E:$E,$B132,Dados!$C:$C,INDEX(G$3,1,1),Dados!$A:$A,INDEX($D:$E,MATCH("F",$D:$D,0),2))/COUNTIFS(Dados!$E:$E,$B132,Dados!$C:$C,INDEX(G$3,1,1),Dados!$A:$A,INDEX($D:$E,MATCH("F",$D:$D,0),2)))</f>
        <v/>
      </c>
      <c r="H132" s="68" t="str">
        <f ca="1">IF(COUNTIFS(Dados!$E:$E,$B132,Dados!$C:$C,INDEX(H$3,1,1),Dados!$A:$A,INDEX($D:$E,MATCH("F",$D:$D,0),2))=0,"",SUMIFS(Dados!$G:$G,Dados!$E:$E,$B132,Dados!$C:$C,INDEX(H$3,1,1),Dados!$A:$A,INDEX($D:$E,MATCH("F",$D:$D,0),2))/COUNTIFS(Dados!$E:$E,$B132,Dados!$C:$C,INDEX(H$3,1,1),Dados!$A:$A,INDEX($D:$E,MATCH("F",$D:$D,0),2)))</f>
        <v/>
      </c>
      <c r="I132" s="68" t="str">
        <f ca="1">IF(COUNTIFS(Dados!$E:$E,$B132,Dados!$C:$C,INDEX(I$3,1,1),Dados!$A:$A,INDEX($D:$E,MATCH("F",$D:$D,0),2))=0,"",SUMIFS(Dados!$G:$G,Dados!$E:$E,$B132,Dados!$C:$C,INDEX(I$3,1,1),Dados!$A:$A,INDEX($D:$E,MATCH("F",$D:$D,0),2))/COUNTIFS(Dados!$E:$E,$B132,Dados!$C:$C,INDEX(I$3,1,1),Dados!$A:$A,INDEX($D:$E,MATCH("F",$D:$D,0),2)))</f>
        <v/>
      </c>
      <c r="J132" s="68" t="str">
        <f ca="1">IF(COUNTIFS(Dados!$E:$E,$B132,Dados!$C:$C,INDEX(J$3,1,1),Dados!$A:$A,INDEX($D:$E,MATCH("F",$D:$D,0),2))=0,"",SUMIFS(Dados!$G:$G,Dados!$E:$E,$B132,Dados!$C:$C,INDEX(J$3,1,1),Dados!$A:$A,INDEX($D:$E,MATCH("F",$D:$D,0),2))/COUNTIFS(Dados!$E:$E,$B132,Dados!$C:$C,INDEX(J$3,1,1),Dados!$A:$A,INDEX($D:$E,MATCH("F",$D:$D,0),2)))</f>
        <v/>
      </c>
      <c r="K132" s="68" t="str">
        <f ca="1">IF(COUNTIFS(Dados!$E:$E,$B132,Dados!$C:$C,INDEX(K$3,1,1),Dados!$A:$A,INDEX($D:$E,MATCH("F",$D:$D,0),2))=0,"",SUMIFS(Dados!$G:$G,Dados!$E:$E,$B132,Dados!$C:$C,INDEX(K$3,1,1),Dados!$A:$A,INDEX($D:$E,MATCH("F",$D:$D,0),2))/COUNTIFS(Dados!$E:$E,$B132,Dados!$C:$C,INDEX(K$3,1,1),Dados!$A:$A,INDEX($D:$E,MATCH("F",$D:$D,0),2)))</f>
        <v/>
      </c>
      <c r="L132" s="68" t="str">
        <f ca="1">IF(COUNTIFS(Dados!$E:$E,$B132,Dados!$C:$C,INDEX(L$3,1,1),Dados!$A:$A,INDEX($D:$E,MATCH("F",$D:$D,0),2))=0,"",SUMIFS(Dados!$G:$G,Dados!$E:$E,$B132,Dados!$C:$C,INDEX(L$3,1,1),Dados!$A:$A,INDEX($D:$E,MATCH("F",$D:$D,0),2))/COUNTIFS(Dados!$E:$E,$B132,Dados!$C:$C,INDEX(L$3,1,1),Dados!$A:$A,INDEX($D:$E,MATCH("F",$D:$D,0),2)))</f>
        <v/>
      </c>
      <c r="M132" s="68" t="str">
        <f ca="1">IF(COUNTIFS(Dados!$E:$E,$B132,Dados!$C:$C,INDEX(M$3,1,1),Dados!$A:$A,INDEX($D:$E,MATCH("F",$D:$D,0),2))=0,"",SUMIFS(Dados!$G:$G,Dados!$E:$E,$B132,Dados!$C:$C,INDEX(M$3,1,1),Dados!$A:$A,INDEX($D:$E,MATCH("F",$D:$D,0),2))/COUNTIFS(Dados!$E:$E,$B132,Dados!$C:$C,INDEX(M$3,1,1),Dados!$A:$A,INDEX($D:$E,MATCH("F",$D:$D,0),2)))</f>
        <v/>
      </c>
      <c r="N132" s="68" t="str">
        <f ca="1">IF(COUNTIFS(Dados!$E:$E,$B132,Dados!$C:$C,INDEX(N$3,1,1),Dados!$A:$A,INDEX($D:$E,MATCH("F",$D:$D,0),2))=0,"",SUMIFS(Dados!$G:$G,Dados!$E:$E,$B132,Dados!$C:$C,INDEX(N$3,1,1),Dados!$A:$A,INDEX($D:$E,MATCH("F",$D:$D,0),2))/COUNTIFS(Dados!$E:$E,$B132,Dados!$C:$C,INDEX(N$3,1,1),Dados!$A:$A,INDEX($D:$E,MATCH("F",$D:$D,0),2)))</f>
        <v/>
      </c>
      <c r="O132" s="68" t="str">
        <f ca="1">IF(COUNTIFS(Dados!$E:$E,$B132,Dados!$C:$C,INDEX(O$3,1,1),Dados!$A:$A,INDEX($D:$E,MATCH("F",$D:$D,0),2))=0,"",SUMIFS(Dados!$G:$G,Dados!$E:$E,$B132,Dados!$C:$C,INDEX(O$3,1,1),Dados!$A:$A,INDEX($D:$E,MATCH("F",$D:$D,0),2))/COUNTIFS(Dados!$E:$E,$B132,Dados!$C:$C,INDEX(O$3,1,1),Dados!$A:$A,INDEX($D:$E,MATCH("F",$D:$D,0),2)))</f>
        <v/>
      </c>
      <c r="P132" s="68" t="str">
        <f ca="1">IF(COUNTIFS(Dados!$E:$E,$B132,Dados!$C:$C,INDEX(P$3,1,1),Dados!$A:$A,INDEX($D:$E,MATCH("F",$D:$D,0),2))=0,"",SUMIFS(Dados!$G:$G,Dados!$E:$E,$B132,Dados!$C:$C,INDEX(P$3,1,1),Dados!$A:$A,INDEX($D:$E,MATCH("F",$D:$D,0),2))/COUNTIFS(Dados!$E:$E,$B132,Dados!$C:$C,INDEX(P$3,1,1),Dados!$A:$A,INDEX($D:$E,MATCH("F",$D:$D,0),2)))</f>
        <v/>
      </c>
      <c r="Q132" s="68" t="str">
        <f ca="1">IF(COUNTIFS(Dados!$E:$E,$B132,Dados!$C:$C,INDEX(Q$3,1,1),Dados!$A:$A,INDEX($D:$E,MATCH("F",$D:$D,0),2))=0,"",SUMIFS(Dados!$G:$G,Dados!$E:$E,$B132,Dados!$C:$C,INDEX(Q$3,1,1),Dados!$A:$A,INDEX($D:$E,MATCH("F",$D:$D,0),2))/COUNTIFS(Dados!$E:$E,$B132,Dados!$C:$C,INDEX(Q$3,1,1),Dados!$A:$A,INDEX($D:$E,MATCH("F",$D:$D,0),2)))</f>
        <v/>
      </c>
      <c r="R132" s="68" t="str">
        <f ca="1">IF(COUNTIFS(Dados!$E:$E,$B132,Dados!$C:$C,INDEX(R$3,1,1),Dados!$A:$A,INDEX($D:$E,MATCH("F",$D:$D,0),2))=0,"",SUMIFS(Dados!$G:$G,Dados!$E:$E,$B132,Dados!$C:$C,INDEX(R$3,1,1),Dados!$A:$A,INDEX($D:$E,MATCH("F",$D:$D,0),2))/COUNTIFS(Dados!$E:$E,$B132,Dados!$C:$C,INDEX(R$3,1,1),Dados!$A:$A,INDEX($D:$E,MATCH("F",$D:$D,0),2)))</f>
        <v/>
      </c>
      <c r="S132" s="68" t="str">
        <f ca="1">IF(COUNTIFS(Dados!$E:$E,$B132,Dados!$C:$C,INDEX(S$3,1,1),Dados!$A:$A,INDEX($D:$E,MATCH("F",$D:$D,0),2))=0,"",SUMIFS(Dados!$G:$G,Dados!$E:$E,$B132,Dados!$C:$C,INDEX(S$3,1,1),Dados!$A:$A,INDEX($D:$E,MATCH("F",$D:$D,0),2))/COUNTIFS(Dados!$E:$E,$B132,Dados!$C:$C,INDEX(S$3,1,1),Dados!$A:$A,INDEX($D:$E,MATCH("F",$D:$D,0),2)))</f>
        <v/>
      </c>
      <c r="T132" s="68" t="str">
        <f ca="1">IF(COUNTIFS(Dados!$E:$E,$B132,Dados!$C:$C,INDEX(T$3,1,1),Dados!$A:$A,INDEX($D:$E,MATCH("F",$D:$D,0),2))=0,"",SUMIFS(Dados!$G:$G,Dados!$E:$E,$B132,Dados!$C:$C,INDEX(T$3,1,1),Dados!$A:$A,INDEX($D:$E,MATCH("F",$D:$D,0),2))/COUNTIFS(Dados!$E:$E,$B132,Dados!$C:$C,INDEX(T$3,1,1),Dados!$A:$A,INDEX($D:$E,MATCH("F",$D:$D,0),2)))</f>
        <v/>
      </c>
      <c r="U132" s="68" t="str">
        <f ca="1">IF(COUNTIFS(Dados!$E:$E,$B132,Dados!$C:$C,INDEX(U$3,1,1),Dados!$A:$A,INDEX($D:$E,MATCH("F",$D:$D,0),2))=0,"",SUMIFS(Dados!$G:$G,Dados!$E:$E,$B132,Dados!$C:$C,INDEX(U$3,1,1),Dados!$A:$A,INDEX($D:$E,MATCH("F",$D:$D,0),2))/COUNTIFS(Dados!$E:$E,$B132,Dados!$C:$C,INDEX(U$3,1,1),Dados!$A:$A,INDEX($D:$E,MATCH("F",$D:$D,0),2)))</f>
        <v/>
      </c>
      <c r="V132" s="68" t="str">
        <f ca="1">IF(COUNTIFS(Dados!$E:$E,$B132,Dados!$C:$C,INDEX(V$3,1,1),Dados!$A:$A,INDEX($D:$E,MATCH("F",$D:$D,0),2))=0,"",SUMIFS(Dados!$G:$G,Dados!$E:$E,$B132,Dados!$C:$C,INDEX(V$3,1,1),Dados!$A:$A,INDEX($D:$E,MATCH("F",$D:$D,0),2))/COUNTIFS(Dados!$E:$E,$B132,Dados!$C:$C,INDEX(V$3,1,1),Dados!$A:$A,INDEX($D:$E,MATCH("F",$D:$D,0),2)))</f>
        <v/>
      </c>
    </row>
    <row r="133" spans="2:22" x14ac:dyDescent="0.25">
      <c r="B133" s="65" t="s">
        <v>1303</v>
      </c>
      <c r="C133" s="72">
        <f>VLOOKUP(B133,B4:C22,2,0)</f>
        <v>4</v>
      </c>
      <c r="D133" s="66" t="str">
        <f ca="1">IF(COUNTIFS(Dados!$E:$E,$B133,Dados!$C:$C,INDEX(D$3,1,1),Dados!$A:$A,INDEX($D:$E,MATCH("F",$D:$D,0),2))=0,"",SUMIFS(Dados!$G:$G,Dados!$E:$E,$B133,Dados!$C:$C,INDEX(D$3,1,1),Dados!$A:$A,INDEX($D:$E,MATCH("F",$D:$D,0),2))/COUNTIFS(Dados!$E:$E,$B133,Dados!$C:$C,INDEX(D$3,1,1),Dados!$A:$A,INDEX($D:$E,MATCH("F",$D:$D,0),2)))</f>
        <v/>
      </c>
      <c r="E133" s="66" t="str">
        <f ca="1">IF(COUNTIFS(Dados!$E:$E,$B133,Dados!$C:$C,INDEX(E$3,1,1),Dados!$A:$A,INDEX($D:$E,MATCH("F",$D:$D,0),2))=0,"",SUMIFS(Dados!$G:$G,Dados!$E:$E,$B133,Dados!$C:$C,INDEX(E$3,1,1),Dados!$A:$A,INDEX($D:$E,MATCH("F",$D:$D,0),2))/COUNTIFS(Dados!$E:$E,$B133,Dados!$C:$C,INDEX(E$3,1,1),Dados!$A:$A,INDEX($D:$E,MATCH("F",$D:$D,0),2)))</f>
        <v/>
      </c>
      <c r="F133" s="66" t="str">
        <f ca="1">IF(COUNTIFS(Dados!$E:$E,$B133,Dados!$C:$C,INDEX(F$3,1,1),Dados!$A:$A,INDEX($D:$E,MATCH("F",$D:$D,0),2))=0,"",SUMIFS(Dados!$G:$G,Dados!$E:$E,$B133,Dados!$C:$C,INDEX(F$3,1,1),Dados!$A:$A,INDEX($D:$E,MATCH("F",$D:$D,0),2))/COUNTIFS(Dados!$E:$E,$B133,Dados!$C:$C,INDEX(F$3,1,1),Dados!$A:$A,INDEX($D:$E,MATCH("F",$D:$D,0),2)))</f>
        <v/>
      </c>
      <c r="G133" s="66" t="str">
        <f ca="1">IF(COUNTIFS(Dados!$E:$E,$B133,Dados!$C:$C,INDEX(G$3,1,1),Dados!$A:$A,INDEX($D:$E,MATCH("F",$D:$D,0),2))=0,"",SUMIFS(Dados!$G:$G,Dados!$E:$E,$B133,Dados!$C:$C,INDEX(G$3,1,1),Dados!$A:$A,INDEX($D:$E,MATCH("F",$D:$D,0),2))/COUNTIFS(Dados!$E:$E,$B133,Dados!$C:$C,INDEX(G$3,1,1),Dados!$A:$A,INDEX($D:$E,MATCH("F",$D:$D,0),2)))</f>
        <v/>
      </c>
      <c r="H133" s="66" t="str">
        <f ca="1">IF(COUNTIFS(Dados!$E:$E,$B133,Dados!$C:$C,INDEX(H$3,1,1),Dados!$A:$A,INDEX($D:$E,MATCH("F",$D:$D,0),2))=0,"",SUMIFS(Dados!$G:$G,Dados!$E:$E,$B133,Dados!$C:$C,INDEX(H$3,1,1),Dados!$A:$A,INDEX($D:$E,MATCH("F",$D:$D,0),2))/COUNTIFS(Dados!$E:$E,$B133,Dados!$C:$C,INDEX(H$3,1,1),Dados!$A:$A,INDEX($D:$E,MATCH("F",$D:$D,0),2)))</f>
        <v/>
      </c>
      <c r="I133" s="66" t="str">
        <f ca="1">IF(COUNTIFS(Dados!$E:$E,$B133,Dados!$C:$C,INDEX(I$3,1,1),Dados!$A:$A,INDEX($D:$E,MATCH("F",$D:$D,0),2))=0,"",SUMIFS(Dados!$G:$G,Dados!$E:$E,$B133,Dados!$C:$C,INDEX(I$3,1,1),Dados!$A:$A,INDEX($D:$E,MATCH("F",$D:$D,0),2))/COUNTIFS(Dados!$E:$E,$B133,Dados!$C:$C,INDEX(I$3,1,1),Dados!$A:$A,INDEX($D:$E,MATCH("F",$D:$D,0),2)))</f>
        <v/>
      </c>
      <c r="J133" s="66" t="str">
        <f ca="1">IF(COUNTIFS(Dados!$E:$E,$B133,Dados!$C:$C,INDEX(J$3,1,1),Dados!$A:$A,INDEX($D:$E,MATCH("F",$D:$D,0),2))=0,"",SUMIFS(Dados!$G:$G,Dados!$E:$E,$B133,Dados!$C:$C,INDEX(J$3,1,1),Dados!$A:$A,INDEX($D:$E,MATCH("F",$D:$D,0),2))/COUNTIFS(Dados!$E:$E,$B133,Dados!$C:$C,INDEX(J$3,1,1),Dados!$A:$A,INDEX($D:$E,MATCH("F",$D:$D,0),2)))</f>
        <v/>
      </c>
      <c r="K133" s="66" t="str">
        <f ca="1">IF(COUNTIFS(Dados!$E:$E,$B133,Dados!$C:$C,INDEX(K$3,1,1),Dados!$A:$A,INDEX($D:$E,MATCH("F",$D:$D,0),2))=0,"",SUMIFS(Dados!$G:$G,Dados!$E:$E,$B133,Dados!$C:$C,INDEX(K$3,1,1),Dados!$A:$A,INDEX($D:$E,MATCH("F",$D:$D,0),2))/COUNTIFS(Dados!$E:$E,$B133,Dados!$C:$C,INDEX(K$3,1,1),Dados!$A:$A,INDEX($D:$E,MATCH("F",$D:$D,0),2)))</f>
        <v/>
      </c>
      <c r="L133" s="66" t="str">
        <f ca="1">IF(COUNTIFS(Dados!$E:$E,$B133,Dados!$C:$C,INDEX(L$3,1,1),Dados!$A:$A,INDEX($D:$E,MATCH("F",$D:$D,0),2))=0,"",SUMIFS(Dados!$G:$G,Dados!$E:$E,$B133,Dados!$C:$C,INDEX(L$3,1,1),Dados!$A:$A,INDEX($D:$E,MATCH("F",$D:$D,0),2))/COUNTIFS(Dados!$E:$E,$B133,Dados!$C:$C,INDEX(L$3,1,1),Dados!$A:$A,INDEX($D:$E,MATCH("F",$D:$D,0),2)))</f>
        <v/>
      </c>
      <c r="M133" s="66" t="str">
        <f ca="1">IF(COUNTIFS(Dados!$E:$E,$B133,Dados!$C:$C,INDEX(M$3,1,1),Dados!$A:$A,INDEX($D:$E,MATCH("F",$D:$D,0),2))=0,"",SUMIFS(Dados!$G:$G,Dados!$E:$E,$B133,Dados!$C:$C,INDEX(M$3,1,1),Dados!$A:$A,INDEX($D:$E,MATCH("F",$D:$D,0),2))/COUNTIFS(Dados!$E:$E,$B133,Dados!$C:$C,INDEX(M$3,1,1),Dados!$A:$A,INDEX($D:$E,MATCH("F",$D:$D,0),2)))</f>
        <v/>
      </c>
      <c r="N133" s="66" t="str">
        <f ca="1">IF(COUNTIFS(Dados!$E:$E,$B133,Dados!$C:$C,INDEX(N$3,1,1),Dados!$A:$A,INDEX($D:$E,MATCH("F",$D:$D,0),2))=0,"",SUMIFS(Dados!$G:$G,Dados!$E:$E,$B133,Dados!$C:$C,INDEX(N$3,1,1),Dados!$A:$A,INDEX($D:$E,MATCH("F",$D:$D,0),2))/COUNTIFS(Dados!$E:$E,$B133,Dados!$C:$C,INDEX(N$3,1,1),Dados!$A:$A,INDEX($D:$E,MATCH("F",$D:$D,0),2)))</f>
        <v/>
      </c>
      <c r="O133" s="66" t="str">
        <f ca="1">IF(COUNTIFS(Dados!$E:$E,$B133,Dados!$C:$C,INDEX(O$3,1,1),Dados!$A:$A,INDEX($D:$E,MATCH("F",$D:$D,0),2))=0,"",SUMIFS(Dados!$G:$G,Dados!$E:$E,$B133,Dados!$C:$C,INDEX(O$3,1,1),Dados!$A:$A,INDEX($D:$E,MATCH("F",$D:$D,0),2))/COUNTIFS(Dados!$E:$E,$B133,Dados!$C:$C,INDEX(O$3,1,1),Dados!$A:$A,INDEX($D:$E,MATCH("F",$D:$D,0),2)))</f>
        <v/>
      </c>
      <c r="P133" s="66" t="str">
        <f ca="1">IF(COUNTIFS(Dados!$E:$E,$B133,Dados!$C:$C,INDEX(P$3,1,1),Dados!$A:$A,INDEX($D:$E,MATCH("F",$D:$D,0),2))=0,"",SUMIFS(Dados!$G:$G,Dados!$E:$E,$B133,Dados!$C:$C,INDEX(P$3,1,1),Dados!$A:$A,INDEX($D:$E,MATCH("F",$D:$D,0),2))/COUNTIFS(Dados!$E:$E,$B133,Dados!$C:$C,INDEX(P$3,1,1),Dados!$A:$A,INDEX($D:$E,MATCH("F",$D:$D,0),2)))</f>
        <v/>
      </c>
      <c r="Q133" s="66" t="str">
        <f ca="1">IF(COUNTIFS(Dados!$E:$E,$B133,Dados!$C:$C,INDEX(Q$3,1,1),Dados!$A:$A,INDEX($D:$E,MATCH("F",$D:$D,0),2))=0,"",SUMIFS(Dados!$G:$G,Dados!$E:$E,$B133,Dados!$C:$C,INDEX(Q$3,1,1),Dados!$A:$A,INDEX($D:$E,MATCH("F",$D:$D,0),2))/COUNTIFS(Dados!$E:$E,$B133,Dados!$C:$C,INDEX(Q$3,1,1),Dados!$A:$A,INDEX($D:$E,MATCH("F",$D:$D,0),2)))</f>
        <v/>
      </c>
      <c r="R133" s="66" t="str">
        <f ca="1">IF(COUNTIFS(Dados!$E:$E,$B133,Dados!$C:$C,INDEX(R$3,1,1),Dados!$A:$A,INDEX($D:$E,MATCH("F",$D:$D,0),2))=0,"",SUMIFS(Dados!$G:$G,Dados!$E:$E,$B133,Dados!$C:$C,INDEX(R$3,1,1),Dados!$A:$A,INDEX($D:$E,MATCH("F",$D:$D,0),2))/COUNTIFS(Dados!$E:$E,$B133,Dados!$C:$C,INDEX(R$3,1,1),Dados!$A:$A,INDEX($D:$E,MATCH("F",$D:$D,0),2)))</f>
        <v/>
      </c>
      <c r="S133" s="66" t="str">
        <f ca="1">IF(COUNTIFS(Dados!$E:$E,$B133,Dados!$C:$C,INDEX(S$3,1,1),Dados!$A:$A,INDEX($D:$E,MATCH("F",$D:$D,0),2))=0,"",SUMIFS(Dados!$G:$G,Dados!$E:$E,$B133,Dados!$C:$C,INDEX(S$3,1,1),Dados!$A:$A,INDEX($D:$E,MATCH("F",$D:$D,0),2))/COUNTIFS(Dados!$E:$E,$B133,Dados!$C:$C,INDEX(S$3,1,1),Dados!$A:$A,INDEX($D:$E,MATCH("F",$D:$D,0),2)))</f>
        <v/>
      </c>
      <c r="T133" s="66" t="str">
        <f ca="1">IF(COUNTIFS(Dados!$E:$E,$B133,Dados!$C:$C,INDEX(T$3,1,1),Dados!$A:$A,INDEX($D:$E,MATCH("F",$D:$D,0),2))=0,"",SUMIFS(Dados!$G:$G,Dados!$E:$E,$B133,Dados!$C:$C,INDEX(T$3,1,1),Dados!$A:$A,INDEX($D:$E,MATCH("F",$D:$D,0),2))/COUNTIFS(Dados!$E:$E,$B133,Dados!$C:$C,INDEX(T$3,1,1),Dados!$A:$A,INDEX($D:$E,MATCH("F",$D:$D,0),2)))</f>
        <v/>
      </c>
      <c r="U133" s="66" t="str">
        <f ca="1">IF(COUNTIFS(Dados!$E:$E,$B133,Dados!$C:$C,INDEX(U$3,1,1),Dados!$A:$A,INDEX($D:$E,MATCH("F",$D:$D,0),2))=0,"",SUMIFS(Dados!$G:$G,Dados!$E:$E,$B133,Dados!$C:$C,INDEX(U$3,1,1),Dados!$A:$A,INDEX($D:$E,MATCH("F",$D:$D,0),2))/COUNTIFS(Dados!$E:$E,$B133,Dados!$C:$C,INDEX(U$3,1,1),Dados!$A:$A,INDEX($D:$E,MATCH("F",$D:$D,0),2)))</f>
        <v/>
      </c>
      <c r="V133" s="66" t="str">
        <f ca="1">IF(COUNTIFS(Dados!$E:$E,$B133,Dados!$C:$C,INDEX(V$3,1,1),Dados!$A:$A,INDEX($D:$E,MATCH("F",$D:$D,0),2))=0,"",SUMIFS(Dados!$G:$G,Dados!$E:$E,$B133,Dados!$C:$C,INDEX(V$3,1,1),Dados!$A:$A,INDEX($D:$E,MATCH("F",$D:$D,0),2))/COUNTIFS(Dados!$E:$E,$B133,Dados!$C:$C,INDEX(V$3,1,1),Dados!$A:$A,INDEX($D:$E,MATCH("F",$D:$D,0),2)))</f>
        <v/>
      </c>
    </row>
    <row r="134" spans="2:22" x14ac:dyDescent="0.25">
      <c r="B134" s="67" t="s">
        <v>1304</v>
      </c>
      <c r="C134" s="71">
        <f>VLOOKUP(B134,B4:C22,2,0)</f>
        <v>5</v>
      </c>
      <c r="D134" s="68" t="str">
        <f ca="1">IF(COUNTIFS(Dados!$E:$E,$B134,Dados!$C:$C,INDEX(D$3,1,1),Dados!$A:$A,INDEX($D:$E,MATCH("F",$D:$D,0),2))=0,"",SUMIFS(Dados!$G:$G,Dados!$E:$E,$B134,Dados!$C:$C,INDEX(D$3,1,1),Dados!$A:$A,INDEX($D:$E,MATCH("F",$D:$D,0),2))/COUNTIFS(Dados!$E:$E,$B134,Dados!$C:$C,INDEX(D$3,1,1),Dados!$A:$A,INDEX($D:$E,MATCH("F",$D:$D,0),2)))</f>
        <v/>
      </c>
      <c r="E134" s="68" t="str">
        <f ca="1">IF(COUNTIFS(Dados!$E:$E,$B134,Dados!$C:$C,INDEX(E$3,1,1),Dados!$A:$A,INDEX($D:$E,MATCH("F",$D:$D,0),2))=0,"",SUMIFS(Dados!$G:$G,Dados!$E:$E,$B134,Dados!$C:$C,INDEX(E$3,1,1),Dados!$A:$A,INDEX($D:$E,MATCH("F",$D:$D,0),2))/COUNTIFS(Dados!$E:$E,$B134,Dados!$C:$C,INDEX(E$3,1,1),Dados!$A:$A,INDEX($D:$E,MATCH("F",$D:$D,0),2)))</f>
        <v/>
      </c>
      <c r="F134" s="68" t="str">
        <f ca="1">IF(COUNTIFS(Dados!$E:$E,$B134,Dados!$C:$C,INDEX(F$3,1,1),Dados!$A:$A,INDEX($D:$E,MATCH("F",$D:$D,0),2))=0,"",SUMIFS(Dados!$G:$G,Dados!$E:$E,$B134,Dados!$C:$C,INDEX(F$3,1,1),Dados!$A:$A,INDEX($D:$E,MATCH("F",$D:$D,0),2))/COUNTIFS(Dados!$E:$E,$B134,Dados!$C:$C,INDEX(F$3,1,1),Dados!$A:$A,INDEX($D:$E,MATCH("F",$D:$D,0),2)))</f>
        <v/>
      </c>
      <c r="G134" s="68" t="str">
        <f ca="1">IF(COUNTIFS(Dados!$E:$E,$B134,Dados!$C:$C,INDEX(G$3,1,1),Dados!$A:$A,INDEX($D:$E,MATCH("F",$D:$D,0),2))=0,"",SUMIFS(Dados!$G:$G,Dados!$E:$E,$B134,Dados!$C:$C,INDEX(G$3,1,1),Dados!$A:$A,INDEX($D:$E,MATCH("F",$D:$D,0),2))/COUNTIFS(Dados!$E:$E,$B134,Dados!$C:$C,INDEX(G$3,1,1),Dados!$A:$A,INDEX($D:$E,MATCH("F",$D:$D,0),2)))</f>
        <v/>
      </c>
      <c r="H134" s="68" t="str">
        <f ca="1">IF(COUNTIFS(Dados!$E:$E,$B134,Dados!$C:$C,INDEX(H$3,1,1),Dados!$A:$A,INDEX($D:$E,MATCH("F",$D:$D,0),2))=0,"",SUMIFS(Dados!$G:$G,Dados!$E:$E,$B134,Dados!$C:$C,INDEX(H$3,1,1),Dados!$A:$A,INDEX($D:$E,MATCH("F",$D:$D,0),2))/COUNTIFS(Dados!$E:$E,$B134,Dados!$C:$C,INDEX(H$3,1,1),Dados!$A:$A,INDEX($D:$E,MATCH("F",$D:$D,0),2)))</f>
        <v/>
      </c>
      <c r="I134" s="68" t="str">
        <f ca="1">IF(COUNTIFS(Dados!$E:$E,$B134,Dados!$C:$C,INDEX(I$3,1,1),Dados!$A:$A,INDEX($D:$E,MATCH("F",$D:$D,0),2))=0,"",SUMIFS(Dados!$G:$G,Dados!$E:$E,$B134,Dados!$C:$C,INDEX(I$3,1,1),Dados!$A:$A,INDEX($D:$E,MATCH("F",$D:$D,0),2))/COUNTIFS(Dados!$E:$E,$B134,Dados!$C:$C,INDEX(I$3,1,1),Dados!$A:$A,INDEX($D:$E,MATCH("F",$D:$D,0),2)))</f>
        <v/>
      </c>
      <c r="J134" s="68" t="str">
        <f ca="1">IF(COUNTIFS(Dados!$E:$E,$B134,Dados!$C:$C,INDEX(J$3,1,1),Dados!$A:$A,INDEX($D:$E,MATCH("F",$D:$D,0),2))=0,"",SUMIFS(Dados!$G:$G,Dados!$E:$E,$B134,Dados!$C:$C,INDEX(J$3,1,1),Dados!$A:$A,INDEX($D:$E,MATCH("F",$D:$D,0),2))/COUNTIFS(Dados!$E:$E,$B134,Dados!$C:$C,INDEX(J$3,1,1),Dados!$A:$A,INDEX($D:$E,MATCH("F",$D:$D,0),2)))</f>
        <v/>
      </c>
      <c r="K134" s="68" t="str">
        <f ca="1">IF(COUNTIFS(Dados!$E:$E,$B134,Dados!$C:$C,INDEX(K$3,1,1),Dados!$A:$A,INDEX($D:$E,MATCH("F",$D:$D,0),2))=0,"",SUMIFS(Dados!$G:$G,Dados!$E:$E,$B134,Dados!$C:$C,INDEX(K$3,1,1),Dados!$A:$A,INDEX($D:$E,MATCH("F",$D:$D,0),2))/COUNTIFS(Dados!$E:$E,$B134,Dados!$C:$C,INDEX(K$3,1,1),Dados!$A:$A,INDEX($D:$E,MATCH("F",$D:$D,0),2)))</f>
        <v/>
      </c>
      <c r="L134" s="68" t="str">
        <f ca="1">IF(COUNTIFS(Dados!$E:$E,$B134,Dados!$C:$C,INDEX(L$3,1,1),Dados!$A:$A,INDEX($D:$E,MATCH("F",$D:$D,0),2))=0,"",SUMIFS(Dados!$G:$G,Dados!$E:$E,$B134,Dados!$C:$C,INDEX(L$3,1,1),Dados!$A:$A,INDEX($D:$E,MATCH("F",$D:$D,0),2))/COUNTIFS(Dados!$E:$E,$B134,Dados!$C:$C,INDEX(L$3,1,1),Dados!$A:$A,INDEX($D:$E,MATCH("F",$D:$D,0),2)))</f>
        <v/>
      </c>
      <c r="M134" s="68" t="str">
        <f ca="1">IF(COUNTIFS(Dados!$E:$E,$B134,Dados!$C:$C,INDEX(M$3,1,1),Dados!$A:$A,INDEX($D:$E,MATCH("F",$D:$D,0),2))=0,"",SUMIFS(Dados!$G:$G,Dados!$E:$E,$B134,Dados!$C:$C,INDEX(M$3,1,1),Dados!$A:$A,INDEX($D:$E,MATCH("F",$D:$D,0),2))/COUNTIFS(Dados!$E:$E,$B134,Dados!$C:$C,INDEX(M$3,1,1),Dados!$A:$A,INDEX($D:$E,MATCH("F",$D:$D,0),2)))</f>
        <v/>
      </c>
      <c r="N134" s="68" t="str">
        <f ca="1">IF(COUNTIFS(Dados!$E:$E,$B134,Dados!$C:$C,INDEX(N$3,1,1),Dados!$A:$A,INDEX($D:$E,MATCH("F",$D:$D,0),2))=0,"",SUMIFS(Dados!$G:$G,Dados!$E:$E,$B134,Dados!$C:$C,INDEX(N$3,1,1),Dados!$A:$A,INDEX($D:$E,MATCH("F",$D:$D,0),2))/COUNTIFS(Dados!$E:$E,$B134,Dados!$C:$C,INDEX(N$3,1,1),Dados!$A:$A,INDEX($D:$E,MATCH("F",$D:$D,0),2)))</f>
        <v/>
      </c>
      <c r="O134" s="68" t="str">
        <f ca="1">IF(COUNTIFS(Dados!$E:$E,$B134,Dados!$C:$C,INDEX(O$3,1,1),Dados!$A:$A,INDEX($D:$E,MATCH("F",$D:$D,0),2))=0,"",SUMIFS(Dados!$G:$G,Dados!$E:$E,$B134,Dados!$C:$C,INDEX(O$3,1,1),Dados!$A:$A,INDEX($D:$E,MATCH("F",$D:$D,0),2))/COUNTIFS(Dados!$E:$E,$B134,Dados!$C:$C,INDEX(O$3,1,1),Dados!$A:$A,INDEX($D:$E,MATCH("F",$D:$D,0),2)))</f>
        <v/>
      </c>
      <c r="P134" s="68" t="str">
        <f ca="1">IF(COUNTIFS(Dados!$E:$E,$B134,Dados!$C:$C,INDEX(P$3,1,1),Dados!$A:$A,INDEX($D:$E,MATCH("F",$D:$D,0),2))=0,"",SUMIFS(Dados!$G:$G,Dados!$E:$E,$B134,Dados!$C:$C,INDEX(P$3,1,1),Dados!$A:$A,INDEX($D:$E,MATCH("F",$D:$D,0),2))/COUNTIFS(Dados!$E:$E,$B134,Dados!$C:$C,INDEX(P$3,1,1),Dados!$A:$A,INDEX($D:$E,MATCH("F",$D:$D,0),2)))</f>
        <v/>
      </c>
      <c r="Q134" s="68" t="str">
        <f ca="1">IF(COUNTIFS(Dados!$E:$E,$B134,Dados!$C:$C,INDEX(Q$3,1,1),Dados!$A:$A,INDEX($D:$E,MATCH("F",$D:$D,0),2))=0,"",SUMIFS(Dados!$G:$G,Dados!$E:$E,$B134,Dados!$C:$C,INDEX(Q$3,1,1),Dados!$A:$A,INDEX($D:$E,MATCH("F",$D:$D,0),2))/COUNTIFS(Dados!$E:$E,$B134,Dados!$C:$C,INDEX(Q$3,1,1),Dados!$A:$A,INDEX($D:$E,MATCH("F",$D:$D,0),2)))</f>
        <v/>
      </c>
      <c r="R134" s="68" t="str">
        <f ca="1">IF(COUNTIFS(Dados!$E:$E,$B134,Dados!$C:$C,INDEX(R$3,1,1),Dados!$A:$A,INDEX($D:$E,MATCH("F",$D:$D,0),2))=0,"",SUMIFS(Dados!$G:$G,Dados!$E:$E,$B134,Dados!$C:$C,INDEX(R$3,1,1),Dados!$A:$A,INDEX($D:$E,MATCH("F",$D:$D,0),2))/COUNTIFS(Dados!$E:$E,$B134,Dados!$C:$C,INDEX(R$3,1,1),Dados!$A:$A,INDEX($D:$E,MATCH("F",$D:$D,0),2)))</f>
        <v/>
      </c>
      <c r="S134" s="68" t="str">
        <f ca="1">IF(COUNTIFS(Dados!$E:$E,$B134,Dados!$C:$C,INDEX(S$3,1,1),Dados!$A:$A,INDEX($D:$E,MATCH("F",$D:$D,0),2))=0,"",SUMIFS(Dados!$G:$G,Dados!$E:$E,$B134,Dados!$C:$C,INDEX(S$3,1,1),Dados!$A:$A,INDEX($D:$E,MATCH("F",$D:$D,0),2))/COUNTIFS(Dados!$E:$E,$B134,Dados!$C:$C,INDEX(S$3,1,1),Dados!$A:$A,INDEX($D:$E,MATCH("F",$D:$D,0),2)))</f>
        <v/>
      </c>
      <c r="T134" s="68" t="str">
        <f ca="1">IF(COUNTIFS(Dados!$E:$E,$B134,Dados!$C:$C,INDEX(T$3,1,1),Dados!$A:$A,INDEX($D:$E,MATCH("F",$D:$D,0),2))=0,"",SUMIFS(Dados!$G:$G,Dados!$E:$E,$B134,Dados!$C:$C,INDEX(T$3,1,1),Dados!$A:$A,INDEX($D:$E,MATCH("F",$D:$D,0),2))/COUNTIFS(Dados!$E:$E,$B134,Dados!$C:$C,INDEX(T$3,1,1),Dados!$A:$A,INDEX($D:$E,MATCH("F",$D:$D,0),2)))</f>
        <v/>
      </c>
      <c r="U134" s="68" t="str">
        <f ca="1">IF(COUNTIFS(Dados!$E:$E,$B134,Dados!$C:$C,INDEX(U$3,1,1),Dados!$A:$A,INDEX($D:$E,MATCH("F",$D:$D,0),2))=0,"",SUMIFS(Dados!$G:$G,Dados!$E:$E,$B134,Dados!$C:$C,INDEX(U$3,1,1),Dados!$A:$A,INDEX($D:$E,MATCH("F",$D:$D,0),2))/COUNTIFS(Dados!$E:$E,$B134,Dados!$C:$C,INDEX(U$3,1,1),Dados!$A:$A,INDEX($D:$E,MATCH("F",$D:$D,0),2)))</f>
        <v/>
      </c>
      <c r="V134" s="68" t="str">
        <f ca="1">IF(COUNTIFS(Dados!$E:$E,$B134,Dados!$C:$C,INDEX(V$3,1,1),Dados!$A:$A,INDEX($D:$E,MATCH("F",$D:$D,0),2))=0,"",SUMIFS(Dados!$G:$G,Dados!$E:$E,$B134,Dados!$C:$C,INDEX(V$3,1,1),Dados!$A:$A,INDEX($D:$E,MATCH("F",$D:$D,0),2))/COUNTIFS(Dados!$E:$E,$B134,Dados!$C:$C,INDEX(V$3,1,1),Dados!$A:$A,INDEX($D:$E,MATCH("F",$D:$D,0),2)))</f>
        <v/>
      </c>
    </row>
    <row r="135" spans="2:22" x14ac:dyDescent="0.25">
      <c r="B135" s="65" t="s">
        <v>1298</v>
      </c>
      <c r="C135" s="72">
        <f>VLOOKUP(B135,B4:C22,2,0)</f>
        <v>6</v>
      </c>
      <c r="D135" s="66" t="str">
        <f ca="1">IF(COUNTIFS(Dados!$E:$E,$B135,Dados!$C:$C,INDEX(D$3,1,1),Dados!$A:$A,INDEX($D:$E,MATCH("F",$D:$D,0),2))=0,"",SUMIFS(Dados!$G:$G,Dados!$E:$E,$B135,Dados!$C:$C,INDEX(D$3,1,1),Dados!$A:$A,INDEX($D:$E,MATCH("F",$D:$D,0),2))/COUNTIFS(Dados!$E:$E,$B135,Dados!$C:$C,INDEX(D$3,1,1),Dados!$A:$A,INDEX($D:$E,MATCH("F",$D:$D,0),2)))</f>
        <v/>
      </c>
      <c r="E135" s="66" t="str">
        <f ca="1">IF(COUNTIFS(Dados!$E:$E,$B135,Dados!$C:$C,INDEX(E$3,1,1),Dados!$A:$A,INDEX($D:$E,MATCH("F",$D:$D,0),2))=0,"",SUMIFS(Dados!$G:$G,Dados!$E:$E,$B135,Dados!$C:$C,INDEX(E$3,1,1),Dados!$A:$A,INDEX($D:$E,MATCH("F",$D:$D,0),2))/COUNTIFS(Dados!$E:$E,$B135,Dados!$C:$C,INDEX(E$3,1,1),Dados!$A:$A,INDEX($D:$E,MATCH("F",$D:$D,0),2)))</f>
        <v/>
      </c>
      <c r="F135" s="66" t="str">
        <f ca="1">IF(COUNTIFS(Dados!$E:$E,$B135,Dados!$C:$C,INDEX(F$3,1,1),Dados!$A:$A,INDEX($D:$E,MATCH("F",$D:$D,0),2))=0,"",SUMIFS(Dados!$G:$G,Dados!$E:$E,$B135,Dados!$C:$C,INDEX(F$3,1,1),Dados!$A:$A,INDEX($D:$E,MATCH("F",$D:$D,0),2))/COUNTIFS(Dados!$E:$E,$B135,Dados!$C:$C,INDEX(F$3,1,1),Dados!$A:$A,INDEX($D:$E,MATCH("F",$D:$D,0),2)))</f>
        <v/>
      </c>
      <c r="G135" s="66" t="str">
        <f ca="1">IF(COUNTIFS(Dados!$E:$E,$B135,Dados!$C:$C,INDEX(G$3,1,1),Dados!$A:$A,INDEX($D:$E,MATCH("F",$D:$D,0),2))=0,"",SUMIFS(Dados!$G:$G,Dados!$E:$E,$B135,Dados!$C:$C,INDEX(G$3,1,1),Dados!$A:$A,INDEX($D:$E,MATCH("F",$D:$D,0),2))/COUNTIFS(Dados!$E:$E,$B135,Dados!$C:$C,INDEX(G$3,1,1),Dados!$A:$A,INDEX($D:$E,MATCH("F",$D:$D,0),2)))</f>
        <v/>
      </c>
      <c r="H135" s="66" t="str">
        <f ca="1">IF(COUNTIFS(Dados!$E:$E,$B135,Dados!$C:$C,INDEX(H$3,1,1),Dados!$A:$A,INDEX($D:$E,MATCH("F",$D:$D,0),2))=0,"",SUMIFS(Dados!$G:$G,Dados!$E:$E,$B135,Dados!$C:$C,INDEX(H$3,1,1),Dados!$A:$A,INDEX($D:$E,MATCH("F",$D:$D,0),2))/COUNTIFS(Dados!$E:$E,$B135,Dados!$C:$C,INDEX(H$3,1,1),Dados!$A:$A,INDEX($D:$E,MATCH("F",$D:$D,0),2)))</f>
        <v/>
      </c>
      <c r="I135" s="66" t="str">
        <f ca="1">IF(COUNTIFS(Dados!$E:$E,$B135,Dados!$C:$C,INDEX(I$3,1,1),Dados!$A:$A,INDEX($D:$E,MATCH("F",$D:$D,0),2))=0,"",SUMIFS(Dados!$G:$G,Dados!$E:$E,$B135,Dados!$C:$C,INDEX(I$3,1,1),Dados!$A:$A,INDEX($D:$E,MATCH("F",$D:$D,0),2))/COUNTIFS(Dados!$E:$E,$B135,Dados!$C:$C,INDEX(I$3,1,1),Dados!$A:$A,INDEX($D:$E,MATCH("F",$D:$D,0),2)))</f>
        <v/>
      </c>
      <c r="J135" s="66" t="str">
        <f ca="1">IF(COUNTIFS(Dados!$E:$E,$B135,Dados!$C:$C,INDEX(J$3,1,1),Dados!$A:$A,INDEX($D:$E,MATCH("F",$D:$D,0),2))=0,"",SUMIFS(Dados!$G:$G,Dados!$E:$E,$B135,Dados!$C:$C,INDEX(J$3,1,1),Dados!$A:$A,INDEX($D:$E,MATCH("F",$D:$D,0),2))/COUNTIFS(Dados!$E:$E,$B135,Dados!$C:$C,INDEX(J$3,1,1),Dados!$A:$A,INDEX($D:$E,MATCH("F",$D:$D,0),2)))</f>
        <v/>
      </c>
      <c r="K135" s="66" t="str">
        <f ca="1">IF(COUNTIFS(Dados!$E:$E,$B135,Dados!$C:$C,INDEX(K$3,1,1),Dados!$A:$A,INDEX($D:$E,MATCH("F",$D:$D,0),2))=0,"",SUMIFS(Dados!$G:$G,Dados!$E:$E,$B135,Dados!$C:$C,INDEX(K$3,1,1),Dados!$A:$A,INDEX($D:$E,MATCH("F",$D:$D,0),2))/COUNTIFS(Dados!$E:$E,$B135,Dados!$C:$C,INDEX(K$3,1,1),Dados!$A:$A,INDEX($D:$E,MATCH("F",$D:$D,0),2)))</f>
        <v/>
      </c>
      <c r="L135" s="66" t="str">
        <f ca="1">IF(COUNTIFS(Dados!$E:$E,$B135,Dados!$C:$C,INDEX(L$3,1,1),Dados!$A:$A,INDEX($D:$E,MATCH("F",$D:$D,0),2))=0,"",SUMIFS(Dados!$G:$G,Dados!$E:$E,$B135,Dados!$C:$C,INDEX(L$3,1,1),Dados!$A:$A,INDEX($D:$E,MATCH("F",$D:$D,0),2))/COUNTIFS(Dados!$E:$E,$B135,Dados!$C:$C,INDEX(L$3,1,1),Dados!$A:$A,INDEX($D:$E,MATCH("F",$D:$D,0),2)))</f>
        <v/>
      </c>
      <c r="M135" s="66" t="str">
        <f ca="1">IF(COUNTIFS(Dados!$E:$E,$B135,Dados!$C:$C,INDEX(M$3,1,1),Dados!$A:$A,INDEX($D:$E,MATCH("F",$D:$D,0),2))=0,"",SUMIFS(Dados!$G:$G,Dados!$E:$E,$B135,Dados!$C:$C,INDEX(M$3,1,1),Dados!$A:$A,INDEX($D:$E,MATCH("F",$D:$D,0),2))/COUNTIFS(Dados!$E:$E,$B135,Dados!$C:$C,INDEX(M$3,1,1),Dados!$A:$A,INDEX($D:$E,MATCH("F",$D:$D,0),2)))</f>
        <v/>
      </c>
      <c r="N135" s="66" t="str">
        <f ca="1">IF(COUNTIFS(Dados!$E:$E,$B135,Dados!$C:$C,INDEX(N$3,1,1),Dados!$A:$A,INDEX($D:$E,MATCH("F",$D:$D,0),2))=0,"",SUMIFS(Dados!$G:$G,Dados!$E:$E,$B135,Dados!$C:$C,INDEX(N$3,1,1),Dados!$A:$A,INDEX($D:$E,MATCH("F",$D:$D,0),2))/COUNTIFS(Dados!$E:$E,$B135,Dados!$C:$C,INDEX(N$3,1,1),Dados!$A:$A,INDEX($D:$E,MATCH("F",$D:$D,0),2)))</f>
        <v/>
      </c>
      <c r="O135" s="66" t="str">
        <f ca="1">IF(COUNTIFS(Dados!$E:$E,$B135,Dados!$C:$C,INDEX(O$3,1,1),Dados!$A:$A,INDEX($D:$E,MATCH("F",$D:$D,0),2))=0,"",SUMIFS(Dados!$G:$G,Dados!$E:$E,$B135,Dados!$C:$C,INDEX(O$3,1,1),Dados!$A:$A,INDEX($D:$E,MATCH("F",$D:$D,0),2))/COUNTIFS(Dados!$E:$E,$B135,Dados!$C:$C,INDEX(O$3,1,1),Dados!$A:$A,INDEX($D:$E,MATCH("F",$D:$D,0),2)))</f>
        <v/>
      </c>
      <c r="P135" s="66" t="str">
        <f ca="1">IF(COUNTIFS(Dados!$E:$E,$B135,Dados!$C:$C,INDEX(P$3,1,1),Dados!$A:$A,INDEX($D:$E,MATCH("F",$D:$D,0),2))=0,"",SUMIFS(Dados!$G:$G,Dados!$E:$E,$B135,Dados!$C:$C,INDEX(P$3,1,1),Dados!$A:$A,INDEX($D:$E,MATCH("F",$D:$D,0),2))/COUNTIFS(Dados!$E:$E,$B135,Dados!$C:$C,INDEX(P$3,1,1),Dados!$A:$A,INDEX($D:$E,MATCH("F",$D:$D,0),2)))</f>
        <v/>
      </c>
      <c r="Q135" s="66" t="str">
        <f ca="1">IF(COUNTIFS(Dados!$E:$E,$B135,Dados!$C:$C,INDEX(Q$3,1,1),Dados!$A:$A,INDEX($D:$E,MATCH("F",$D:$D,0),2))=0,"",SUMIFS(Dados!$G:$G,Dados!$E:$E,$B135,Dados!$C:$C,INDEX(Q$3,1,1),Dados!$A:$A,INDEX($D:$E,MATCH("F",$D:$D,0),2))/COUNTIFS(Dados!$E:$E,$B135,Dados!$C:$C,INDEX(Q$3,1,1),Dados!$A:$A,INDEX($D:$E,MATCH("F",$D:$D,0),2)))</f>
        <v/>
      </c>
      <c r="R135" s="66" t="str">
        <f ca="1">IF(COUNTIFS(Dados!$E:$E,$B135,Dados!$C:$C,INDEX(R$3,1,1),Dados!$A:$A,INDEX($D:$E,MATCH("F",$D:$D,0),2))=0,"",SUMIFS(Dados!$G:$G,Dados!$E:$E,$B135,Dados!$C:$C,INDEX(R$3,1,1),Dados!$A:$A,INDEX($D:$E,MATCH("F",$D:$D,0),2))/COUNTIFS(Dados!$E:$E,$B135,Dados!$C:$C,INDEX(R$3,1,1),Dados!$A:$A,INDEX($D:$E,MATCH("F",$D:$D,0),2)))</f>
        <v/>
      </c>
      <c r="S135" s="66" t="str">
        <f ca="1">IF(COUNTIFS(Dados!$E:$E,$B135,Dados!$C:$C,INDEX(S$3,1,1),Dados!$A:$A,INDEX($D:$E,MATCH("F",$D:$D,0),2))=0,"",SUMIFS(Dados!$G:$G,Dados!$E:$E,$B135,Dados!$C:$C,INDEX(S$3,1,1),Dados!$A:$A,INDEX($D:$E,MATCH("F",$D:$D,0),2))/COUNTIFS(Dados!$E:$E,$B135,Dados!$C:$C,INDEX(S$3,1,1),Dados!$A:$A,INDEX($D:$E,MATCH("F",$D:$D,0),2)))</f>
        <v/>
      </c>
      <c r="T135" s="66" t="str">
        <f ca="1">IF(COUNTIFS(Dados!$E:$E,$B135,Dados!$C:$C,INDEX(T$3,1,1),Dados!$A:$A,INDEX($D:$E,MATCH("F",$D:$D,0),2))=0,"",SUMIFS(Dados!$G:$G,Dados!$E:$E,$B135,Dados!$C:$C,INDEX(T$3,1,1),Dados!$A:$A,INDEX($D:$E,MATCH("F",$D:$D,0),2))/COUNTIFS(Dados!$E:$E,$B135,Dados!$C:$C,INDEX(T$3,1,1),Dados!$A:$A,INDEX($D:$E,MATCH("F",$D:$D,0),2)))</f>
        <v/>
      </c>
      <c r="U135" s="66" t="str">
        <f ca="1">IF(COUNTIFS(Dados!$E:$E,$B135,Dados!$C:$C,INDEX(U$3,1,1),Dados!$A:$A,INDEX($D:$E,MATCH("F",$D:$D,0),2))=0,"",SUMIFS(Dados!$G:$G,Dados!$E:$E,$B135,Dados!$C:$C,INDEX(U$3,1,1),Dados!$A:$A,INDEX($D:$E,MATCH("F",$D:$D,0),2))/COUNTIFS(Dados!$E:$E,$B135,Dados!$C:$C,INDEX(U$3,1,1),Dados!$A:$A,INDEX($D:$E,MATCH("F",$D:$D,0),2)))</f>
        <v/>
      </c>
      <c r="V135" s="66" t="str">
        <f ca="1">IF(COUNTIFS(Dados!$E:$E,$B135,Dados!$C:$C,INDEX(V$3,1,1),Dados!$A:$A,INDEX($D:$E,MATCH("F",$D:$D,0),2))=0,"",SUMIFS(Dados!$G:$G,Dados!$E:$E,$B135,Dados!$C:$C,INDEX(V$3,1,1),Dados!$A:$A,INDEX($D:$E,MATCH("F",$D:$D,0),2))/COUNTIFS(Dados!$E:$E,$B135,Dados!$C:$C,INDEX(V$3,1,1),Dados!$A:$A,INDEX($D:$E,MATCH("F",$D:$D,0),2)))</f>
        <v/>
      </c>
    </row>
    <row r="136" spans="2:22" x14ac:dyDescent="0.25">
      <c r="B136" s="67" t="s">
        <v>65</v>
      </c>
      <c r="C136" s="71">
        <f>VLOOKUP(B136,B4:C22,2,0)</f>
        <v>7</v>
      </c>
      <c r="D136" s="68" t="str">
        <f ca="1">IF(COUNTIFS(Dados!$E:$E,$B136,Dados!$C:$C,INDEX(D$3,1,1),Dados!$A:$A,INDEX($D:$E,MATCH("F",$D:$D,0),2))=0,"",SUMIFS(Dados!$G:$G,Dados!$E:$E,$B136,Dados!$C:$C,INDEX(D$3,1,1),Dados!$A:$A,INDEX($D:$E,MATCH("F",$D:$D,0),2))/COUNTIFS(Dados!$E:$E,$B136,Dados!$C:$C,INDEX(D$3,1,1),Dados!$A:$A,INDEX($D:$E,MATCH("F",$D:$D,0),2)))</f>
        <v/>
      </c>
      <c r="E136" s="68" t="str">
        <f ca="1">IF(COUNTIFS(Dados!$E:$E,$B136,Dados!$C:$C,INDEX(E$3,1,1),Dados!$A:$A,INDEX($D:$E,MATCH("F",$D:$D,0),2))=0,"",SUMIFS(Dados!$G:$G,Dados!$E:$E,$B136,Dados!$C:$C,INDEX(E$3,1,1),Dados!$A:$A,INDEX($D:$E,MATCH("F",$D:$D,0),2))/COUNTIFS(Dados!$E:$E,$B136,Dados!$C:$C,INDEX(E$3,1,1),Dados!$A:$A,INDEX($D:$E,MATCH("F",$D:$D,0),2)))</f>
        <v/>
      </c>
      <c r="F136" s="68" t="str">
        <f ca="1">IF(COUNTIFS(Dados!$E:$E,$B136,Dados!$C:$C,INDEX(F$3,1,1),Dados!$A:$A,INDEX($D:$E,MATCH("F",$D:$D,0),2))=0,"",SUMIFS(Dados!$G:$G,Dados!$E:$E,$B136,Dados!$C:$C,INDEX(F$3,1,1),Dados!$A:$A,INDEX($D:$E,MATCH("F",$D:$D,0),2))/COUNTIFS(Dados!$E:$E,$B136,Dados!$C:$C,INDEX(F$3,1,1),Dados!$A:$A,INDEX($D:$E,MATCH("F",$D:$D,0),2)))</f>
        <v/>
      </c>
      <c r="G136" s="68" t="str">
        <f ca="1">IF(COUNTIFS(Dados!$E:$E,$B136,Dados!$C:$C,INDEX(G$3,1,1),Dados!$A:$A,INDEX($D:$E,MATCH("F",$D:$D,0),2))=0,"",SUMIFS(Dados!$G:$G,Dados!$E:$E,$B136,Dados!$C:$C,INDEX(G$3,1,1),Dados!$A:$A,INDEX($D:$E,MATCH("F",$D:$D,0),2))/COUNTIFS(Dados!$E:$E,$B136,Dados!$C:$C,INDEX(G$3,1,1),Dados!$A:$A,INDEX($D:$E,MATCH("F",$D:$D,0),2)))</f>
        <v/>
      </c>
      <c r="H136" s="68" t="str">
        <f ca="1">IF(COUNTIFS(Dados!$E:$E,$B136,Dados!$C:$C,INDEX(H$3,1,1),Dados!$A:$A,INDEX($D:$E,MATCH("F",$D:$D,0),2))=0,"",SUMIFS(Dados!$G:$G,Dados!$E:$E,$B136,Dados!$C:$C,INDEX(H$3,1,1),Dados!$A:$A,INDEX($D:$E,MATCH("F",$D:$D,0),2))/COUNTIFS(Dados!$E:$E,$B136,Dados!$C:$C,INDEX(H$3,1,1),Dados!$A:$A,INDEX($D:$E,MATCH("F",$D:$D,0),2)))</f>
        <v/>
      </c>
      <c r="I136" s="68" t="str">
        <f ca="1">IF(COUNTIFS(Dados!$E:$E,$B136,Dados!$C:$C,INDEX(I$3,1,1),Dados!$A:$A,INDEX($D:$E,MATCH("F",$D:$D,0),2))=0,"",SUMIFS(Dados!$G:$G,Dados!$E:$E,$B136,Dados!$C:$C,INDEX(I$3,1,1),Dados!$A:$A,INDEX($D:$E,MATCH("F",$D:$D,0),2))/COUNTIFS(Dados!$E:$E,$B136,Dados!$C:$C,INDEX(I$3,1,1),Dados!$A:$A,INDEX($D:$E,MATCH("F",$D:$D,0),2)))</f>
        <v/>
      </c>
      <c r="J136" s="68" t="str">
        <f ca="1">IF(COUNTIFS(Dados!$E:$E,$B136,Dados!$C:$C,INDEX(J$3,1,1),Dados!$A:$A,INDEX($D:$E,MATCH("F",$D:$D,0),2))=0,"",SUMIFS(Dados!$G:$G,Dados!$E:$E,$B136,Dados!$C:$C,INDEX(J$3,1,1),Dados!$A:$A,INDEX($D:$E,MATCH("F",$D:$D,0),2))/COUNTIFS(Dados!$E:$E,$B136,Dados!$C:$C,INDEX(J$3,1,1),Dados!$A:$A,INDEX($D:$E,MATCH("F",$D:$D,0),2)))</f>
        <v/>
      </c>
      <c r="K136" s="68" t="str">
        <f ca="1">IF(COUNTIFS(Dados!$E:$E,$B136,Dados!$C:$C,INDEX(K$3,1,1),Dados!$A:$A,INDEX($D:$E,MATCH("F",$D:$D,0),2))=0,"",SUMIFS(Dados!$G:$G,Dados!$E:$E,$B136,Dados!$C:$C,INDEX(K$3,1,1),Dados!$A:$A,INDEX($D:$E,MATCH("F",$D:$D,0),2))/COUNTIFS(Dados!$E:$E,$B136,Dados!$C:$C,INDEX(K$3,1,1),Dados!$A:$A,INDEX($D:$E,MATCH("F",$D:$D,0),2)))</f>
        <v/>
      </c>
      <c r="L136" s="68" t="str">
        <f ca="1">IF(COUNTIFS(Dados!$E:$E,$B136,Dados!$C:$C,INDEX(L$3,1,1),Dados!$A:$A,INDEX($D:$E,MATCH("F",$D:$D,0),2))=0,"",SUMIFS(Dados!$G:$G,Dados!$E:$E,$B136,Dados!$C:$C,INDEX(L$3,1,1),Dados!$A:$A,INDEX($D:$E,MATCH("F",$D:$D,0),2))/COUNTIFS(Dados!$E:$E,$B136,Dados!$C:$C,INDEX(L$3,1,1),Dados!$A:$A,INDEX($D:$E,MATCH("F",$D:$D,0),2)))</f>
        <v/>
      </c>
      <c r="M136" s="68" t="str">
        <f ca="1">IF(COUNTIFS(Dados!$E:$E,$B136,Dados!$C:$C,INDEX(M$3,1,1),Dados!$A:$A,INDEX($D:$E,MATCH("F",$D:$D,0),2))=0,"",SUMIFS(Dados!$G:$G,Dados!$E:$E,$B136,Dados!$C:$C,INDEX(M$3,1,1),Dados!$A:$A,INDEX($D:$E,MATCH("F",$D:$D,0),2))/COUNTIFS(Dados!$E:$E,$B136,Dados!$C:$C,INDEX(M$3,1,1),Dados!$A:$A,INDEX($D:$E,MATCH("F",$D:$D,0),2)))</f>
        <v/>
      </c>
      <c r="N136" s="68" t="str">
        <f ca="1">IF(COUNTIFS(Dados!$E:$E,$B136,Dados!$C:$C,INDEX(N$3,1,1),Dados!$A:$A,INDEX($D:$E,MATCH("F",$D:$D,0),2))=0,"",SUMIFS(Dados!$G:$G,Dados!$E:$E,$B136,Dados!$C:$C,INDEX(N$3,1,1),Dados!$A:$A,INDEX($D:$E,MATCH("F",$D:$D,0),2))/COUNTIFS(Dados!$E:$E,$B136,Dados!$C:$C,INDEX(N$3,1,1),Dados!$A:$A,INDEX($D:$E,MATCH("F",$D:$D,0),2)))</f>
        <v/>
      </c>
      <c r="O136" s="68" t="str">
        <f ca="1">IF(COUNTIFS(Dados!$E:$E,$B136,Dados!$C:$C,INDEX(O$3,1,1),Dados!$A:$A,INDEX($D:$E,MATCH("F",$D:$D,0),2))=0,"",SUMIFS(Dados!$G:$G,Dados!$E:$E,$B136,Dados!$C:$C,INDEX(O$3,1,1),Dados!$A:$A,INDEX($D:$E,MATCH("F",$D:$D,0),2))/COUNTIFS(Dados!$E:$E,$B136,Dados!$C:$C,INDEX(O$3,1,1),Dados!$A:$A,INDEX($D:$E,MATCH("F",$D:$D,0),2)))</f>
        <v/>
      </c>
      <c r="P136" s="68" t="str">
        <f ca="1">IF(COUNTIFS(Dados!$E:$E,$B136,Dados!$C:$C,INDEX(P$3,1,1),Dados!$A:$A,INDEX($D:$E,MATCH("F",$D:$D,0),2))=0,"",SUMIFS(Dados!$G:$G,Dados!$E:$E,$B136,Dados!$C:$C,INDEX(P$3,1,1),Dados!$A:$A,INDEX($D:$E,MATCH("F",$D:$D,0),2))/COUNTIFS(Dados!$E:$E,$B136,Dados!$C:$C,INDEX(P$3,1,1),Dados!$A:$A,INDEX($D:$E,MATCH("F",$D:$D,0),2)))</f>
        <v/>
      </c>
      <c r="Q136" s="68" t="str">
        <f ca="1">IF(COUNTIFS(Dados!$E:$E,$B136,Dados!$C:$C,INDEX(Q$3,1,1),Dados!$A:$A,INDEX($D:$E,MATCH("F",$D:$D,0),2))=0,"",SUMIFS(Dados!$G:$G,Dados!$E:$E,$B136,Dados!$C:$C,INDEX(Q$3,1,1),Dados!$A:$A,INDEX($D:$E,MATCH("F",$D:$D,0),2))/COUNTIFS(Dados!$E:$E,$B136,Dados!$C:$C,INDEX(Q$3,1,1),Dados!$A:$A,INDEX($D:$E,MATCH("F",$D:$D,0),2)))</f>
        <v/>
      </c>
      <c r="R136" s="68" t="str">
        <f ca="1">IF(COUNTIFS(Dados!$E:$E,$B136,Dados!$C:$C,INDEX(R$3,1,1),Dados!$A:$A,INDEX($D:$E,MATCH("F",$D:$D,0),2))=0,"",SUMIFS(Dados!$G:$G,Dados!$E:$E,$B136,Dados!$C:$C,INDEX(R$3,1,1),Dados!$A:$A,INDEX($D:$E,MATCH("F",$D:$D,0),2))/COUNTIFS(Dados!$E:$E,$B136,Dados!$C:$C,INDEX(R$3,1,1),Dados!$A:$A,INDEX($D:$E,MATCH("F",$D:$D,0),2)))</f>
        <v/>
      </c>
      <c r="S136" s="68" t="str">
        <f ca="1">IF(COUNTIFS(Dados!$E:$E,$B136,Dados!$C:$C,INDEX(S$3,1,1),Dados!$A:$A,INDEX($D:$E,MATCH("F",$D:$D,0),2))=0,"",SUMIFS(Dados!$G:$G,Dados!$E:$E,$B136,Dados!$C:$C,INDEX(S$3,1,1),Dados!$A:$A,INDEX($D:$E,MATCH("F",$D:$D,0),2))/COUNTIFS(Dados!$E:$E,$B136,Dados!$C:$C,INDEX(S$3,1,1),Dados!$A:$A,INDEX($D:$E,MATCH("F",$D:$D,0),2)))</f>
        <v/>
      </c>
      <c r="T136" s="68" t="str">
        <f ca="1">IF(COUNTIFS(Dados!$E:$E,$B136,Dados!$C:$C,INDEX(T$3,1,1),Dados!$A:$A,INDEX($D:$E,MATCH("F",$D:$D,0),2))=0,"",SUMIFS(Dados!$G:$G,Dados!$E:$E,$B136,Dados!$C:$C,INDEX(T$3,1,1),Dados!$A:$A,INDEX($D:$E,MATCH("F",$D:$D,0),2))/COUNTIFS(Dados!$E:$E,$B136,Dados!$C:$C,INDEX(T$3,1,1),Dados!$A:$A,INDEX($D:$E,MATCH("F",$D:$D,0),2)))</f>
        <v/>
      </c>
      <c r="U136" s="68" t="str">
        <f ca="1">IF(COUNTIFS(Dados!$E:$E,$B136,Dados!$C:$C,INDEX(U$3,1,1),Dados!$A:$A,INDEX($D:$E,MATCH("F",$D:$D,0),2))=0,"",SUMIFS(Dados!$G:$G,Dados!$E:$E,$B136,Dados!$C:$C,INDEX(U$3,1,1),Dados!$A:$A,INDEX($D:$E,MATCH("F",$D:$D,0),2))/COUNTIFS(Dados!$E:$E,$B136,Dados!$C:$C,INDEX(U$3,1,1),Dados!$A:$A,INDEX($D:$E,MATCH("F",$D:$D,0),2)))</f>
        <v/>
      </c>
      <c r="V136" s="68" t="str">
        <f ca="1">IF(COUNTIFS(Dados!$E:$E,$B136,Dados!$C:$C,INDEX(V$3,1,1),Dados!$A:$A,INDEX($D:$E,MATCH("F",$D:$D,0),2))=0,"",SUMIFS(Dados!$G:$G,Dados!$E:$E,$B136,Dados!$C:$C,INDEX(V$3,1,1),Dados!$A:$A,INDEX($D:$E,MATCH("F",$D:$D,0),2))/COUNTIFS(Dados!$E:$E,$B136,Dados!$C:$C,INDEX(V$3,1,1),Dados!$A:$A,INDEX($D:$E,MATCH("F",$D:$D,0),2)))</f>
        <v/>
      </c>
    </row>
    <row r="137" spans="2:22" x14ac:dyDescent="0.25">
      <c r="B137" s="65" t="s">
        <v>32</v>
      </c>
      <c r="C137" s="72">
        <f>VLOOKUP(B137,B4:C22,2,0)</f>
        <v>8</v>
      </c>
      <c r="D137" s="66" t="str">
        <f ca="1">IF(COUNTIFS(Dados!$E:$E,$B137,Dados!$C:$C,INDEX(D$3,1,1),Dados!$A:$A,INDEX($D:$E,MATCH("F",$D:$D,0),2))=0,"",SUMIFS(Dados!$G:$G,Dados!$E:$E,$B137,Dados!$C:$C,INDEX(D$3,1,1),Dados!$A:$A,INDEX($D:$E,MATCH("F",$D:$D,0),2))/COUNTIFS(Dados!$E:$E,$B137,Dados!$C:$C,INDEX(D$3,1,1),Dados!$A:$A,INDEX($D:$E,MATCH("F",$D:$D,0),2)))</f>
        <v/>
      </c>
      <c r="E137" s="66" t="str">
        <f ca="1">IF(COUNTIFS(Dados!$E:$E,$B137,Dados!$C:$C,INDEX(E$3,1,1),Dados!$A:$A,INDEX($D:$E,MATCH("F",$D:$D,0),2))=0,"",SUMIFS(Dados!$G:$G,Dados!$E:$E,$B137,Dados!$C:$C,INDEX(E$3,1,1),Dados!$A:$A,INDEX($D:$E,MATCH("F",$D:$D,0),2))/COUNTIFS(Dados!$E:$E,$B137,Dados!$C:$C,INDEX(E$3,1,1),Dados!$A:$A,INDEX($D:$E,MATCH("F",$D:$D,0),2)))</f>
        <v/>
      </c>
      <c r="F137" s="66" t="str">
        <f ca="1">IF(COUNTIFS(Dados!$E:$E,$B137,Dados!$C:$C,INDEX(F$3,1,1),Dados!$A:$A,INDEX($D:$E,MATCH("F",$D:$D,0),2))=0,"",SUMIFS(Dados!$G:$G,Dados!$E:$E,$B137,Dados!$C:$C,INDEX(F$3,1,1),Dados!$A:$A,INDEX($D:$E,MATCH("F",$D:$D,0),2))/COUNTIFS(Dados!$E:$E,$B137,Dados!$C:$C,INDEX(F$3,1,1),Dados!$A:$A,INDEX($D:$E,MATCH("F",$D:$D,0),2)))</f>
        <v/>
      </c>
      <c r="G137" s="66" t="str">
        <f ca="1">IF(COUNTIFS(Dados!$E:$E,$B137,Dados!$C:$C,INDEX(G$3,1,1),Dados!$A:$A,INDEX($D:$E,MATCH("F",$D:$D,0),2))=0,"",SUMIFS(Dados!$G:$G,Dados!$E:$E,$B137,Dados!$C:$C,INDEX(G$3,1,1),Dados!$A:$A,INDEX($D:$E,MATCH("F",$D:$D,0),2))/COUNTIFS(Dados!$E:$E,$B137,Dados!$C:$C,INDEX(G$3,1,1),Dados!$A:$A,INDEX($D:$E,MATCH("F",$D:$D,0),2)))</f>
        <v/>
      </c>
      <c r="H137" s="66" t="str">
        <f ca="1">IF(COUNTIFS(Dados!$E:$E,$B137,Dados!$C:$C,INDEX(H$3,1,1),Dados!$A:$A,INDEX($D:$E,MATCH("F",$D:$D,0),2))=0,"",SUMIFS(Dados!$G:$G,Dados!$E:$E,$B137,Dados!$C:$C,INDEX(H$3,1,1),Dados!$A:$A,INDEX($D:$E,MATCH("F",$D:$D,0),2))/COUNTIFS(Dados!$E:$E,$B137,Dados!$C:$C,INDEX(H$3,1,1),Dados!$A:$A,INDEX($D:$E,MATCH("F",$D:$D,0),2)))</f>
        <v/>
      </c>
      <c r="I137" s="66" t="str">
        <f ca="1">IF(COUNTIFS(Dados!$E:$E,$B137,Dados!$C:$C,INDEX(I$3,1,1),Dados!$A:$A,INDEX($D:$E,MATCH("F",$D:$D,0),2))=0,"",SUMIFS(Dados!$G:$G,Dados!$E:$E,$B137,Dados!$C:$C,INDEX(I$3,1,1),Dados!$A:$A,INDEX($D:$E,MATCH("F",$D:$D,0),2))/COUNTIFS(Dados!$E:$E,$B137,Dados!$C:$C,INDEX(I$3,1,1),Dados!$A:$A,INDEX($D:$E,MATCH("F",$D:$D,0),2)))</f>
        <v/>
      </c>
      <c r="J137" s="66" t="str">
        <f ca="1">IF(COUNTIFS(Dados!$E:$E,$B137,Dados!$C:$C,INDEX(J$3,1,1),Dados!$A:$A,INDEX($D:$E,MATCH("F",$D:$D,0),2))=0,"",SUMIFS(Dados!$G:$G,Dados!$E:$E,$B137,Dados!$C:$C,INDEX(J$3,1,1),Dados!$A:$A,INDEX($D:$E,MATCH("F",$D:$D,0),2))/COUNTIFS(Dados!$E:$E,$B137,Dados!$C:$C,INDEX(J$3,1,1),Dados!$A:$A,INDEX($D:$E,MATCH("F",$D:$D,0),2)))</f>
        <v/>
      </c>
      <c r="K137" s="66" t="str">
        <f ca="1">IF(COUNTIFS(Dados!$E:$E,$B137,Dados!$C:$C,INDEX(K$3,1,1),Dados!$A:$A,INDEX($D:$E,MATCH("F",$D:$D,0),2))=0,"",SUMIFS(Dados!$G:$G,Dados!$E:$E,$B137,Dados!$C:$C,INDEX(K$3,1,1),Dados!$A:$A,INDEX($D:$E,MATCH("F",$D:$D,0),2))/COUNTIFS(Dados!$E:$E,$B137,Dados!$C:$C,INDEX(K$3,1,1),Dados!$A:$A,INDEX($D:$E,MATCH("F",$D:$D,0),2)))</f>
        <v/>
      </c>
      <c r="L137" s="66" t="str">
        <f ca="1">IF(COUNTIFS(Dados!$E:$E,$B137,Dados!$C:$C,INDEX(L$3,1,1),Dados!$A:$A,INDEX($D:$E,MATCH("F",$D:$D,0),2))=0,"",SUMIFS(Dados!$G:$G,Dados!$E:$E,$B137,Dados!$C:$C,INDEX(L$3,1,1),Dados!$A:$A,INDEX($D:$E,MATCH("F",$D:$D,0),2))/COUNTIFS(Dados!$E:$E,$B137,Dados!$C:$C,INDEX(L$3,1,1),Dados!$A:$A,INDEX($D:$E,MATCH("F",$D:$D,0),2)))</f>
        <v/>
      </c>
      <c r="M137" s="66" t="str">
        <f ca="1">IF(COUNTIFS(Dados!$E:$E,$B137,Dados!$C:$C,INDEX(M$3,1,1),Dados!$A:$A,INDEX($D:$E,MATCH("F",$D:$D,0),2))=0,"",SUMIFS(Dados!$G:$G,Dados!$E:$E,$B137,Dados!$C:$C,INDEX(M$3,1,1),Dados!$A:$A,INDEX($D:$E,MATCH("F",$D:$D,0),2))/COUNTIFS(Dados!$E:$E,$B137,Dados!$C:$C,INDEX(M$3,1,1),Dados!$A:$A,INDEX($D:$E,MATCH("F",$D:$D,0),2)))</f>
        <v/>
      </c>
      <c r="N137" s="66" t="str">
        <f ca="1">IF(COUNTIFS(Dados!$E:$E,$B137,Dados!$C:$C,INDEX(N$3,1,1),Dados!$A:$A,INDEX($D:$E,MATCH("F",$D:$D,0),2))=0,"",SUMIFS(Dados!$G:$G,Dados!$E:$E,$B137,Dados!$C:$C,INDEX(N$3,1,1),Dados!$A:$A,INDEX($D:$E,MATCH("F",$D:$D,0),2))/COUNTIFS(Dados!$E:$E,$B137,Dados!$C:$C,INDEX(N$3,1,1),Dados!$A:$A,INDEX($D:$E,MATCH("F",$D:$D,0),2)))</f>
        <v/>
      </c>
      <c r="O137" s="66" t="str">
        <f ca="1">IF(COUNTIFS(Dados!$E:$E,$B137,Dados!$C:$C,INDEX(O$3,1,1),Dados!$A:$A,INDEX($D:$E,MATCH("F",$D:$D,0),2))=0,"",SUMIFS(Dados!$G:$G,Dados!$E:$E,$B137,Dados!$C:$C,INDEX(O$3,1,1),Dados!$A:$A,INDEX($D:$E,MATCH("F",$D:$D,0),2))/COUNTIFS(Dados!$E:$E,$B137,Dados!$C:$C,INDEX(O$3,1,1),Dados!$A:$A,INDEX($D:$E,MATCH("F",$D:$D,0),2)))</f>
        <v/>
      </c>
      <c r="P137" s="66" t="str">
        <f ca="1">IF(COUNTIFS(Dados!$E:$E,$B137,Dados!$C:$C,INDEX(P$3,1,1),Dados!$A:$A,INDEX($D:$E,MATCH("F",$D:$D,0),2))=0,"",SUMIFS(Dados!$G:$G,Dados!$E:$E,$B137,Dados!$C:$C,INDEX(P$3,1,1),Dados!$A:$A,INDEX($D:$E,MATCH("F",$D:$D,0),2))/COUNTIFS(Dados!$E:$E,$B137,Dados!$C:$C,INDEX(P$3,1,1),Dados!$A:$A,INDEX($D:$E,MATCH("F",$D:$D,0),2)))</f>
        <v/>
      </c>
      <c r="Q137" s="66" t="str">
        <f ca="1">IF(COUNTIFS(Dados!$E:$E,$B137,Dados!$C:$C,INDEX(Q$3,1,1),Dados!$A:$A,INDEX($D:$E,MATCH("F",$D:$D,0),2))=0,"",SUMIFS(Dados!$G:$G,Dados!$E:$E,$B137,Dados!$C:$C,INDEX(Q$3,1,1),Dados!$A:$A,INDEX($D:$E,MATCH("F",$D:$D,0),2))/COUNTIFS(Dados!$E:$E,$B137,Dados!$C:$C,INDEX(Q$3,1,1),Dados!$A:$A,INDEX($D:$E,MATCH("F",$D:$D,0),2)))</f>
        <v/>
      </c>
      <c r="R137" s="66" t="str">
        <f ca="1">IF(COUNTIFS(Dados!$E:$E,$B137,Dados!$C:$C,INDEX(R$3,1,1),Dados!$A:$A,INDEX($D:$E,MATCH("F",$D:$D,0),2))=0,"",SUMIFS(Dados!$G:$G,Dados!$E:$E,$B137,Dados!$C:$C,INDEX(R$3,1,1),Dados!$A:$A,INDEX($D:$E,MATCH("F",$D:$D,0),2))/COUNTIFS(Dados!$E:$E,$B137,Dados!$C:$C,INDEX(R$3,1,1),Dados!$A:$A,INDEX($D:$E,MATCH("F",$D:$D,0),2)))</f>
        <v/>
      </c>
      <c r="S137" s="66" t="str">
        <f ca="1">IF(COUNTIFS(Dados!$E:$E,$B137,Dados!$C:$C,INDEX(S$3,1,1),Dados!$A:$A,INDEX($D:$E,MATCH("F",$D:$D,0),2))=0,"",SUMIFS(Dados!$G:$G,Dados!$E:$E,$B137,Dados!$C:$C,INDEX(S$3,1,1),Dados!$A:$A,INDEX($D:$E,MATCH("F",$D:$D,0),2))/COUNTIFS(Dados!$E:$E,$B137,Dados!$C:$C,INDEX(S$3,1,1),Dados!$A:$A,INDEX($D:$E,MATCH("F",$D:$D,0),2)))</f>
        <v/>
      </c>
      <c r="T137" s="66" t="str">
        <f ca="1">IF(COUNTIFS(Dados!$E:$E,$B137,Dados!$C:$C,INDEX(T$3,1,1),Dados!$A:$A,INDEX($D:$E,MATCH("F",$D:$D,0),2))=0,"",SUMIFS(Dados!$G:$G,Dados!$E:$E,$B137,Dados!$C:$C,INDEX(T$3,1,1),Dados!$A:$A,INDEX($D:$E,MATCH("F",$D:$D,0),2))/COUNTIFS(Dados!$E:$E,$B137,Dados!$C:$C,INDEX(T$3,1,1),Dados!$A:$A,INDEX($D:$E,MATCH("F",$D:$D,0),2)))</f>
        <v/>
      </c>
      <c r="U137" s="66" t="str">
        <f ca="1">IF(COUNTIFS(Dados!$E:$E,$B137,Dados!$C:$C,INDEX(U$3,1,1),Dados!$A:$A,INDEX($D:$E,MATCH("F",$D:$D,0),2))=0,"",SUMIFS(Dados!$G:$G,Dados!$E:$E,$B137,Dados!$C:$C,INDEX(U$3,1,1),Dados!$A:$A,INDEX($D:$E,MATCH("F",$D:$D,0),2))/COUNTIFS(Dados!$E:$E,$B137,Dados!$C:$C,INDEX(U$3,1,1),Dados!$A:$A,INDEX($D:$E,MATCH("F",$D:$D,0),2)))</f>
        <v/>
      </c>
      <c r="V137" s="66" t="str">
        <f ca="1">IF(COUNTIFS(Dados!$E:$E,$B137,Dados!$C:$C,INDEX(V$3,1,1),Dados!$A:$A,INDEX($D:$E,MATCH("F",$D:$D,0),2))=0,"",SUMIFS(Dados!$G:$G,Dados!$E:$E,$B137,Dados!$C:$C,INDEX(V$3,1,1),Dados!$A:$A,INDEX($D:$E,MATCH("F",$D:$D,0),2))/COUNTIFS(Dados!$E:$E,$B137,Dados!$C:$C,INDEX(V$3,1,1),Dados!$A:$A,INDEX($D:$E,MATCH("F",$D:$D,0),2)))</f>
        <v/>
      </c>
    </row>
    <row r="138" spans="2:22" x14ac:dyDescent="0.25">
      <c r="B138" s="67" t="s">
        <v>44</v>
      </c>
      <c r="C138" s="71">
        <f>VLOOKUP(B138,B4:C22,2,0)</f>
        <v>9</v>
      </c>
      <c r="D138" s="68" t="str">
        <f ca="1">IF(COUNTIFS(Dados!$E:$E,$B138,Dados!$C:$C,INDEX(D$3,1,1),Dados!$A:$A,INDEX($D:$E,MATCH("F",$D:$D,0),2))=0,"",SUMIFS(Dados!$G:$G,Dados!$E:$E,$B138,Dados!$C:$C,INDEX(D$3,1,1),Dados!$A:$A,INDEX($D:$E,MATCH("F",$D:$D,0),2))/COUNTIFS(Dados!$E:$E,$B138,Dados!$C:$C,INDEX(D$3,1,1),Dados!$A:$A,INDEX($D:$E,MATCH("F",$D:$D,0),2)))</f>
        <v/>
      </c>
      <c r="E138" s="68" t="str">
        <f ca="1">IF(COUNTIFS(Dados!$E:$E,$B138,Dados!$C:$C,INDEX(E$3,1,1),Dados!$A:$A,INDEX($D:$E,MATCH("F",$D:$D,0),2))=0,"",SUMIFS(Dados!$G:$G,Dados!$E:$E,$B138,Dados!$C:$C,INDEX(E$3,1,1),Dados!$A:$A,INDEX($D:$E,MATCH("F",$D:$D,0),2))/COUNTIFS(Dados!$E:$E,$B138,Dados!$C:$C,INDEX(E$3,1,1),Dados!$A:$A,INDEX($D:$E,MATCH("F",$D:$D,0),2)))</f>
        <v/>
      </c>
      <c r="F138" s="68" t="str">
        <f ca="1">IF(COUNTIFS(Dados!$E:$E,$B138,Dados!$C:$C,INDEX(F$3,1,1),Dados!$A:$A,INDEX($D:$E,MATCH("F",$D:$D,0),2))=0,"",SUMIFS(Dados!$G:$G,Dados!$E:$E,$B138,Dados!$C:$C,INDEX(F$3,1,1),Dados!$A:$A,INDEX($D:$E,MATCH("F",$D:$D,0),2))/COUNTIFS(Dados!$E:$E,$B138,Dados!$C:$C,INDEX(F$3,1,1),Dados!$A:$A,INDEX($D:$E,MATCH("F",$D:$D,0),2)))</f>
        <v/>
      </c>
      <c r="G138" s="68" t="str">
        <f ca="1">IF(COUNTIFS(Dados!$E:$E,$B138,Dados!$C:$C,INDEX(G$3,1,1),Dados!$A:$A,INDEX($D:$E,MATCH("F",$D:$D,0),2))=0,"",SUMIFS(Dados!$G:$G,Dados!$E:$E,$B138,Dados!$C:$C,INDEX(G$3,1,1),Dados!$A:$A,INDEX($D:$E,MATCH("F",$D:$D,0),2))/COUNTIFS(Dados!$E:$E,$B138,Dados!$C:$C,INDEX(G$3,1,1),Dados!$A:$A,INDEX($D:$E,MATCH("F",$D:$D,0),2)))</f>
        <v/>
      </c>
      <c r="H138" s="68" t="str">
        <f ca="1">IF(COUNTIFS(Dados!$E:$E,$B138,Dados!$C:$C,INDEX(H$3,1,1),Dados!$A:$A,INDEX($D:$E,MATCH("F",$D:$D,0),2))=0,"",SUMIFS(Dados!$G:$G,Dados!$E:$E,$B138,Dados!$C:$C,INDEX(H$3,1,1),Dados!$A:$A,INDEX($D:$E,MATCH("F",$D:$D,0),2))/COUNTIFS(Dados!$E:$E,$B138,Dados!$C:$C,INDEX(H$3,1,1),Dados!$A:$A,INDEX($D:$E,MATCH("F",$D:$D,0),2)))</f>
        <v/>
      </c>
      <c r="I138" s="68" t="str">
        <f ca="1">IF(COUNTIFS(Dados!$E:$E,$B138,Dados!$C:$C,INDEX(I$3,1,1),Dados!$A:$A,INDEX($D:$E,MATCH("F",$D:$D,0),2))=0,"",SUMIFS(Dados!$G:$G,Dados!$E:$E,$B138,Dados!$C:$C,INDEX(I$3,1,1),Dados!$A:$A,INDEX($D:$E,MATCH("F",$D:$D,0),2))/COUNTIFS(Dados!$E:$E,$B138,Dados!$C:$C,INDEX(I$3,1,1),Dados!$A:$A,INDEX($D:$E,MATCH("F",$D:$D,0),2)))</f>
        <v/>
      </c>
      <c r="J138" s="68" t="str">
        <f ca="1">IF(COUNTIFS(Dados!$E:$E,$B138,Dados!$C:$C,INDEX(J$3,1,1),Dados!$A:$A,INDEX($D:$E,MATCH("F",$D:$D,0),2))=0,"",SUMIFS(Dados!$G:$G,Dados!$E:$E,$B138,Dados!$C:$C,INDEX(J$3,1,1),Dados!$A:$A,INDEX($D:$E,MATCH("F",$D:$D,0),2))/COUNTIFS(Dados!$E:$E,$B138,Dados!$C:$C,INDEX(J$3,1,1),Dados!$A:$A,INDEX($D:$E,MATCH("F",$D:$D,0),2)))</f>
        <v/>
      </c>
      <c r="K138" s="68" t="str">
        <f ca="1">IF(COUNTIFS(Dados!$E:$E,$B138,Dados!$C:$C,INDEX(K$3,1,1),Dados!$A:$A,INDEX($D:$E,MATCH("F",$D:$D,0),2))=0,"",SUMIFS(Dados!$G:$G,Dados!$E:$E,$B138,Dados!$C:$C,INDEX(K$3,1,1),Dados!$A:$A,INDEX($D:$E,MATCH("F",$D:$D,0),2))/COUNTIFS(Dados!$E:$E,$B138,Dados!$C:$C,INDEX(K$3,1,1),Dados!$A:$A,INDEX($D:$E,MATCH("F",$D:$D,0),2)))</f>
        <v/>
      </c>
      <c r="L138" s="68" t="str">
        <f ca="1">IF(COUNTIFS(Dados!$E:$E,$B138,Dados!$C:$C,INDEX(L$3,1,1),Dados!$A:$A,INDEX($D:$E,MATCH("F",$D:$D,0),2))=0,"",SUMIFS(Dados!$G:$G,Dados!$E:$E,$B138,Dados!$C:$C,INDEX(L$3,1,1),Dados!$A:$A,INDEX($D:$E,MATCH("F",$D:$D,0),2))/COUNTIFS(Dados!$E:$E,$B138,Dados!$C:$C,INDEX(L$3,1,1),Dados!$A:$A,INDEX($D:$E,MATCH("F",$D:$D,0),2)))</f>
        <v/>
      </c>
      <c r="M138" s="68" t="str">
        <f ca="1">IF(COUNTIFS(Dados!$E:$E,$B138,Dados!$C:$C,INDEX(M$3,1,1),Dados!$A:$A,INDEX($D:$E,MATCH("F",$D:$D,0),2))=0,"",SUMIFS(Dados!$G:$G,Dados!$E:$E,$B138,Dados!$C:$C,INDEX(M$3,1,1),Dados!$A:$A,INDEX($D:$E,MATCH("F",$D:$D,0),2))/COUNTIFS(Dados!$E:$E,$B138,Dados!$C:$C,INDEX(M$3,1,1),Dados!$A:$A,INDEX($D:$E,MATCH("F",$D:$D,0),2)))</f>
        <v/>
      </c>
      <c r="N138" s="68" t="str">
        <f ca="1">IF(COUNTIFS(Dados!$E:$E,$B138,Dados!$C:$C,INDEX(N$3,1,1),Dados!$A:$A,INDEX($D:$E,MATCH("F",$D:$D,0),2))=0,"",SUMIFS(Dados!$G:$G,Dados!$E:$E,$B138,Dados!$C:$C,INDEX(N$3,1,1),Dados!$A:$A,INDEX($D:$E,MATCH("F",$D:$D,0),2))/COUNTIFS(Dados!$E:$E,$B138,Dados!$C:$C,INDEX(N$3,1,1),Dados!$A:$A,INDEX($D:$E,MATCH("F",$D:$D,0),2)))</f>
        <v/>
      </c>
      <c r="O138" s="68" t="str">
        <f ca="1">IF(COUNTIFS(Dados!$E:$E,$B138,Dados!$C:$C,INDEX(O$3,1,1),Dados!$A:$A,INDEX($D:$E,MATCH("F",$D:$D,0),2))=0,"",SUMIFS(Dados!$G:$G,Dados!$E:$E,$B138,Dados!$C:$C,INDEX(O$3,1,1),Dados!$A:$A,INDEX($D:$E,MATCH("F",$D:$D,0),2))/COUNTIFS(Dados!$E:$E,$B138,Dados!$C:$C,INDEX(O$3,1,1),Dados!$A:$A,INDEX($D:$E,MATCH("F",$D:$D,0),2)))</f>
        <v/>
      </c>
      <c r="P138" s="68" t="str">
        <f ca="1">IF(COUNTIFS(Dados!$E:$E,$B138,Dados!$C:$C,INDEX(P$3,1,1),Dados!$A:$A,INDEX($D:$E,MATCH("F",$D:$D,0),2))=0,"",SUMIFS(Dados!$G:$G,Dados!$E:$E,$B138,Dados!$C:$C,INDEX(P$3,1,1),Dados!$A:$A,INDEX($D:$E,MATCH("F",$D:$D,0),2))/COUNTIFS(Dados!$E:$E,$B138,Dados!$C:$C,INDEX(P$3,1,1),Dados!$A:$A,INDEX($D:$E,MATCH("F",$D:$D,0),2)))</f>
        <v/>
      </c>
      <c r="Q138" s="68" t="str">
        <f ca="1">IF(COUNTIFS(Dados!$E:$E,$B138,Dados!$C:$C,INDEX(Q$3,1,1),Dados!$A:$A,INDEX($D:$E,MATCH("F",$D:$D,0),2))=0,"",SUMIFS(Dados!$G:$G,Dados!$E:$E,$B138,Dados!$C:$C,INDEX(Q$3,1,1),Dados!$A:$A,INDEX($D:$E,MATCH("F",$D:$D,0),2))/COUNTIFS(Dados!$E:$E,$B138,Dados!$C:$C,INDEX(Q$3,1,1),Dados!$A:$A,INDEX($D:$E,MATCH("F",$D:$D,0),2)))</f>
        <v/>
      </c>
      <c r="R138" s="68" t="str">
        <f ca="1">IF(COUNTIFS(Dados!$E:$E,$B138,Dados!$C:$C,INDEX(R$3,1,1),Dados!$A:$A,INDEX($D:$E,MATCH("F",$D:$D,0),2))=0,"",SUMIFS(Dados!$G:$G,Dados!$E:$E,$B138,Dados!$C:$C,INDEX(R$3,1,1),Dados!$A:$A,INDEX($D:$E,MATCH("F",$D:$D,0),2))/COUNTIFS(Dados!$E:$E,$B138,Dados!$C:$C,INDEX(R$3,1,1),Dados!$A:$A,INDEX($D:$E,MATCH("F",$D:$D,0),2)))</f>
        <v/>
      </c>
      <c r="S138" s="68" t="str">
        <f ca="1">IF(COUNTIFS(Dados!$E:$E,$B138,Dados!$C:$C,INDEX(S$3,1,1),Dados!$A:$A,INDEX($D:$E,MATCH("F",$D:$D,0),2))=0,"",SUMIFS(Dados!$G:$G,Dados!$E:$E,$B138,Dados!$C:$C,INDEX(S$3,1,1),Dados!$A:$A,INDEX($D:$E,MATCH("F",$D:$D,0),2))/COUNTIFS(Dados!$E:$E,$B138,Dados!$C:$C,INDEX(S$3,1,1),Dados!$A:$A,INDEX($D:$E,MATCH("F",$D:$D,0),2)))</f>
        <v/>
      </c>
      <c r="T138" s="68" t="str">
        <f ca="1">IF(COUNTIFS(Dados!$E:$E,$B138,Dados!$C:$C,INDEX(T$3,1,1),Dados!$A:$A,INDEX($D:$E,MATCH("F",$D:$D,0),2))=0,"",SUMIFS(Dados!$G:$G,Dados!$E:$E,$B138,Dados!$C:$C,INDEX(T$3,1,1),Dados!$A:$A,INDEX($D:$E,MATCH("F",$D:$D,0),2))/COUNTIFS(Dados!$E:$E,$B138,Dados!$C:$C,INDEX(T$3,1,1),Dados!$A:$A,INDEX($D:$E,MATCH("F",$D:$D,0),2)))</f>
        <v/>
      </c>
      <c r="U138" s="68" t="str">
        <f ca="1">IF(COUNTIFS(Dados!$E:$E,$B138,Dados!$C:$C,INDEX(U$3,1,1),Dados!$A:$A,INDEX($D:$E,MATCH("F",$D:$D,0),2))=0,"",SUMIFS(Dados!$G:$G,Dados!$E:$E,$B138,Dados!$C:$C,INDEX(U$3,1,1),Dados!$A:$A,INDEX($D:$E,MATCH("F",$D:$D,0),2))/COUNTIFS(Dados!$E:$E,$B138,Dados!$C:$C,INDEX(U$3,1,1),Dados!$A:$A,INDEX($D:$E,MATCH("F",$D:$D,0),2)))</f>
        <v/>
      </c>
      <c r="V138" s="68" t="str">
        <f ca="1">IF(COUNTIFS(Dados!$E:$E,$B138,Dados!$C:$C,INDEX(V$3,1,1),Dados!$A:$A,INDEX($D:$E,MATCH("F",$D:$D,0),2))=0,"",SUMIFS(Dados!$G:$G,Dados!$E:$E,$B138,Dados!$C:$C,INDEX(V$3,1,1),Dados!$A:$A,INDEX($D:$E,MATCH("F",$D:$D,0),2))/COUNTIFS(Dados!$E:$E,$B138,Dados!$C:$C,INDEX(V$3,1,1),Dados!$A:$A,INDEX($D:$E,MATCH("F",$D:$D,0),2)))</f>
        <v/>
      </c>
    </row>
    <row r="139" spans="2:22" x14ac:dyDescent="0.25">
      <c r="B139" s="65" t="s">
        <v>147</v>
      </c>
      <c r="C139" s="72">
        <f>VLOOKUP(B139,B4:C22,2,0)</f>
        <v>10</v>
      </c>
      <c r="D139" s="66" t="str">
        <f ca="1">IF(COUNTIFS(Dados!$E:$E,$B139,Dados!$C:$C,INDEX(D$3,1,1),Dados!$A:$A,INDEX($D:$E,MATCH("F",$D:$D,0),2))=0,"",SUMIFS(Dados!$G:$G,Dados!$E:$E,$B139,Dados!$C:$C,INDEX(D$3,1,1),Dados!$A:$A,INDEX($D:$E,MATCH("F",$D:$D,0),2))/COUNTIFS(Dados!$E:$E,$B139,Dados!$C:$C,INDEX(D$3,1,1),Dados!$A:$A,INDEX($D:$E,MATCH("F",$D:$D,0),2)))</f>
        <v/>
      </c>
      <c r="E139" s="66" t="str">
        <f ca="1">IF(COUNTIFS(Dados!$E:$E,$B139,Dados!$C:$C,INDEX(E$3,1,1),Dados!$A:$A,INDEX($D:$E,MATCH("F",$D:$D,0),2))=0,"",SUMIFS(Dados!$G:$G,Dados!$E:$E,$B139,Dados!$C:$C,INDEX(E$3,1,1),Dados!$A:$A,INDEX($D:$E,MATCH("F",$D:$D,0),2))/COUNTIFS(Dados!$E:$E,$B139,Dados!$C:$C,INDEX(E$3,1,1),Dados!$A:$A,INDEX($D:$E,MATCH("F",$D:$D,0),2)))</f>
        <v/>
      </c>
      <c r="F139" s="66" t="str">
        <f ca="1">IF(COUNTIFS(Dados!$E:$E,$B139,Dados!$C:$C,INDEX(F$3,1,1),Dados!$A:$A,INDEX($D:$E,MATCH("F",$D:$D,0),2))=0,"",SUMIFS(Dados!$G:$G,Dados!$E:$E,$B139,Dados!$C:$C,INDEX(F$3,1,1),Dados!$A:$A,INDEX($D:$E,MATCH("F",$D:$D,0),2))/COUNTIFS(Dados!$E:$E,$B139,Dados!$C:$C,INDEX(F$3,1,1),Dados!$A:$A,INDEX($D:$E,MATCH("F",$D:$D,0),2)))</f>
        <v/>
      </c>
      <c r="G139" s="66" t="str">
        <f ca="1">IF(COUNTIFS(Dados!$E:$E,$B139,Dados!$C:$C,INDEX(G$3,1,1),Dados!$A:$A,INDEX($D:$E,MATCH("F",$D:$D,0),2))=0,"",SUMIFS(Dados!$G:$G,Dados!$E:$E,$B139,Dados!$C:$C,INDEX(G$3,1,1),Dados!$A:$A,INDEX($D:$E,MATCH("F",$D:$D,0),2))/COUNTIFS(Dados!$E:$E,$B139,Dados!$C:$C,INDEX(G$3,1,1),Dados!$A:$A,INDEX($D:$E,MATCH("F",$D:$D,0),2)))</f>
        <v/>
      </c>
      <c r="H139" s="66" t="str">
        <f ca="1">IF(COUNTIFS(Dados!$E:$E,$B139,Dados!$C:$C,INDEX(H$3,1,1),Dados!$A:$A,INDEX($D:$E,MATCH("F",$D:$D,0),2))=0,"",SUMIFS(Dados!$G:$G,Dados!$E:$E,$B139,Dados!$C:$C,INDEX(H$3,1,1),Dados!$A:$A,INDEX($D:$E,MATCH("F",$D:$D,0),2))/COUNTIFS(Dados!$E:$E,$B139,Dados!$C:$C,INDEX(H$3,1,1),Dados!$A:$A,INDEX($D:$E,MATCH("F",$D:$D,0),2)))</f>
        <v/>
      </c>
      <c r="I139" s="66" t="str">
        <f ca="1">IF(COUNTIFS(Dados!$E:$E,$B139,Dados!$C:$C,INDEX(I$3,1,1),Dados!$A:$A,INDEX($D:$E,MATCH("F",$D:$D,0),2))=0,"",SUMIFS(Dados!$G:$G,Dados!$E:$E,$B139,Dados!$C:$C,INDEX(I$3,1,1),Dados!$A:$A,INDEX($D:$E,MATCH("F",$D:$D,0),2))/COUNTIFS(Dados!$E:$E,$B139,Dados!$C:$C,INDEX(I$3,1,1),Dados!$A:$A,INDEX($D:$E,MATCH("F",$D:$D,0),2)))</f>
        <v/>
      </c>
      <c r="J139" s="66" t="str">
        <f ca="1">IF(COUNTIFS(Dados!$E:$E,$B139,Dados!$C:$C,INDEX(J$3,1,1),Dados!$A:$A,INDEX($D:$E,MATCH("F",$D:$D,0),2))=0,"",SUMIFS(Dados!$G:$G,Dados!$E:$E,$B139,Dados!$C:$C,INDEX(J$3,1,1),Dados!$A:$A,INDEX($D:$E,MATCH("F",$D:$D,0),2))/COUNTIFS(Dados!$E:$E,$B139,Dados!$C:$C,INDEX(J$3,1,1),Dados!$A:$A,INDEX($D:$E,MATCH("F",$D:$D,0),2)))</f>
        <v/>
      </c>
      <c r="K139" s="66" t="str">
        <f ca="1">IF(COUNTIFS(Dados!$E:$E,$B139,Dados!$C:$C,INDEX(K$3,1,1),Dados!$A:$A,INDEX($D:$E,MATCH("F",$D:$D,0),2))=0,"",SUMIFS(Dados!$G:$G,Dados!$E:$E,$B139,Dados!$C:$C,INDEX(K$3,1,1),Dados!$A:$A,INDEX($D:$E,MATCH("F",$D:$D,0),2))/COUNTIFS(Dados!$E:$E,$B139,Dados!$C:$C,INDEX(K$3,1,1),Dados!$A:$A,INDEX($D:$E,MATCH("F",$D:$D,0),2)))</f>
        <v/>
      </c>
      <c r="L139" s="66" t="str">
        <f ca="1">IF(COUNTIFS(Dados!$E:$E,$B139,Dados!$C:$C,INDEX(L$3,1,1),Dados!$A:$A,INDEX($D:$E,MATCH("F",$D:$D,0),2))=0,"",SUMIFS(Dados!$G:$G,Dados!$E:$E,$B139,Dados!$C:$C,INDEX(L$3,1,1),Dados!$A:$A,INDEX($D:$E,MATCH("F",$D:$D,0),2))/COUNTIFS(Dados!$E:$E,$B139,Dados!$C:$C,INDEX(L$3,1,1),Dados!$A:$A,INDEX($D:$E,MATCH("F",$D:$D,0),2)))</f>
        <v/>
      </c>
      <c r="M139" s="66" t="str">
        <f ca="1">IF(COUNTIFS(Dados!$E:$E,$B139,Dados!$C:$C,INDEX(M$3,1,1),Dados!$A:$A,INDEX($D:$E,MATCH("F",$D:$D,0),2))=0,"",SUMIFS(Dados!$G:$G,Dados!$E:$E,$B139,Dados!$C:$C,INDEX(M$3,1,1),Dados!$A:$A,INDEX($D:$E,MATCH("F",$D:$D,0),2))/COUNTIFS(Dados!$E:$E,$B139,Dados!$C:$C,INDEX(M$3,1,1),Dados!$A:$A,INDEX($D:$E,MATCH("F",$D:$D,0),2)))</f>
        <v/>
      </c>
      <c r="N139" s="66" t="str">
        <f ca="1">IF(COUNTIFS(Dados!$E:$E,$B139,Dados!$C:$C,INDEX(N$3,1,1),Dados!$A:$A,INDEX($D:$E,MATCH("F",$D:$D,0),2))=0,"",SUMIFS(Dados!$G:$G,Dados!$E:$E,$B139,Dados!$C:$C,INDEX(N$3,1,1),Dados!$A:$A,INDEX($D:$E,MATCH("F",$D:$D,0),2))/COUNTIFS(Dados!$E:$E,$B139,Dados!$C:$C,INDEX(N$3,1,1),Dados!$A:$A,INDEX($D:$E,MATCH("F",$D:$D,0),2)))</f>
        <v/>
      </c>
      <c r="O139" s="66" t="str">
        <f ca="1">IF(COUNTIFS(Dados!$E:$E,$B139,Dados!$C:$C,INDEX(O$3,1,1),Dados!$A:$A,INDEX($D:$E,MATCH("F",$D:$D,0),2))=0,"",SUMIFS(Dados!$G:$G,Dados!$E:$E,$B139,Dados!$C:$C,INDEX(O$3,1,1),Dados!$A:$A,INDEX($D:$E,MATCH("F",$D:$D,0),2))/COUNTIFS(Dados!$E:$E,$B139,Dados!$C:$C,INDEX(O$3,1,1),Dados!$A:$A,INDEX($D:$E,MATCH("F",$D:$D,0),2)))</f>
        <v/>
      </c>
      <c r="P139" s="66" t="str">
        <f ca="1">IF(COUNTIFS(Dados!$E:$E,$B139,Dados!$C:$C,INDEX(P$3,1,1),Dados!$A:$A,INDEX($D:$E,MATCH("F",$D:$D,0),2))=0,"",SUMIFS(Dados!$G:$G,Dados!$E:$E,$B139,Dados!$C:$C,INDEX(P$3,1,1),Dados!$A:$A,INDEX($D:$E,MATCH("F",$D:$D,0),2))/COUNTIFS(Dados!$E:$E,$B139,Dados!$C:$C,INDEX(P$3,1,1),Dados!$A:$A,INDEX($D:$E,MATCH("F",$D:$D,0),2)))</f>
        <v/>
      </c>
      <c r="Q139" s="66" t="str">
        <f ca="1">IF(COUNTIFS(Dados!$E:$E,$B139,Dados!$C:$C,INDEX(Q$3,1,1),Dados!$A:$A,INDEX($D:$E,MATCH("F",$D:$D,0),2))=0,"",SUMIFS(Dados!$G:$G,Dados!$E:$E,$B139,Dados!$C:$C,INDEX(Q$3,1,1),Dados!$A:$A,INDEX($D:$E,MATCH("F",$D:$D,0),2))/COUNTIFS(Dados!$E:$E,$B139,Dados!$C:$C,INDEX(Q$3,1,1),Dados!$A:$A,INDEX($D:$E,MATCH("F",$D:$D,0),2)))</f>
        <v/>
      </c>
      <c r="R139" s="66" t="str">
        <f ca="1">IF(COUNTIFS(Dados!$E:$E,$B139,Dados!$C:$C,INDEX(R$3,1,1),Dados!$A:$A,INDEX($D:$E,MATCH("F",$D:$D,0),2))=0,"",SUMIFS(Dados!$G:$G,Dados!$E:$E,$B139,Dados!$C:$C,INDEX(R$3,1,1),Dados!$A:$A,INDEX($D:$E,MATCH("F",$D:$D,0),2))/COUNTIFS(Dados!$E:$E,$B139,Dados!$C:$C,INDEX(R$3,1,1),Dados!$A:$A,INDEX($D:$E,MATCH("F",$D:$D,0),2)))</f>
        <v/>
      </c>
      <c r="S139" s="66" t="str">
        <f ca="1">IF(COUNTIFS(Dados!$E:$E,$B139,Dados!$C:$C,INDEX(S$3,1,1),Dados!$A:$A,INDEX($D:$E,MATCH("F",$D:$D,0),2))=0,"",SUMIFS(Dados!$G:$G,Dados!$E:$E,$B139,Dados!$C:$C,INDEX(S$3,1,1),Dados!$A:$A,INDEX($D:$E,MATCH("F",$D:$D,0),2))/COUNTIFS(Dados!$E:$E,$B139,Dados!$C:$C,INDEX(S$3,1,1),Dados!$A:$A,INDEX($D:$E,MATCH("F",$D:$D,0),2)))</f>
        <v/>
      </c>
      <c r="T139" s="66" t="str">
        <f ca="1">IF(COUNTIFS(Dados!$E:$E,$B139,Dados!$C:$C,INDEX(T$3,1,1),Dados!$A:$A,INDEX($D:$E,MATCH("F",$D:$D,0),2))=0,"",SUMIFS(Dados!$G:$G,Dados!$E:$E,$B139,Dados!$C:$C,INDEX(T$3,1,1),Dados!$A:$A,INDEX($D:$E,MATCH("F",$D:$D,0),2))/COUNTIFS(Dados!$E:$E,$B139,Dados!$C:$C,INDEX(T$3,1,1),Dados!$A:$A,INDEX($D:$E,MATCH("F",$D:$D,0),2)))</f>
        <v/>
      </c>
      <c r="U139" s="66" t="str">
        <f ca="1">IF(COUNTIFS(Dados!$E:$E,$B139,Dados!$C:$C,INDEX(U$3,1,1),Dados!$A:$A,INDEX($D:$E,MATCH("F",$D:$D,0),2))=0,"",SUMIFS(Dados!$G:$G,Dados!$E:$E,$B139,Dados!$C:$C,INDEX(U$3,1,1),Dados!$A:$A,INDEX($D:$E,MATCH("F",$D:$D,0),2))/COUNTIFS(Dados!$E:$E,$B139,Dados!$C:$C,INDEX(U$3,1,1),Dados!$A:$A,INDEX($D:$E,MATCH("F",$D:$D,0),2)))</f>
        <v/>
      </c>
      <c r="V139" s="66" t="str">
        <f ca="1">IF(COUNTIFS(Dados!$E:$E,$B139,Dados!$C:$C,INDEX(V$3,1,1),Dados!$A:$A,INDEX($D:$E,MATCH("F",$D:$D,0),2))=0,"",SUMIFS(Dados!$G:$G,Dados!$E:$E,$B139,Dados!$C:$C,INDEX(V$3,1,1),Dados!$A:$A,INDEX($D:$E,MATCH("F",$D:$D,0),2))/COUNTIFS(Dados!$E:$E,$B139,Dados!$C:$C,INDEX(V$3,1,1),Dados!$A:$A,INDEX($D:$E,MATCH("F",$D:$D,0),2)))</f>
        <v/>
      </c>
    </row>
    <row r="140" spans="2:22" x14ac:dyDescent="0.25">
      <c r="B140" s="67" t="s">
        <v>898</v>
      </c>
      <c r="C140" s="71">
        <f>VLOOKUP(B140,B4:C22,2,0)</f>
        <v>11</v>
      </c>
      <c r="D140" s="68" t="str">
        <f ca="1">IF(COUNTIFS(Dados!$E:$E,$B140,Dados!$C:$C,INDEX(D$3,1,1),Dados!$A:$A,INDEX($D:$E,MATCH("F",$D:$D,0),2))=0,"",SUMIFS(Dados!$G:$G,Dados!$E:$E,$B140,Dados!$C:$C,INDEX(D$3,1,1),Dados!$A:$A,INDEX($D:$E,MATCH("F",$D:$D,0),2))/COUNTIFS(Dados!$E:$E,$B140,Dados!$C:$C,INDEX(D$3,1,1),Dados!$A:$A,INDEX($D:$E,MATCH("F",$D:$D,0),2)))</f>
        <v/>
      </c>
      <c r="E140" s="68" t="str">
        <f ca="1">IF(COUNTIFS(Dados!$E:$E,$B140,Dados!$C:$C,INDEX(E$3,1,1),Dados!$A:$A,INDEX($D:$E,MATCH("F",$D:$D,0),2))=0,"",SUMIFS(Dados!$G:$G,Dados!$E:$E,$B140,Dados!$C:$C,INDEX(E$3,1,1),Dados!$A:$A,INDEX($D:$E,MATCH("F",$D:$D,0),2))/COUNTIFS(Dados!$E:$E,$B140,Dados!$C:$C,INDEX(E$3,1,1),Dados!$A:$A,INDEX($D:$E,MATCH("F",$D:$D,0),2)))</f>
        <v/>
      </c>
      <c r="F140" s="68" t="str">
        <f ca="1">IF(COUNTIFS(Dados!$E:$E,$B140,Dados!$C:$C,INDEX(F$3,1,1),Dados!$A:$A,INDEX($D:$E,MATCH("F",$D:$D,0),2))=0,"",SUMIFS(Dados!$G:$G,Dados!$E:$E,$B140,Dados!$C:$C,INDEX(F$3,1,1),Dados!$A:$A,INDEX($D:$E,MATCH("F",$D:$D,0),2))/COUNTIFS(Dados!$E:$E,$B140,Dados!$C:$C,INDEX(F$3,1,1),Dados!$A:$A,INDEX($D:$E,MATCH("F",$D:$D,0),2)))</f>
        <v/>
      </c>
      <c r="G140" s="68" t="str">
        <f ca="1">IF(COUNTIFS(Dados!$E:$E,$B140,Dados!$C:$C,INDEX(G$3,1,1),Dados!$A:$A,INDEX($D:$E,MATCH("F",$D:$D,0),2))=0,"",SUMIFS(Dados!$G:$G,Dados!$E:$E,$B140,Dados!$C:$C,INDEX(G$3,1,1),Dados!$A:$A,INDEX($D:$E,MATCH("F",$D:$D,0),2))/COUNTIFS(Dados!$E:$E,$B140,Dados!$C:$C,INDEX(G$3,1,1),Dados!$A:$A,INDEX($D:$E,MATCH("F",$D:$D,0),2)))</f>
        <v/>
      </c>
      <c r="H140" s="68" t="str">
        <f ca="1">IF(COUNTIFS(Dados!$E:$E,$B140,Dados!$C:$C,INDEX(H$3,1,1),Dados!$A:$A,INDEX($D:$E,MATCH("F",$D:$D,0),2))=0,"",SUMIFS(Dados!$G:$G,Dados!$E:$E,$B140,Dados!$C:$C,INDEX(H$3,1,1),Dados!$A:$A,INDEX($D:$E,MATCH("F",$D:$D,0),2))/COUNTIFS(Dados!$E:$E,$B140,Dados!$C:$C,INDEX(H$3,1,1),Dados!$A:$A,INDEX($D:$E,MATCH("F",$D:$D,0),2)))</f>
        <v/>
      </c>
      <c r="I140" s="68" t="str">
        <f ca="1">IF(COUNTIFS(Dados!$E:$E,$B140,Dados!$C:$C,INDEX(I$3,1,1),Dados!$A:$A,INDEX($D:$E,MATCH("F",$D:$D,0),2))=0,"",SUMIFS(Dados!$G:$G,Dados!$E:$E,$B140,Dados!$C:$C,INDEX(I$3,1,1),Dados!$A:$A,INDEX($D:$E,MATCH("F",$D:$D,0),2))/COUNTIFS(Dados!$E:$E,$B140,Dados!$C:$C,INDEX(I$3,1,1),Dados!$A:$A,INDEX($D:$E,MATCH("F",$D:$D,0),2)))</f>
        <v/>
      </c>
      <c r="J140" s="68" t="str">
        <f ca="1">IF(COUNTIFS(Dados!$E:$E,$B140,Dados!$C:$C,INDEX(J$3,1,1),Dados!$A:$A,INDEX($D:$E,MATCH("F",$D:$D,0),2))=0,"",SUMIFS(Dados!$G:$G,Dados!$E:$E,$B140,Dados!$C:$C,INDEX(J$3,1,1),Dados!$A:$A,INDEX($D:$E,MATCH("F",$D:$D,0),2))/COUNTIFS(Dados!$E:$E,$B140,Dados!$C:$C,INDEX(J$3,1,1),Dados!$A:$A,INDEX($D:$E,MATCH("F",$D:$D,0),2)))</f>
        <v/>
      </c>
      <c r="K140" s="68" t="str">
        <f ca="1">IF(COUNTIFS(Dados!$E:$E,$B140,Dados!$C:$C,INDEX(K$3,1,1),Dados!$A:$A,INDEX($D:$E,MATCH("F",$D:$D,0),2))=0,"",SUMIFS(Dados!$G:$G,Dados!$E:$E,$B140,Dados!$C:$C,INDEX(K$3,1,1),Dados!$A:$A,INDEX($D:$E,MATCH("F",$D:$D,0),2))/COUNTIFS(Dados!$E:$E,$B140,Dados!$C:$C,INDEX(K$3,1,1),Dados!$A:$A,INDEX($D:$E,MATCH("F",$D:$D,0),2)))</f>
        <v/>
      </c>
      <c r="L140" s="68" t="str">
        <f ca="1">IF(COUNTIFS(Dados!$E:$E,$B140,Dados!$C:$C,INDEX(L$3,1,1),Dados!$A:$A,INDEX($D:$E,MATCH("F",$D:$D,0),2))=0,"",SUMIFS(Dados!$G:$G,Dados!$E:$E,$B140,Dados!$C:$C,INDEX(L$3,1,1),Dados!$A:$A,INDEX($D:$E,MATCH("F",$D:$D,0),2))/COUNTIFS(Dados!$E:$E,$B140,Dados!$C:$C,INDEX(L$3,1,1),Dados!$A:$A,INDEX($D:$E,MATCH("F",$D:$D,0),2)))</f>
        <v/>
      </c>
      <c r="M140" s="68" t="str">
        <f ca="1">IF(COUNTIFS(Dados!$E:$E,$B140,Dados!$C:$C,INDEX(M$3,1,1),Dados!$A:$A,INDEX($D:$E,MATCH("F",$D:$D,0),2))=0,"",SUMIFS(Dados!$G:$G,Dados!$E:$E,$B140,Dados!$C:$C,INDEX(M$3,1,1),Dados!$A:$A,INDEX($D:$E,MATCH("F",$D:$D,0),2))/COUNTIFS(Dados!$E:$E,$B140,Dados!$C:$C,INDEX(M$3,1,1),Dados!$A:$A,INDEX($D:$E,MATCH("F",$D:$D,0),2)))</f>
        <v/>
      </c>
      <c r="N140" s="68" t="str">
        <f ca="1">IF(COUNTIFS(Dados!$E:$E,$B140,Dados!$C:$C,INDEX(N$3,1,1),Dados!$A:$A,INDEX($D:$E,MATCH("F",$D:$D,0),2))=0,"",SUMIFS(Dados!$G:$G,Dados!$E:$E,$B140,Dados!$C:$C,INDEX(N$3,1,1),Dados!$A:$A,INDEX($D:$E,MATCH("F",$D:$D,0),2))/COUNTIFS(Dados!$E:$E,$B140,Dados!$C:$C,INDEX(N$3,1,1),Dados!$A:$A,INDEX($D:$E,MATCH("F",$D:$D,0),2)))</f>
        <v/>
      </c>
      <c r="O140" s="68" t="str">
        <f ca="1">IF(COUNTIFS(Dados!$E:$E,$B140,Dados!$C:$C,INDEX(O$3,1,1),Dados!$A:$A,INDEX($D:$E,MATCH("F",$D:$D,0),2))=0,"",SUMIFS(Dados!$G:$G,Dados!$E:$E,$B140,Dados!$C:$C,INDEX(O$3,1,1),Dados!$A:$A,INDEX($D:$E,MATCH("F",$D:$D,0),2))/COUNTIFS(Dados!$E:$E,$B140,Dados!$C:$C,INDEX(O$3,1,1),Dados!$A:$A,INDEX($D:$E,MATCH("F",$D:$D,0),2)))</f>
        <v/>
      </c>
      <c r="P140" s="68" t="str">
        <f ca="1">IF(COUNTIFS(Dados!$E:$E,$B140,Dados!$C:$C,INDEX(P$3,1,1),Dados!$A:$A,INDEX($D:$E,MATCH("F",$D:$D,0),2))=0,"",SUMIFS(Dados!$G:$G,Dados!$E:$E,$B140,Dados!$C:$C,INDEX(P$3,1,1),Dados!$A:$A,INDEX($D:$E,MATCH("F",$D:$D,0),2))/COUNTIFS(Dados!$E:$E,$B140,Dados!$C:$C,INDEX(P$3,1,1),Dados!$A:$A,INDEX($D:$E,MATCH("F",$D:$D,0),2)))</f>
        <v/>
      </c>
      <c r="Q140" s="68" t="str">
        <f ca="1">IF(COUNTIFS(Dados!$E:$E,$B140,Dados!$C:$C,INDEX(Q$3,1,1),Dados!$A:$A,INDEX($D:$E,MATCH("F",$D:$D,0),2))=0,"",SUMIFS(Dados!$G:$G,Dados!$E:$E,$B140,Dados!$C:$C,INDEX(Q$3,1,1),Dados!$A:$A,INDEX($D:$E,MATCH("F",$D:$D,0),2))/COUNTIFS(Dados!$E:$E,$B140,Dados!$C:$C,INDEX(Q$3,1,1),Dados!$A:$A,INDEX($D:$E,MATCH("F",$D:$D,0),2)))</f>
        <v/>
      </c>
      <c r="R140" s="68" t="str">
        <f ca="1">IF(COUNTIFS(Dados!$E:$E,$B140,Dados!$C:$C,INDEX(R$3,1,1),Dados!$A:$A,INDEX($D:$E,MATCH("F",$D:$D,0),2))=0,"",SUMIFS(Dados!$G:$G,Dados!$E:$E,$B140,Dados!$C:$C,INDEX(R$3,1,1),Dados!$A:$A,INDEX($D:$E,MATCH("F",$D:$D,0),2))/COUNTIFS(Dados!$E:$E,$B140,Dados!$C:$C,INDEX(R$3,1,1),Dados!$A:$A,INDEX($D:$E,MATCH("F",$D:$D,0),2)))</f>
        <v/>
      </c>
      <c r="S140" s="68" t="str">
        <f ca="1">IF(COUNTIFS(Dados!$E:$E,$B140,Dados!$C:$C,INDEX(S$3,1,1),Dados!$A:$A,INDEX($D:$E,MATCH("F",$D:$D,0),2))=0,"",SUMIFS(Dados!$G:$G,Dados!$E:$E,$B140,Dados!$C:$C,INDEX(S$3,1,1),Dados!$A:$A,INDEX($D:$E,MATCH("F",$D:$D,0),2))/COUNTIFS(Dados!$E:$E,$B140,Dados!$C:$C,INDEX(S$3,1,1),Dados!$A:$A,INDEX($D:$E,MATCH("F",$D:$D,0),2)))</f>
        <v/>
      </c>
      <c r="T140" s="68" t="str">
        <f ca="1">IF(COUNTIFS(Dados!$E:$E,$B140,Dados!$C:$C,INDEX(T$3,1,1),Dados!$A:$A,INDEX($D:$E,MATCH("F",$D:$D,0),2))=0,"",SUMIFS(Dados!$G:$G,Dados!$E:$E,$B140,Dados!$C:$C,INDEX(T$3,1,1),Dados!$A:$A,INDEX($D:$E,MATCH("F",$D:$D,0),2))/COUNTIFS(Dados!$E:$E,$B140,Dados!$C:$C,INDEX(T$3,1,1),Dados!$A:$A,INDEX($D:$E,MATCH("F",$D:$D,0),2)))</f>
        <v/>
      </c>
      <c r="U140" s="68" t="str">
        <f ca="1">IF(COUNTIFS(Dados!$E:$E,$B140,Dados!$C:$C,INDEX(U$3,1,1),Dados!$A:$A,INDEX($D:$E,MATCH("F",$D:$D,0),2))=0,"",SUMIFS(Dados!$G:$G,Dados!$E:$E,$B140,Dados!$C:$C,INDEX(U$3,1,1),Dados!$A:$A,INDEX($D:$E,MATCH("F",$D:$D,0),2))/COUNTIFS(Dados!$E:$E,$B140,Dados!$C:$C,INDEX(U$3,1,1),Dados!$A:$A,INDEX($D:$E,MATCH("F",$D:$D,0),2)))</f>
        <v/>
      </c>
      <c r="V140" s="68" t="str">
        <f ca="1">IF(COUNTIFS(Dados!$E:$E,$B140,Dados!$C:$C,INDEX(V$3,1,1),Dados!$A:$A,INDEX($D:$E,MATCH("F",$D:$D,0),2))=0,"",SUMIFS(Dados!$G:$G,Dados!$E:$E,$B140,Dados!$C:$C,INDEX(V$3,1,1),Dados!$A:$A,INDEX($D:$E,MATCH("F",$D:$D,0),2))/COUNTIFS(Dados!$E:$E,$B140,Dados!$C:$C,INDEX(V$3,1,1),Dados!$A:$A,INDEX($D:$E,MATCH("F",$D:$D,0),2)))</f>
        <v/>
      </c>
    </row>
    <row r="141" spans="2:22" x14ac:dyDescent="0.25">
      <c r="B141" s="65" t="s">
        <v>1301</v>
      </c>
      <c r="C141" s="72">
        <f>VLOOKUP(B141,B4:C22,2,0)</f>
        <v>12</v>
      </c>
      <c r="D141" s="66" t="str">
        <f ca="1">IF(COUNTIFS(Dados!$E:$E,$B141,Dados!$C:$C,INDEX(D$3,1,1),Dados!$A:$A,INDEX($D:$E,MATCH("F",$D:$D,0),2))=0,"",SUMIFS(Dados!$G:$G,Dados!$E:$E,$B141,Dados!$C:$C,INDEX(D$3,1,1),Dados!$A:$A,INDEX($D:$E,MATCH("F",$D:$D,0),2))/COUNTIFS(Dados!$E:$E,$B141,Dados!$C:$C,INDEX(D$3,1,1),Dados!$A:$A,INDEX($D:$E,MATCH("F",$D:$D,0),2)))</f>
        <v/>
      </c>
      <c r="E141" s="66" t="str">
        <f ca="1">IF(COUNTIFS(Dados!$E:$E,$B141,Dados!$C:$C,INDEX(E$3,1,1),Dados!$A:$A,INDEX($D:$E,MATCH("F",$D:$D,0),2))=0,"",SUMIFS(Dados!$G:$G,Dados!$E:$E,$B141,Dados!$C:$C,INDEX(E$3,1,1),Dados!$A:$A,INDEX($D:$E,MATCH("F",$D:$D,0),2))/COUNTIFS(Dados!$E:$E,$B141,Dados!$C:$C,INDEX(E$3,1,1),Dados!$A:$A,INDEX($D:$E,MATCH("F",$D:$D,0),2)))</f>
        <v/>
      </c>
      <c r="F141" s="66" t="str">
        <f ca="1">IF(COUNTIFS(Dados!$E:$E,$B141,Dados!$C:$C,INDEX(F$3,1,1),Dados!$A:$A,INDEX($D:$E,MATCH("F",$D:$D,0),2))=0,"",SUMIFS(Dados!$G:$G,Dados!$E:$E,$B141,Dados!$C:$C,INDEX(F$3,1,1),Dados!$A:$A,INDEX($D:$E,MATCH("F",$D:$D,0),2))/COUNTIFS(Dados!$E:$E,$B141,Dados!$C:$C,INDEX(F$3,1,1),Dados!$A:$A,INDEX($D:$E,MATCH("F",$D:$D,0),2)))</f>
        <v/>
      </c>
      <c r="G141" s="66" t="str">
        <f ca="1">IF(COUNTIFS(Dados!$E:$E,$B141,Dados!$C:$C,INDEX(G$3,1,1),Dados!$A:$A,INDEX($D:$E,MATCH("F",$D:$D,0),2))=0,"",SUMIFS(Dados!$G:$G,Dados!$E:$E,$B141,Dados!$C:$C,INDEX(G$3,1,1),Dados!$A:$A,INDEX($D:$E,MATCH("F",$D:$D,0),2))/COUNTIFS(Dados!$E:$E,$B141,Dados!$C:$C,INDEX(G$3,1,1),Dados!$A:$A,INDEX($D:$E,MATCH("F",$D:$D,0),2)))</f>
        <v/>
      </c>
      <c r="H141" s="66" t="str">
        <f ca="1">IF(COUNTIFS(Dados!$E:$E,$B141,Dados!$C:$C,INDEX(H$3,1,1),Dados!$A:$A,INDEX($D:$E,MATCH("F",$D:$D,0),2))=0,"",SUMIFS(Dados!$G:$G,Dados!$E:$E,$B141,Dados!$C:$C,INDEX(H$3,1,1),Dados!$A:$A,INDEX($D:$E,MATCH("F",$D:$D,0),2))/COUNTIFS(Dados!$E:$E,$B141,Dados!$C:$C,INDEX(H$3,1,1),Dados!$A:$A,INDEX($D:$E,MATCH("F",$D:$D,0),2)))</f>
        <v/>
      </c>
      <c r="I141" s="66" t="str">
        <f ca="1">IF(COUNTIFS(Dados!$E:$E,$B141,Dados!$C:$C,INDEX(I$3,1,1),Dados!$A:$A,INDEX($D:$E,MATCH("F",$D:$D,0),2))=0,"",SUMIFS(Dados!$G:$G,Dados!$E:$E,$B141,Dados!$C:$C,INDEX(I$3,1,1),Dados!$A:$A,INDEX($D:$E,MATCH("F",$D:$D,0),2))/COUNTIFS(Dados!$E:$E,$B141,Dados!$C:$C,INDEX(I$3,1,1),Dados!$A:$A,INDEX($D:$E,MATCH("F",$D:$D,0),2)))</f>
        <v/>
      </c>
      <c r="J141" s="66" t="str">
        <f ca="1">IF(COUNTIFS(Dados!$E:$E,$B141,Dados!$C:$C,INDEX(J$3,1,1),Dados!$A:$A,INDEX($D:$E,MATCH("F",$D:$D,0),2))=0,"",SUMIFS(Dados!$G:$G,Dados!$E:$E,$B141,Dados!$C:$C,INDEX(J$3,1,1),Dados!$A:$A,INDEX($D:$E,MATCH("F",$D:$D,0),2))/COUNTIFS(Dados!$E:$E,$B141,Dados!$C:$C,INDEX(J$3,1,1),Dados!$A:$A,INDEX($D:$E,MATCH("F",$D:$D,0),2)))</f>
        <v/>
      </c>
      <c r="K141" s="66" t="str">
        <f ca="1">IF(COUNTIFS(Dados!$E:$E,$B141,Dados!$C:$C,INDEX(K$3,1,1),Dados!$A:$A,INDEX($D:$E,MATCH("F",$D:$D,0),2))=0,"",SUMIFS(Dados!$G:$G,Dados!$E:$E,$B141,Dados!$C:$C,INDEX(K$3,1,1),Dados!$A:$A,INDEX($D:$E,MATCH("F",$D:$D,0),2))/COUNTIFS(Dados!$E:$E,$B141,Dados!$C:$C,INDEX(K$3,1,1),Dados!$A:$A,INDEX($D:$E,MATCH("F",$D:$D,0),2)))</f>
        <v/>
      </c>
      <c r="L141" s="66" t="str">
        <f ca="1">IF(COUNTIFS(Dados!$E:$E,$B141,Dados!$C:$C,INDEX(L$3,1,1),Dados!$A:$A,INDEX($D:$E,MATCH("F",$D:$D,0),2))=0,"",SUMIFS(Dados!$G:$G,Dados!$E:$E,$B141,Dados!$C:$C,INDEX(L$3,1,1),Dados!$A:$A,INDEX($D:$E,MATCH("F",$D:$D,0),2))/COUNTIFS(Dados!$E:$E,$B141,Dados!$C:$C,INDEX(L$3,1,1),Dados!$A:$A,INDEX($D:$E,MATCH("F",$D:$D,0),2)))</f>
        <v/>
      </c>
      <c r="M141" s="66" t="str">
        <f ca="1">IF(COUNTIFS(Dados!$E:$E,$B141,Dados!$C:$C,INDEX(M$3,1,1),Dados!$A:$A,INDEX($D:$E,MATCH("F",$D:$D,0),2))=0,"",SUMIFS(Dados!$G:$G,Dados!$E:$E,$B141,Dados!$C:$C,INDEX(M$3,1,1),Dados!$A:$A,INDEX($D:$E,MATCH("F",$D:$D,0),2))/COUNTIFS(Dados!$E:$E,$B141,Dados!$C:$C,INDEX(M$3,1,1),Dados!$A:$A,INDEX($D:$E,MATCH("F",$D:$D,0),2)))</f>
        <v/>
      </c>
      <c r="N141" s="66" t="str">
        <f ca="1">IF(COUNTIFS(Dados!$E:$E,$B141,Dados!$C:$C,INDEX(N$3,1,1),Dados!$A:$A,INDEX($D:$E,MATCH("F",$D:$D,0),2))=0,"",SUMIFS(Dados!$G:$G,Dados!$E:$E,$B141,Dados!$C:$C,INDEX(N$3,1,1),Dados!$A:$A,INDEX($D:$E,MATCH("F",$D:$D,0),2))/COUNTIFS(Dados!$E:$E,$B141,Dados!$C:$C,INDEX(N$3,1,1),Dados!$A:$A,INDEX($D:$E,MATCH("F",$D:$D,0),2)))</f>
        <v/>
      </c>
      <c r="O141" s="66" t="str">
        <f ca="1">IF(COUNTIFS(Dados!$E:$E,$B141,Dados!$C:$C,INDEX(O$3,1,1),Dados!$A:$A,INDEX($D:$E,MATCH("F",$D:$D,0),2))=0,"",SUMIFS(Dados!$G:$G,Dados!$E:$E,$B141,Dados!$C:$C,INDEX(O$3,1,1),Dados!$A:$A,INDEX($D:$E,MATCH("F",$D:$D,0),2))/COUNTIFS(Dados!$E:$E,$B141,Dados!$C:$C,INDEX(O$3,1,1),Dados!$A:$A,INDEX($D:$E,MATCH("F",$D:$D,0),2)))</f>
        <v/>
      </c>
      <c r="P141" s="66" t="str">
        <f ca="1">IF(COUNTIFS(Dados!$E:$E,$B141,Dados!$C:$C,INDEX(P$3,1,1),Dados!$A:$A,INDEX($D:$E,MATCH("F",$D:$D,0),2))=0,"",SUMIFS(Dados!$G:$G,Dados!$E:$E,$B141,Dados!$C:$C,INDEX(P$3,1,1),Dados!$A:$A,INDEX($D:$E,MATCH("F",$D:$D,0),2))/COUNTIFS(Dados!$E:$E,$B141,Dados!$C:$C,INDEX(P$3,1,1),Dados!$A:$A,INDEX($D:$E,MATCH("F",$D:$D,0),2)))</f>
        <v/>
      </c>
      <c r="Q141" s="66" t="str">
        <f ca="1">IF(COUNTIFS(Dados!$E:$E,$B141,Dados!$C:$C,INDEX(Q$3,1,1),Dados!$A:$A,INDEX($D:$E,MATCH("F",$D:$D,0),2))=0,"",SUMIFS(Dados!$G:$G,Dados!$E:$E,$B141,Dados!$C:$C,INDEX(Q$3,1,1),Dados!$A:$A,INDEX($D:$E,MATCH("F",$D:$D,0),2))/COUNTIFS(Dados!$E:$E,$B141,Dados!$C:$C,INDEX(Q$3,1,1),Dados!$A:$A,INDEX($D:$E,MATCH("F",$D:$D,0),2)))</f>
        <v/>
      </c>
      <c r="R141" s="66" t="str">
        <f ca="1">IF(COUNTIFS(Dados!$E:$E,$B141,Dados!$C:$C,INDEX(R$3,1,1),Dados!$A:$A,INDEX($D:$E,MATCH("F",$D:$D,0),2))=0,"",SUMIFS(Dados!$G:$G,Dados!$E:$E,$B141,Dados!$C:$C,INDEX(R$3,1,1),Dados!$A:$A,INDEX($D:$E,MATCH("F",$D:$D,0),2))/COUNTIFS(Dados!$E:$E,$B141,Dados!$C:$C,INDEX(R$3,1,1),Dados!$A:$A,INDEX($D:$E,MATCH("F",$D:$D,0),2)))</f>
        <v/>
      </c>
      <c r="S141" s="66" t="str">
        <f ca="1">IF(COUNTIFS(Dados!$E:$E,$B141,Dados!$C:$C,INDEX(S$3,1,1),Dados!$A:$A,INDEX($D:$E,MATCH("F",$D:$D,0),2))=0,"",SUMIFS(Dados!$G:$G,Dados!$E:$E,$B141,Dados!$C:$C,INDEX(S$3,1,1),Dados!$A:$A,INDEX($D:$E,MATCH("F",$D:$D,0),2))/COUNTIFS(Dados!$E:$E,$B141,Dados!$C:$C,INDEX(S$3,1,1),Dados!$A:$A,INDEX($D:$E,MATCH("F",$D:$D,0),2)))</f>
        <v/>
      </c>
      <c r="T141" s="66" t="str">
        <f ca="1">IF(COUNTIFS(Dados!$E:$E,$B141,Dados!$C:$C,INDEX(T$3,1,1),Dados!$A:$A,INDEX($D:$E,MATCH("F",$D:$D,0),2))=0,"",SUMIFS(Dados!$G:$G,Dados!$E:$E,$B141,Dados!$C:$C,INDEX(T$3,1,1),Dados!$A:$A,INDEX($D:$E,MATCH("F",$D:$D,0),2))/COUNTIFS(Dados!$E:$E,$B141,Dados!$C:$C,INDEX(T$3,1,1),Dados!$A:$A,INDEX($D:$E,MATCH("F",$D:$D,0),2)))</f>
        <v/>
      </c>
      <c r="U141" s="66" t="str">
        <f ca="1">IF(COUNTIFS(Dados!$E:$E,$B141,Dados!$C:$C,INDEX(U$3,1,1),Dados!$A:$A,INDEX($D:$E,MATCH("F",$D:$D,0),2))=0,"",SUMIFS(Dados!$G:$G,Dados!$E:$E,$B141,Dados!$C:$C,INDEX(U$3,1,1),Dados!$A:$A,INDEX($D:$E,MATCH("F",$D:$D,0),2))/COUNTIFS(Dados!$E:$E,$B141,Dados!$C:$C,INDEX(U$3,1,1),Dados!$A:$A,INDEX($D:$E,MATCH("F",$D:$D,0),2)))</f>
        <v/>
      </c>
      <c r="V141" s="66" t="str">
        <f ca="1">IF(COUNTIFS(Dados!$E:$E,$B141,Dados!$C:$C,INDEX(V$3,1,1),Dados!$A:$A,INDEX($D:$E,MATCH("F",$D:$D,0),2))=0,"",SUMIFS(Dados!$G:$G,Dados!$E:$E,$B141,Dados!$C:$C,INDEX(V$3,1,1),Dados!$A:$A,INDEX($D:$E,MATCH("F",$D:$D,0),2))/COUNTIFS(Dados!$E:$E,$B141,Dados!$C:$C,INDEX(V$3,1,1),Dados!$A:$A,INDEX($D:$E,MATCH("F",$D:$D,0),2)))</f>
        <v/>
      </c>
    </row>
    <row r="142" spans="2:22" x14ac:dyDescent="0.25">
      <c r="B142" s="67" t="s">
        <v>1302</v>
      </c>
      <c r="C142" s="71">
        <f>VLOOKUP(B142,B4:C22,2,0)</f>
        <v>13</v>
      </c>
      <c r="D142" s="68" t="str">
        <f ca="1">IF(COUNTIFS(Dados!$E:$E,$B142,Dados!$C:$C,INDEX(D$3,1,1),Dados!$A:$A,INDEX($D:$E,MATCH("F",$D:$D,0),2))=0,"",SUMIFS(Dados!$G:$G,Dados!$E:$E,$B142,Dados!$C:$C,INDEX(D$3,1,1),Dados!$A:$A,INDEX($D:$E,MATCH("F",$D:$D,0),2))/COUNTIFS(Dados!$E:$E,$B142,Dados!$C:$C,INDEX(D$3,1,1),Dados!$A:$A,INDEX($D:$E,MATCH("F",$D:$D,0),2)))</f>
        <v/>
      </c>
      <c r="E142" s="68" t="str">
        <f ca="1">IF(COUNTIFS(Dados!$E:$E,$B142,Dados!$C:$C,INDEX(E$3,1,1),Dados!$A:$A,INDEX($D:$E,MATCH("F",$D:$D,0),2))=0,"",SUMIFS(Dados!$G:$G,Dados!$E:$E,$B142,Dados!$C:$C,INDEX(E$3,1,1),Dados!$A:$A,INDEX($D:$E,MATCH("F",$D:$D,0),2))/COUNTIFS(Dados!$E:$E,$B142,Dados!$C:$C,INDEX(E$3,1,1),Dados!$A:$A,INDEX($D:$E,MATCH("F",$D:$D,0),2)))</f>
        <v/>
      </c>
      <c r="F142" s="68" t="str">
        <f ca="1">IF(COUNTIFS(Dados!$E:$E,$B142,Dados!$C:$C,INDEX(F$3,1,1),Dados!$A:$A,INDEX($D:$E,MATCH("F",$D:$D,0),2))=0,"",SUMIFS(Dados!$G:$G,Dados!$E:$E,$B142,Dados!$C:$C,INDEX(F$3,1,1),Dados!$A:$A,INDEX($D:$E,MATCH("F",$D:$D,0),2))/COUNTIFS(Dados!$E:$E,$B142,Dados!$C:$C,INDEX(F$3,1,1),Dados!$A:$A,INDEX($D:$E,MATCH("F",$D:$D,0),2)))</f>
        <v/>
      </c>
      <c r="G142" s="68" t="str">
        <f ca="1">IF(COUNTIFS(Dados!$E:$E,$B142,Dados!$C:$C,INDEX(G$3,1,1),Dados!$A:$A,INDEX($D:$E,MATCH("F",$D:$D,0),2))=0,"",SUMIFS(Dados!$G:$G,Dados!$E:$E,$B142,Dados!$C:$C,INDEX(G$3,1,1),Dados!$A:$A,INDEX($D:$E,MATCH("F",$D:$D,0),2))/COUNTIFS(Dados!$E:$E,$B142,Dados!$C:$C,INDEX(G$3,1,1),Dados!$A:$A,INDEX($D:$E,MATCH("F",$D:$D,0),2)))</f>
        <v/>
      </c>
      <c r="H142" s="68" t="str">
        <f ca="1">IF(COUNTIFS(Dados!$E:$E,$B142,Dados!$C:$C,INDEX(H$3,1,1),Dados!$A:$A,INDEX($D:$E,MATCH("F",$D:$D,0),2))=0,"",SUMIFS(Dados!$G:$G,Dados!$E:$E,$B142,Dados!$C:$C,INDEX(H$3,1,1),Dados!$A:$A,INDEX($D:$E,MATCH("F",$D:$D,0),2))/COUNTIFS(Dados!$E:$E,$B142,Dados!$C:$C,INDEX(H$3,1,1),Dados!$A:$A,INDEX($D:$E,MATCH("F",$D:$D,0),2)))</f>
        <v/>
      </c>
      <c r="I142" s="68" t="str">
        <f ca="1">IF(COUNTIFS(Dados!$E:$E,$B142,Dados!$C:$C,INDEX(I$3,1,1),Dados!$A:$A,INDEX($D:$E,MATCH("F",$D:$D,0),2))=0,"",SUMIFS(Dados!$G:$G,Dados!$E:$E,$B142,Dados!$C:$C,INDEX(I$3,1,1),Dados!$A:$A,INDEX($D:$E,MATCH("F",$D:$D,0),2))/COUNTIFS(Dados!$E:$E,$B142,Dados!$C:$C,INDEX(I$3,1,1),Dados!$A:$A,INDEX($D:$E,MATCH("F",$D:$D,0),2)))</f>
        <v/>
      </c>
      <c r="J142" s="68" t="str">
        <f ca="1">IF(COUNTIFS(Dados!$E:$E,$B142,Dados!$C:$C,INDEX(J$3,1,1),Dados!$A:$A,INDEX($D:$E,MATCH("F",$D:$D,0),2))=0,"",SUMIFS(Dados!$G:$G,Dados!$E:$E,$B142,Dados!$C:$C,INDEX(J$3,1,1),Dados!$A:$A,INDEX($D:$E,MATCH("F",$D:$D,0),2))/COUNTIFS(Dados!$E:$E,$B142,Dados!$C:$C,INDEX(J$3,1,1),Dados!$A:$A,INDEX($D:$E,MATCH("F",$D:$D,0),2)))</f>
        <v/>
      </c>
      <c r="K142" s="68" t="str">
        <f ca="1">IF(COUNTIFS(Dados!$E:$E,$B142,Dados!$C:$C,INDEX(K$3,1,1),Dados!$A:$A,INDEX($D:$E,MATCH("F",$D:$D,0),2))=0,"",SUMIFS(Dados!$G:$G,Dados!$E:$E,$B142,Dados!$C:$C,INDEX(K$3,1,1),Dados!$A:$A,INDEX($D:$E,MATCH("F",$D:$D,0),2))/COUNTIFS(Dados!$E:$E,$B142,Dados!$C:$C,INDEX(K$3,1,1),Dados!$A:$A,INDEX($D:$E,MATCH("F",$D:$D,0),2)))</f>
        <v/>
      </c>
      <c r="L142" s="68" t="str">
        <f ca="1">IF(COUNTIFS(Dados!$E:$E,$B142,Dados!$C:$C,INDEX(L$3,1,1),Dados!$A:$A,INDEX($D:$E,MATCH("F",$D:$D,0),2))=0,"",SUMIFS(Dados!$G:$G,Dados!$E:$E,$B142,Dados!$C:$C,INDEX(L$3,1,1),Dados!$A:$A,INDEX($D:$E,MATCH("F",$D:$D,0),2))/COUNTIFS(Dados!$E:$E,$B142,Dados!$C:$C,INDEX(L$3,1,1),Dados!$A:$A,INDEX($D:$E,MATCH("F",$D:$D,0),2)))</f>
        <v/>
      </c>
      <c r="M142" s="68" t="str">
        <f ca="1">IF(COUNTIFS(Dados!$E:$E,$B142,Dados!$C:$C,INDEX(M$3,1,1),Dados!$A:$A,INDEX($D:$E,MATCH("F",$D:$D,0),2))=0,"",SUMIFS(Dados!$G:$G,Dados!$E:$E,$B142,Dados!$C:$C,INDEX(M$3,1,1),Dados!$A:$A,INDEX($D:$E,MATCH("F",$D:$D,0),2))/COUNTIFS(Dados!$E:$E,$B142,Dados!$C:$C,INDEX(M$3,1,1),Dados!$A:$A,INDEX($D:$E,MATCH("F",$D:$D,0),2)))</f>
        <v/>
      </c>
      <c r="N142" s="68" t="str">
        <f ca="1">IF(COUNTIFS(Dados!$E:$E,$B142,Dados!$C:$C,INDEX(N$3,1,1),Dados!$A:$A,INDEX($D:$E,MATCH("F",$D:$D,0),2))=0,"",SUMIFS(Dados!$G:$G,Dados!$E:$E,$B142,Dados!$C:$C,INDEX(N$3,1,1),Dados!$A:$A,INDEX($D:$E,MATCH("F",$D:$D,0),2))/COUNTIFS(Dados!$E:$E,$B142,Dados!$C:$C,INDEX(N$3,1,1),Dados!$A:$A,INDEX($D:$E,MATCH("F",$D:$D,0),2)))</f>
        <v/>
      </c>
      <c r="O142" s="68" t="str">
        <f ca="1">IF(COUNTIFS(Dados!$E:$E,$B142,Dados!$C:$C,INDEX(O$3,1,1),Dados!$A:$A,INDEX($D:$E,MATCH("F",$D:$D,0),2))=0,"",SUMIFS(Dados!$G:$G,Dados!$E:$E,$B142,Dados!$C:$C,INDEX(O$3,1,1),Dados!$A:$A,INDEX($D:$E,MATCH("F",$D:$D,0),2))/COUNTIFS(Dados!$E:$E,$B142,Dados!$C:$C,INDEX(O$3,1,1),Dados!$A:$A,INDEX($D:$E,MATCH("F",$D:$D,0),2)))</f>
        <v/>
      </c>
      <c r="P142" s="68" t="str">
        <f ca="1">IF(COUNTIFS(Dados!$E:$E,$B142,Dados!$C:$C,INDEX(P$3,1,1),Dados!$A:$A,INDEX($D:$E,MATCH("F",$D:$D,0),2))=0,"",SUMIFS(Dados!$G:$G,Dados!$E:$E,$B142,Dados!$C:$C,INDEX(P$3,1,1),Dados!$A:$A,INDEX($D:$E,MATCH("F",$D:$D,0),2))/COUNTIFS(Dados!$E:$E,$B142,Dados!$C:$C,INDEX(P$3,1,1),Dados!$A:$A,INDEX($D:$E,MATCH("F",$D:$D,0),2)))</f>
        <v/>
      </c>
      <c r="Q142" s="68" t="str">
        <f ca="1">IF(COUNTIFS(Dados!$E:$E,$B142,Dados!$C:$C,INDEX(Q$3,1,1),Dados!$A:$A,INDEX($D:$E,MATCH("F",$D:$D,0),2))=0,"",SUMIFS(Dados!$G:$G,Dados!$E:$E,$B142,Dados!$C:$C,INDEX(Q$3,1,1),Dados!$A:$A,INDEX($D:$E,MATCH("F",$D:$D,0),2))/COUNTIFS(Dados!$E:$E,$B142,Dados!$C:$C,INDEX(Q$3,1,1),Dados!$A:$A,INDEX($D:$E,MATCH("F",$D:$D,0),2)))</f>
        <v/>
      </c>
      <c r="R142" s="68" t="str">
        <f ca="1">IF(COUNTIFS(Dados!$E:$E,$B142,Dados!$C:$C,INDEX(R$3,1,1),Dados!$A:$A,INDEX($D:$E,MATCH("F",$D:$D,0),2))=0,"",SUMIFS(Dados!$G:$G,Dados!$E:$E,$B142,Dados!$C:$C,INDEX(R$3,1,1),Dados!$A:$A,INDEX($D:$E,MATCH("F",$D:$D,0),2))/COUNTIFS(Dados!$E:$E,$B142,Dados!$C:$C,INDEX(R$3,1,1),Dados!$A:$A,INDEX($D:$E,MATCH("F",$D:$D,0),2)))</f>
        <v/>
      </c>
      <c r="S142" s="68" t="str">
        <f ca="1">IF(COUNTIFS(Dados!$E:$E,$B142,Dados!$C:$C,INDEX(S$3,1,1),Dados!$A:$A,INDEX($D:$E,MATCH("F",$D:$D,0),2))=0,"",SUMIFS(Dados!$G:$G,Dados!$E:$E,$B142,Dados!$C:$C,INDEX(S$3,1,1),Dados!$A:$A,INDEX($D:$E,MATCH("F",$D:$D,0),2))/COUNTIFS(Dados!$E:$E,$B142,Dados!$C:$C,INDEX(S$3,1,1),Dados!$A:$A,INDEX($D:$E,MATCH("F",$D:$D,0),2)))</f>
        <v/>
      </c>
      <c r="T142" s="68" t="str">
        <f ca="1">IF(COUNTIFS(Dados!$E:$E,$B142,Dados!$C:$C,INDEX(T$3,1,1),Dados!$A:$A,INDEX($D:$E,MATCH("F",$D:$D,0),2))=0,"",SUMIFS(Dados!$G:$G,Dados!$E:$E,$B142,Dados!$C:$C,INDEX(T$3,1,1),Dados!$A:$A,INDEX($D:$E,MATCH("F",$D:$D,0),2))/COUNTIFS(Dados!$E:$E,$B142,Dados!$C:$C,INDEX(T$3,1,1),Dados!$A:$A,INDEX($D:$E,MATCH("F",$D:$D,0),2)))</f>
        <v/>
      </c>
      <c r="U142" s="68" t="str">
        <f ca="1">IF(COUNTIFS(Dados!$E:$E,$B142,Dados!$C:$C,INDEX(U$3,1,1),Dados!$A:$A,INDEX($D:$E,MATCH("F",$D:$D,0),2))=0,"",SUMIFS(Dados!$G:$G,Dados!$E:$E,$B142,Dados!$C:$C,INDEX(U$3,1,1),Dados!$A:$A,INDEX($D:$E,MATCH("F",$D:$D,0),2))/COUNTIFS(Dados!$E:$E,$B142,Dados!$C:$C,INDEX(U$3,1,1),Dados!$A:$A,INDEX($D:$E,MATCH("F",$D:$D,0),2)))</f>
        <v/>
      </c>
      <c r="V142" s="68" t="str">
        <f ca="1">IF(COUNTIFS(Dados!$E:$E,$B142,Dados!$C:$C,INDEX(V$3,1,1),Dados!$A:$A,INDEX($D:$E,MATCH("F",$D:$D,0),2))=0,"",SUMIFS(Dados!$G:$G,Dados!$E:$E,$B142,Dados!$C:$C,INDEX(V$3,1,1),Dados!$A:$A,INDEX($D:$E,MATCH("F",$D:$D,0),2))/COUNTIFS(Dados!$E:$E,$B142,Dados!$C:$C,INDEX(V$3,1,1),Dados!$A:$A,INDEX($D:$E,MATCH("F",$D:$D,0),2)))</f>
        <v/>
      </c>
    </row>
    <row r="143" spans="2:22" x14ac:dyDescent="0.25">
      <c r="B143" s="65" t="s">
        <v>1296</v>
      </c>
      <c r="C143" s="72">
        <f>VLOOKUP(B143,B4:C22,2,0)</f>
        <v>14</v>
      </c>
      <c r="D143" s="66" t="str">
        <f ca="1">IF(COUNTIFS(Dados!$E:$E,$B143,Dados!$C:$C,INDEX(D$3,1,1),Dados!$A:$A,INDEX($D:$E,MATCH("F",$D:$D,0),2))=0,"",SUMIFS(Dados!$G:$G,Dados!$E:$E,$B143,Dados!$C:$C,INDEX(D$3,1,1),Dados!$A:$A,INDEX($D:$E,MATCH("F",$D:$D,0),2))/COUNTIFS(Dados!$E:$E,$B143,Dados!$C:$C,INDEX(D$3,1,1),Dados!$A:$A,INDEX($D:$E,MATCH("F",$D:$D,0),2)))</f>
        <v/>
      </c>
      <c r="E143" s="66" t="str">
        <f ca="1">IF(COUNTIFS(Dados!$E:$E,$B143,Dados!$C:$C,INDEX(E$3,1,1),Dados!$A:$A,INDEX($D:$E,MATCH("F",$D:$D,0),2))=0,"",SUMIFS(Dados!$G:$G,Dados!$E:$E,$B143,Dados!$C:$C,INDEX(E$3,1,1),Dados!$A:$A,INDEX($D:$E,MATCH("F",$D:$D,0),2))/COUNTIFS(Dados!$E:$E,$B143,Dados!$C:$C,INDEX(E$3,1,1),Dados!$A:$A,INDEX($D:$E,MATCH("F",$D:$D,0),2)))</f>
        <v/>
      </c>
      <c r="F143" s="66" t="str">
        <f ca="1">IF(COUNTIFS(Dados!$E:$E,$B143,Dados!$C:$C,INDEX(F$3,1,1),Dados!$A:$A,INDEX($D:$E,MATCH("F",$D:$D,0),2))=0,"",SUMIFS(Dados!$G:$G,Dados!$E:$E,$B143,Dados!$C:$C,INDEX(F$3,1,1),Dados!$A:$A,INDEX($D:$E,MATCH("F",$D:$D,0),2))/COUNTIFS(Dados!$E:$E,$B143,Dados!$C:$C,INDEX(F$3,1,1),Dados!$A:$A,INDEX($D:$E,MATCH("F",$D:$D,0),2)))</f>
        <v/>
      </c>
      <c r="G143" s="66" t="str">
        <f ca="1">IF(COUNTIFS(Dados!$E:$E,$B143,Dados!$C:$C,INDEX(G$3,1,1),Dados!$A:$A,INDEX($D:$E,MATCH("F",$D:$D,0),2))=0,"",SUMIFS(Dados!$G:$G,Dados!$E:$E,$B143,Dados!$C:$C,INDEX(G$3,1,1),Dados!$A:$A,INDEX($D:$E,MATCH("F",$D:$D,0),2))/COUNTIFS(Dados!$E:$E,$B143,Dados!$C:$C,INDEX(G$3,1,1),Dados!$A:$A,INDEX($D:$E,MATCH("F",$D:$D,0),2)))</f>
        <v/>
      </c>
      <c r="H143" s="66" t="str">
        <f ca="1">IF(COUNTIFS(Dados!$E:$E,$B143,Dados!$C:$C,INDEX(H$3,1,1),Dados!$A:$A,INDEX($D:$E,MATCH("F",$D:$D,0),2))=0,"",SUMIFS(Dados!$G:$G,Dados!$E:$E,$B143,Dados!$C:$C,INDEX(H$3,1,1),Dados!$A:$A,INDEX($D:$E,MATCH("F",$D:$D,0),2))/COUNTIFS(Dados!$E:$E,$B143,Dados!$C:$C,INDEX(H$3,1,1),Dados!$A:$A,INDEX($D:$E,MATCH("F",$D:$D,0),2)))</f>
        <v/>
      </c>
      <c r="I143" s="66" t="str">
        <f ca="1">IF(COUNTIFS(Dados!$E:$E,$B143,Dados!$C:$C,INDEX(I$3,1,1),Dados!$A:$A,INDEX($D:$E,MATCH("F",$D:$D,0),2))=0,"",SUMIFS(Dados!$G:$G,Dados!$E:$E,$B143,Dados!$C:$C,INDEX(I$3,1,1),Dados!$A:$A,INDEX($D:$E,MATCH("F",$D:$D,0),2))/COUNTIFS(Dados!$E:$E,$B143,Dados!$C:$C,INDEX(I$3,1,1),Dados!$A:$A,INDEX($D:$E,MATCH("F",$D:$D,0),2)))</f>
        <v/>
      </c>
      <c r="J143" s="66" t="str">
        <f ca="1">IF(COUNTIFS(Dados!$E:$E,$B143,Dados!$C:$C,INDEX(J$3,1,1),Dados!$A:$A,INDEX($D:$E,MATCH("F",$D:$D,0),2))=0,"",SUMIFS(Dados!$G:$G,Dados!$E:$E,$B143,Dados!$C:$C,INDEX(J$3,1,1),Dados!$A:$A,INDEX($D:$E,MATCH("F",$D:$D,0),2))/COUNTIFS(Dados!$E:$E,$B143,Dados!$C:$C,INDEX(J$3,1,1),Dados!$A:$A,INDEX($D:$E,MATCH("F",$D:$D,0),2)))</f>
        <v/>
      </c>
      <c r="K143" s="66" t="str">
        <f ca="1">IF(COUNTIFS(Dados!$E:$E,$B143,Dados!$C:$C,INDEX(K$3,1,1),Dados!$A:$A,INDEX($D:$E,MATCH("F",$D:$D,0),2))=0,"",SUMIFS(Dados!$G:$G,Dados!$E:$E,$B143,Dados!$C:$C,INDEX(K$3,1,1),Dados!$A:$A,INDEX($D:$E,MATCH("F",$D:$D,0),2))/COUNTIFS(Dados!$E:$E,$B143,Dados!$C:$C,INDEX(K$3,1,1),Dados!$A:$A,INDEX($D:$E,MATCH("F",$D:$D,0),2)))</f>
        <v/>
      </c>
      <c r="L143" s="66" t="str">
        <f ca="1">IF(COUNTIFS(Dados!$E:$E,$B143,Dados!$C:$C,INDEX(L$3,1,1),Dados!$A:$A,INDEX($D:$E,MATCH("F",$D:$D,0),2))=0,"",SUMIFS(Dados!$G:$G,Dados!$E:$E,$B143,Dados!$C:$C,INDEX(L$3,1,1),Dados!$A:$A,INDEX($D:$E,MATCH("F",$D:$D,0),2))/COUNTIFS(Dados!$E:$E,$B143,Dados!$C:$C,INDEX(L$3,1,1),Dados!$A:$A,INDEX($D:$E,MATCH("F",$D:$D,0),2)))</f>
        <v/>
      </c>
      <c r="M143" s="66" t="str">
        <f ca="1">IF(COUNTIFS(Dados!$E:$E,$B143,Dados!$C:$C,INDEX(M$3,1,1),Dados!$A:$A,INDEX($D:$E,MATCH("F",$D:$D,0),2))=0,"",SUMIFS(Dados!$G:$G,Dados!$E:$E,$B143,Dados!$C:$C,INDEX(M$3,1,1),Dados!$A:$A,INDEX($D:$E,MATCH("F",$D:$D,0),2))/COUNTIFS(Dados!$E:$E,$B143,Dados!$C:$C,INDEX(M$3,1,1),Dados!$A:$A,INDEX($D:$E,MATCH("F",$D:$D,0),2)))</f>
        <v/>
      </c>
      <c r="N143" s="66" t="str">
        <f ca="1">IF(COUNTIFS(Dados!$E:$E,$B143,Dados!$C:$C,INDEX(N$3,1,1),Dados!$A:$A,INDEX($D:$E,MATCH("F",$D:$D,0),2))=0,"",SUMIFS(Dados!$G:$G,Dados!$E:$E,$B143,Dados!$C:$C,INDEX(N$3,1,1),Dados!$A:$A,INDEX($D:$E,MATCH("F",$D:$D,0),2))/COUNTIFS(Dados!$E:$E,$B143,Dados!$C:$C,INDEX(N$3,1,1),Dados!$A:$A,INDEX($D:$E,MATCH("F",$D:$D,0),2)))</f>
        <v/>
      </c>
      <c r="O143" s="66" t="str">
        <f ca="1">IF(COUNTIFS(Dados!$E:$E,$B143,Dados!$C:$C,INDEX(O$3,1,1),Dados!$A:$A,INDEX($D:$E,MATCH("F",$D:$D,0),2))=0,"",SUMIFS(Dados!$G:$G,Dados!$E:$E,$B143,Dados!$C:$C,INDEX(O$3,1,1),Dados!$A:$A,INDEX($D:$E,MATCH("F",$D:$D,0),2))/COUNTIFS(Dados!$E:$E,$B143,Dados!$C:$C,INDEX(O$3,1,1),Dados!$A:$A,INDEX($D:$E,MATCH("F",$D:$D,0),2)))</f>
        <v/>
      </c>
      <c r="P143" s="66" t="str">
        <f ca="1">IF(COUNTIFS(Dados!$E:$E,$B143,Dados!$C:$C,INDEX(P$3,1,1),Dados!$A:$A,INDEX($D:$E,MATCH("F",$D:$D,0),2))=0,"",SUMIFS(Dados!$G:$G,Dados!$E:$E,$B143,Dados!$C:$C,INDEX(P$3,1,1),Dados!$A:$A,INDEX($D:$E,MATCH("F",$D:$D,0),2))/COUNTIFS(Dados!$E:$E,$B143,Dados!$C:$C,INDEX(P$3,1,1),Dados!$A:$A,INDEX($D:$E,MATCH("F",$D:$D,0),2)))</f>
        <v/>
      </c>
      <c r="Q143" s="66" t="str">
        <f ca="1">IF(COUNTIFS(Dados!$E:$E,$B143,Dados!$C:$C,INDEX(Q$3,1,1),Dados!$A:$A,INDEX($D:$E,MATCH("F",$D:$D,0),2))=0,"",SUMIFS(Dados!$G:$G,Dados!$E:$E,$B143,Dados!$C:$C,INDEX(Q$3,1,1),Dados!$A:$A,INDEX($D:$E,MATCH("F",$D:$D,0),2))/COUNTIFS(Dados!$E:$E,$B143,Dados!$C:$C,INDEX(Q$3,1,1),Dados!$A:$A,INDEX($D:$E,MATCH("F",$D:$D,0),2)))</f>
        <v/>
      </c>
      <c r="R143" s="66" t="str">
        <f ca="1">IF(COUNTIFS(Dados!$E:$E,$B143,Dados!$C:$C,INDEX(R$3,1,1),Dados!$A:$A,INDEX($D:$E,MATCH("F",$D:$D,0),2))=0,"",SUMIFS(Dados!$G:$G,Dados!$E:$E,$B143,Dados!$C:$C,INDEX(R$3,1,1),Dados!$A:$A,INDEX($D:$E,MATCH("F",$D:$D,0),2))/COUNTIFS(Dados!$E:$E,$B143,Dados!$C:$C,INDEX(R$3,1,1),Dados!$A:$A,INDEX($D:$E,MATCH("F",$D:$D,0),2)))</f>
        <v/>
      </c>
      <c r="S143" s="66" t="str">
        <f ca="1">IF(COUNTIFS(Dados!$E:$E,$B143,Dados!$C:$C,INDEX(S$3,1,1),Dados!$A:$A,INDEX($D:$E,MATCH("F",$D:$D,0),2))=0,"",SUMIFS(Dados!$G:$G,Dados!$E:$E,$B143,Dados!$C:$C,INDEX(S$3,1,1),Dados!$A:$A,INDEX($D:$E,MATCH("F",$D:$D,0),2))/COUNTIFS(Dados!$E:$E,$B143,Dados!$C:$C,INDEX(S$3,1,1),Dados!$A:$A,INDEX($D:$E,MATCH("F",$D:$D,0),2)))</f>
        <v/>
      </c>
      <c r="T143" s="66" t="str">
        <f ca="1">IF(COUNTIFS(Dados!$E:$E,$B143,Dados!$C:$C,INDEX(T$3,1,1),Dados!$A:$A,INDEX($D:$E,MATCH("F",$D:$D,0),2))=0,"",SUMIFS(Dados!$G:$G,Dados!$E:$E,$B143,Dados!$C:$C,INDEX(T$3,1,1),Dados!$A:$A,INDEX($D:$E,MATCH("F",$D:$D,0),2))/COUNTIFS(Dados!$E:$E,$B143,Dados!$C:$C,INDEX(T$3,1,1),Dados!$A:$A,INDEX($D:$E,MATCH("F",$D:$D,0),2)))</f>
        <v/>
      </c>
      <c r="U143" s="66" t="str">
        <f ca="1">IF(COUNTIFS(Dados!$E:$E,$B143,Dados!$C:$C,INDEX(U$3,1,1),Dados!$A:$A,INDEX($D:$E,MATCH("F",$D:$D,0),2))=0,"",SUMIFS(Dados!$G:$G,Dados!$E:$E,$B143,Dados!$C:$C,INDEX(U$3,1,1),Dados!$A:$A,INDEX($D:$E,MATCH("F",$D:$D,0),2))/COUNTIFS(Dados!$E:$E,$B143,Dados!$C:$C,INDEX(U$3,1,1),Dados!$A:$A,INDEX($D:$E,MATCH("F",$D:$D,0),2)))</f>
        <v/>
      </c>
      <c r="V143" s="66" t="str">
        <f ca="1">IF(COUNTIFS(Dados!$E:$E,$B143,Dados!$C:$C,INDEX(V$3,1,1),Dados!$A:$A,INDEX($D:$E,MATCH("F",$D:$D,0),2))=0,"",SUMIFS(Dados!$G:$G,Dados!$E:$E,$B143,Dados!$C:$C,INDEX(V$3,1,1),Dados!$A:$A,INDEX($D:$E,MATCH("F",$D:$D,0),2))/COUNTIFS(Dados!$E:$E,$B143,Dados!$C:$C,INDEX(V$3,1,1),Dados!$A:$A,INDEX($D:$E,MATCH("F",$D:$D,0),2)))</f>
        <v/>
      </c>
    </row>
    <row r="144" spans="2:22" x14ac:dyDescent="0.25">
      <c r="B144" s="67" t="s">
        <v>33</v>
      </c>
      <c r="C144" s="71">
        <f>VLOOKUP(B144,B4:C22,2,0)</f>
        <v>15</v>
      </c>
      <c r="D144" s="68" t="str">
        <f ca="1">IF(COUNTIFS(Dados!$E:$E,$B144,Dados!$C:$C,INDEX(D$3,1,1),Dados!$A:$A,INDEX($D:$E,MATCH("F",$D:$D,0),2))=0,"",SUMIFS(Dados!$G:$G,Dados!$E:$E,$B144,Dados!$C:$C,INDEX(D$3,1,1),Dados!$A:$A,INDEX($D:$E,MATCH("F",$D:$D,0),2))/COUNTIFS(Dados!$E:$E,$B144,Dados!$C:$C,INDEX(D$3,1,1),Dados!$A:$A,INDEX($D:$E,MATCH("F",$D:$D,0),2)))</f>
        <v/>
      </c>
      <c r="E144" s="68" t="str">
        <f ca="1">IF(COUNTIFS(Dados!$E:$E,$B144,Dados!$C:$C,INDEX(E$3,1,1),Dados!$A:$A,INDEX($D:$E,MATCH("F",$D:$D,0),2))=0,"",SUMIFS(Dados!$G:$G,Dados!$E:$E,$B144,Dados!$C:$C,INDEX(E$3,1,1),Dados!$A:$A,INDEX($D:$E,MATCH("F",$D:$D,0),2))/COUNTIFS(Dados!$E:$E,$B144,Dados!$C:$C,INDEX(E$3,1,1),Dados!$A:$A,INDEX($D:$E,MATCH("F",$D:$D,0),2)))</f>
        <v/>
      </c>
      <c r="F144" s="68" t="str">
        <f ca="1">IF(COUNTIFS(Dados!$E:$E,$B144,Dados!$C:$C,INDEX(F$3,1,1),Dados!$A:$A,INDEX($D:$E,MATCH("F",$D:$D,0),2))=0,"",SUMIFS(Dados!$G:$G,Dados!$E:$E,$B144,Dados!$C:$C,INDEX(F$3,1,1),Dados!$A:$A,INDEX($D:$E,MATCH("F",$D:$D,0),2))/COUNTIFS(Dados!$E:$E,$B144,Dados!$C:$C,INDEX(F$3,1,1),Dados!$A:$A,INDEX($D:$E,MATCH("F",$D:$D,0),2)))</f>
        <v/>
      </c>
      <c r="G144" s="68" t="str">
        <f ca="1">IF(COUNTIFS(Dados!$E:$E,$B144,Dados!$C:$C,INDEX(G$3,1,1),Dados!$A:$A,INDEX($D:$E,MATCH("F",$D:$D,0),2))=0,"",SUMIFS(Dados!$G:$G,Dados!$E:$E,$B144,Dados!$C:$C,INDEX(G$3,1,1),Dados!$A:$A,INDEX($D:$E,MATCH("F",$D:$D,0),2))/COUNTIFS(Dados!$E:$E,$B144,Dados!$C:$C,INDEX(G$3,1,1),Dados!$A:$A,INDEX($D:$E,MATCH("F",$D:$D,0),2)))</f>
        <v/>
      </c>
      <c r="H144" s="68" t="str">
        <f ca="1">IF(COUNTIFS(Dados!$E:$E,$B144,Dados!$C:$C,INDEX(H$3,1,1),Dados!$A:$A,INDEX($D:$E,MATCH("F",$D:$D,0),2))=0,"",SUMIFS(Dados!$G:$G,Dados!$E:$E,$B144,Dados!$C:$C,INDEX(H$3,1,1),Dados!$A:$A,INDEX($D:$E,MATCH("F",$D:$D,0),2))/COUNTIFS(Dados!$E:$E,$B144,Dados!$C:$C,INDEX(H$3,1,1),Dados!$A:$A,INDEX($D:$E,MATCH("F",$D:$D,0),2)))</f>
        <v/>
      </c>
      <c r="I144" s="68" t="str">
        <f ca="1">IF(COUNTIFS(Dados!$E:$E,$B144,Dados!$C:$C,INDEX(I$3,1,1),Dados!$A:$A,INDEX($D:$E,MATCH("F",$D:$D,0),2))=0,"",SUMIFS(Dados!$G:$G,Dados!$E:$E,$B144,Dados!$C:$C,INDEX(I$3,1,1),Dados!$A:$A,INDEX($D:$E,MATCH("F",$D:$D,0),2))/COUNTIFS(Dados!$E:$E,$B144,Dados!$C:$C,INDEX(I$3,1,1),Dados!$A:$A,INDEX($D:$E,MATCH("F",$D:$D,0),2)))</f>
        <v/>
      </c>
      <c r="J144" s="68" t="str">
        <f ca="1">IF(COUNTIFS(Dados!$E:$E,$B144,Dados!$C:$C,INDEX(J$3,1,1),Dados!$A:$A,INDEX($D:$E,MATCH("F",$D:$D,0),2))=0,"",SUMIFS(Dados!$G:$G,Dados!$E:$E,$B144,Dados!$C:$C,INDEX(J$3,1,1),Dados!$A:$A,INDEX($D:$E,MATCH("F",$D:$D,0),2))/COUNTIFS(Dados!$E:$E,$B144,Dados!$C:$C,INDEX(J$3,1,1),Dados!$A:$A,INDEX($D:$E,MATCH("F",$D:$D,0),2)))</f>
        <v/>
      </c>
      <c r="K144" s="68" t="str">
        <f ca="1">IF(COUNTIFS(Dados!$E:$E,$B144,Dados!$C:$C,INDEX(K$3,1,1),Dados!$A:$A,INDEX($D:$E,MATCH("F",$D:$D,0),2))=0,"",SUMIFS(Dados!$G:$G,Dados!$E:$E,$B144,Dados!$C:$C,INDEX(K$3,1,1),Dados!$A:$A,INDEX($D:$E,MATCH("F",$D:$D,0),2))/COUNTIFS(Dados!$E:$E,$B144,Dados!$C:$C,INDEX(K$3,1,1),Dados!$A:$A,INDEX($D:$E,MATCH("F",$D:$D,0),2)))</f>
        <v/>
      </c>
      <c r="L144" s="68" t="str">
        <f ca="1">IF(COUNTIFS(Dados!$E:$E,$B144,Dados!$C:$C,INDEX(L$3,1,1),Dados!$A:$A,INDEX($D:$E,MATCH("F",$D:$D,0),2))=0,"",SUMIFS(Dados!$G:$G,Dados!$E:$E,$B144,Dados!$C:$C,INDEX(L$3,1,1),Dados!$A:$A,INDEX($D:$E,MATCH("F",$D:$D,0),2))/COUNTIFS(Dados!$E:$E,$B144,Dados!$C:$C,INDEX(L$3,1,1),Dados!$A:$A,INDEX($D:$E,MATCH("F",$D:$D,0),2)))</f>
        <v/>
      </c>
      <c r="M144" s="68" t="str">
        <f ca="1">IF(COUNTIFS(Dados!$E:$E,$B144,Dados!$C:$C,INDEX(M$3,1,1),Dados!$A:$A,INDEX($D:$E,MATCH("F",$D:$D,0),2))=0,"",SUMIFS(Dados!$G:$G,Dados!$E:$E,$B144,Dados!$C:$C,INDEX(M$3,1,1),Dados!$A:$A,INDEX($D:$E,MATCH("F",$D:$D,0),2))/COUNTIFS(Dados!$E:$E,$B144,Dados!$C:$C,INDEX(M$3,1,1),Dados!$A:$A,INDEX($D:$E,MATCH("F",$D:$D,0),2)))</f>
        <v/>
      </c>
      <c r="N144" s="68" t="str">
        <f ca="1">IF(COUNTIFS(Dados!$E:$E,$B144,Dados!$C:$C,INDEX(N$3,1,1),Dados!$A:$A,INDEX($D:$E,MATCH("F",$D:$D,0),2))=0,"",SUMIFS(Dados!$G:$G,Dados!$E:$E,$B144,Dados!$C:$C,INDEX(N$3,1,1),Dados!$A:$A,INDEX($D:$E,MATCH("F",$D:$D,0),2))/COUNTIFS(Dados!$E:$E,$B144,Dados!$C:$C,INDEX(N$3,1,1),Dados!$A:$A,INDEX($D:$E,MATCH("F",$D:$D,0),2)))</f>
        <v/>
      </c>
      <c r="O144" s="68" t="str">
        <f ca="1">IF(COUNTIFS(Dados!$E:$E,$B144,Dados!$C:$C,INDEX(O$3,1,1),Dados!$A:$A,INDEX($D:$E,MATCH("F",$D:$D,0),2))=0,"",SUMIFS(Dados!$G:$G,Dados!$E:$E,$B144,Dados!$C:$C,INDEX(O$3,1,1),Dados!$A:$A,INDEX($D:$E,MATCH("F",$D:$D,0),2))/COUNTIFS(Dados!$E:$E,$B144,Dados!$C:$C,INDEX(O$3,1,1),Dados!$A:$A,INDEX($D:$E,MATCH("F",$D:$D,0),2)))</f>
        <v/>
      </c>
      <c r="P144" s="68" t="str">
        <f ca="1">IF(COUNTIFS(Dados!$E:$E,$B144,Dados!$C:$C,INDEX(P$3,1,1),Dados!$A:$A,INDEX($D:$E,MATCH("F",$D:$D,0),2))=0,"",SUMIFS(Dados!$G:$G,Dados!$E:$E,$B144,Dados!$C:$C,INDEX(P$3,1,1),Dados!$A:$A,INDEX($D:$E,MATCH("F",$D:$D,0),2))/COUNTIFS(Dados!$E:$E,$B144,Dados!$C:$C,INDEX(P$3,1,1),Dados!$A:$A,INDEX($D:$E,MATCH("F",$D:$D,0),2)))</f>
        <v/>
      </c>
      <c r="Q144" s="68" t="str">
        <f ca="1">IF(COUNTIFS(Dados!$E:$E,$B144,Dados!$C:$C,INDEX(Q$3,1,1),Dados!$A:$A,INDEX($D:$E,MATCH("F",$D:$D,0),2))=0,"",SUMIFS(Dados!$G:$G,Dados!$E:$E,$B144,Dados!$C:$C,INDEX(Q$3,1,1),Dados!$A:$A,INDEX($D:$E,MATCH("F",$D:$D,0),2))/COUNTIFS(Dados!$E:$E,$B144,Dados!$C:$C,INDEX(Q$3,1,1),Dados!$A:$A,INDEX($D:$E,MATCH("F",$D:$D,0),2)))</f>
        <v/>
      </c>
      <c r="R144" s="68" t="str">
        <f ca="1">IF(COUNTIFS(Dados!$E:$E,$B144,Dados!$C:$C,INDEX(R$3,1,1),Dados!$A:$A,INDEX($D:$E,MATCH("F",$D:$D,0),2))=0,"",SUMIFS(Dados!$G:$G,Dados!$E:$E,$B144,Dados!$C:$C,INDEX(R$3,1,1),Dados!$A:$A,INDEX($D:$E,MATCH("F",$D:$D,0),2))/COUNTIFS(Dados!$E:$E,$B144,Dados!$C:$C,INDEX(R$3,1,1),Dados!$A:$A,INDEX($D:$E,MATCH("F",$D:$D,0),2)))</f>
        <v/>
      </c>
      <c r="S144" s="68" t="str">
        <f ca="1">IF(COUNTIFS(Dados!$E:$E,$B144,Dados!$C:$C,INDEX(S$3,1,1),Dados!$A:$A,INDEX($D:$E,MATCH("F",$D:$D,0),2))=0,"",SUMIFS(Dados!$G:$G,Dados!$E:$E,$B144,Dados!$C:$C,INDEX(S$3,1,1),Dados!$A:$A,INDEX($D:$E,MATCH("F",$D:$D,0),2))/COUNTIFS(Dados!$E:$E,$B144,Dados!$C:$C,INDEX(S$3,1,1),Dados!$A:$A,INDEX($D:$E,MATCH("F",$D:$D,0),2)))</f>
        <v/>
      </c>
      <c r="T144" s="68" t="str">
        <f ca="1">IF(COUNTIFS(Dados!$E:$E,$B144,Dados!$C:$C,INDEX(T$3,1,1),Dados!$A:$A,INDEX($D:$E,MATCH("F",$D:$D,0),2))=0,"",SUMIFS(Dados!$G:$G,Dados!$E:$E,$B144,Dados!$C:$C,INDEX(T$3,1,1),Dados!$A:$A,INDEX($D:$E,MATCH("F",$D:$D,0),2))/COUNTIFS(Dados!$E:$E,$B144,Dados!$C:$C,INDEX(T$3,1,1),Dados!$A:$A,INDEX($D:$E,MATCH("F",$D:$D,0),2)))</f>
        <v/>
      </c>
      <c r="U144" s="68" t="str">
        <f ca="1">IF(COUNTIFS(Dados!$E:$E,$B144,Dados!$C:$C,INDEX(U$3,1,1),Dados!$A:$A,INDEX($D:$E,MATCH("F",$D:$D,0),2))=0,"",SUMIFS(Dados!$G:$G,Dados!$E:$E,$B144,Dados!$C:$C,INDEX(U$3,1,1),Dados!$A:$A,INDEX($D:$E,MATCH("F",$D:$D,0),2))/COUNTIFS(Dados!$E:$E,$B144,Dados!$C:$C,INDEX(U$3,1,1),Dados!$A:$A,INDEX($D:$E,MATCH("F",$D:$D,0),2)))</f>
        <v/>
      </c>
      <c r="V144" s="68" t="str">
        <f ca="1">IF(COUNTIFS(Dados!$E:$E,$B144,Dados!$C:$C,INDEX(V$3,1,1),Dados!$A:$A,INDEX($D:$E,MATCH("F",$D:$D,0),2))=0,"",SUMIFS(Dados!$G:$G,Dados!$E:$E,$B144,Dados!$C:$C,INDEX(V$3,1,1),Dados!$A:$A,INDEX($D:$E,MATCH("F",$D:$D,0),2))/COUNTIFS(Dados!$E:$E,$B144,Dados!$C:$C,INDEX(V$3,1,1),Dados!$A:$A,INDEX($D:$E,MATCH("F",$D:$D,0),2)))</f>
        <v/>
      </c>
    </row>
    <row r="145" spans="2:22" x14ac:dyDescent="0.25">
      <c r="B145" s="65" t="s">
        <v>1299</v>
      </c>
      <c r="C145" s="72">
        <f>VLOOKUP(B145,B4:C22,2,0)</f>
        <v>16</v>
      </c>
      <c r="D145" s="66" t="str">
        <f ca="1">IF(COUNTIFS(Dados!$E:$E,$B145,Dados!$C:$C,INDEX(D$3,1,1),Dados!$A:$A,INDEX($D:$E,MATCH("F",$D:$D,0),2))=0,"",SUMIFS(Dados!$G:$G,Dados!$E:$E,$B145,Dados!$C:$C,INDEX(D$3,1,1),Dados!$A:$A,INDEX($D:$E,MATCH("F",$D:$D,0),2))/COUNTIFS(Dados!$E:$E,$B145,Dados!$C:$C,INDEX(D$3,1,1),Dados!$A:$A,INDEX($D:$E,MATCH("F",$D:$D,0),2)))</f>
        <v/>
      </c>
      <c r="E145" s="66" t="str">
        <f ca="1">IF(COUNTIFS(Dados!$E:$E,$B145,Dados!$C:$C,INDEX(E$3,1,1),Dados!$A:$A,INDEX($D:$E,MATCH("F",$D:$D,0),2))=0,"",SUMIFS(Dados!$G:$G,Dados!$E:$E,$B145,Dados!$C:$C,INDEX(E$3,1,1),Dados!$A:$A,INDEX($D:$E,MATCH("F",$D:$D,0),2))/COUNTIFS(Dados!$E:$E,$B145,Dados!$C:$C,INDEX(E$3,1,1),Dados!$A:$A,INDEX($D:$E,MATCH("F",$D:$D,0),2)))</f>
        <v/>
      </c>
      <c r="F145" s="66" t="str">
        <f ca="1">IF(COUNTIFS(Dados!$E:$E,$B145,Dados!$C:$C,INDEX(F$3,1,1),Dados!$A:$A,INDEX($D:$E,MATCH("F",$D:$D,0),2))=0,"",SUMIFS(Dados!$G:$G,Dados!$E:$E,$B145,Dados!$C:$C,INDEX(F$3,1,1),Dados!$A:$A,INDEX($D:$E,MATCH("F",$D:$D,0),2))/COUNTIFS(Dados!$E:$E,$B145,Dados!$C:$C,INDEX(F$3,1,1),Dados!$A:$A,INDEX($D:$E,MATCH("F",$D:$D,0),2)))</f>
        <v/>
      </c>
      <c r="G145" s="66" t="str">
        <f ca="1">IF(COUNTIFS(Dados!$E:$E,$B145,Dados!$C:$C,INDEX(G$3,1,1),Dados!$A:$A,INDEX($D:$E,MATCH("F",$D:$D,0),2))=0,"",SUMIFS(Dados!$G:$G,Dados!$E:$E,$B145,Dados!$C:$C,INDEX(G$3,1,1),Dados!$A:$A,INDEX($D:$E,MATCH("F",$D:$D,0),2))/COUNTIFS(Dados!$E:$E,$B145,Dados!$C:$C,INDEX(G$3,1,1),Dados!$A:$A,INDEX($D:$E,MATCH("F",$D:$D,0),2)))</f>
        <v/>
      </c>
      <c r="H145" s="66" t="str">
        <f ca="1">IF(COUNTIFS(Dados!$E:$E,$B145,Dados!$C:$C,INDEX(H$3,1,1),Dados!$A:$A,INDEX($D:$E,MATCH("F",$D:$D,0),2))=0,"",SUMIFS(Dados!$G:$G,Dados!$E:$E,$B145,Dados!$C:$C,INDEX(H$3,1,1),Dados!$A:$A,INDEX($D:$E,MATCH("F",$D:$D,0),2))/COUNTIFS(Dados!$E:$E,$B145,Dados!$C:$C,INDEX(H$3,1,1),Dados!$A:$A,INDEX($D:$E,MATCH("F",$D:$D,0),2)))</f>
        <v/>
      </c>
      <c r="I145" s="66" t="str">
        <f ca="1">IF(COUNTIFS(Dados!$E:$E,$B145,Dados!$C:$C,INDEX(I$3,1,1),Dados!$A:$A,INDEX($D:$E,MATCH("F",$D:$D,0),2))=0,"",SUMIFS(Dados!$G:$G,Dados!$E:$E,$B145,Dados!$C:$C,INDEX(I$3,1,1),Dados!$A:$A,INDEX($D:$E,MATCH("F",$D:$D,0),2))/COUNTIFS(Dados!$E:$E,$B145,Dados!$C:$C,INDEX(I$3,1,1),Dados!$A:$A,INDEX($D:$E,MATCH("F",$D:$D,0),2)))</f>
        <v/>
      </c>
      <c r="J145" s="66" t="str">
        <f ca="1">IF(COUNTIFS(Dados!$E:$E,$B145,Dados!$C:$C,INDEX(J$3,1,1),Dados!$A:$A,INDEX($D:$E,MATCH("F",$D:$D,0),2))=0,"",SUMIFS(Dados!$G:$G,Dados!$E:$E,$B145,Dados!$C:$C,INDEX(J$3,1,1),Dados!$A:$A,INDEX($D:$E,MATCH("F",$D:$D,0),2))/COUNTIFS(Dados!$E:$E,$B145,Dados!$C:$C,INDEX(J$3,1,1),Dados!$A:$A,INDEX($D:$E,MATCH("F",$D:$D,0),2)))</f>
        <v/>
      </c>
      <c r="K145" s="66" t="str">
        <f ca="1">IF(COUNTIFS(Dados!$E:$E,$B145,Dados!$C:$C,INDEX(K$3,1,1),Dados!$A:$A,INDEX($D:$E,MATCH("F",$D:$D,0),2))=0,"",SUMIFS(Dados!$G:$G,Dados!$E:$E,$B145,Dados!$C:$C,INDEX(K$3,1,1),Dados!$A:$A,INDEX($D:$E,MATCH("F",$D:$D,0),2))/COUNTIFS(Dados!$E:$E,$B145,Dados!$C:$C,INDEX(K$3,1,1),Dados!$A:$A,INDEX($D:$E,MATCH("F",$D:$D,0),2)))</f>
        <v/>
      </c>
      <c r="L145" s="66" t="str">
        <f ca="1">IF(COUNTIFS(Dados!$E:$E,$B145,Dados!$C:$C,INDEX(L$3,1,1),Dados!$A:$A,INDEX($D:$E,MATCH("F",$D:$D,0),2))=0,"",SUMIFS(Dados!$G:$G,Dados!$E:$E,$B145,Dados!$C:$C,INDEX(L$3,1,1),Dados!$A:$A,INDEX($D:$E,MATCH("F",$D:$D,0),2))/COUNTIFS(Dados!$E:$E,$B145,Dados!$C:$C,INDEX(L$3,1,1),Dados!$A:$A,INDEX($D:$E,MATCH("F",$D:$D,0),2)))</f>
        <v/>
      </c>
      <c r="M145" s="66" t="str">
        <f ca="1">IF(COUNTIFS(Dados!$E:$E,$B145,Dados!$C:$C,INDEX(M$3,1,1),Dados!$A:$A,INDEX($D:$E,MATCH("F",$D:$D,0),2))=0,"",SUMIFS(Dados!$G:$G,Dados!$E:$E,$B145,Dados!$C:$C,INDEX(M$3,1,1),Dados!$A:$A,INDEX($D:$E,MATCH("F",$D:$D,0),2))/COUNTIFS(Dados!$E:$E,$B145,Dados!$C:$C,INDEX(M$3,1,1),Dados!$A:$A,INDEX($D:$E,MATCH("F",$D:$D,0),2)))</f>
        <v/>
      </c>
      <c r="N145" s="66" t="str">
        <f ca="1">IF(COUNTIFS(Dados!$E:$E,$B145,Dados!$C:$C,INDEX(N$3,1,1),Dados!$A:$A,INDEX($D:$E,MATCH("F",$D:$D,0),2))=0,"",SUMIFS(Dados!$G:$G,Dados!$E:$E,$B145,Dados!$C:$C,INDEX(N$3,1,1),Dados!$A:$A,INDEX($D:$E,MATCH("F",$D:$D,0),2))/COUNTIFS(Dados!$E:$E,$B145,Dados!$C:$C,INDEX(N$3,1,1),Dados!$A:$A,INDEX($D:$E,MATCH("F",$D:$D,0),2)))</f>
        <v/>
      </c>
      <c r="O145" s="66" t="str">
        <f ca="1">IF(COUNTIFS(Dados!$E:$E,$B145,Dados!$C:$C,INDEX(O$3,1,1),Dados!$A:$A,INDEX($D:$E,MATCH("F",$D:$D,0),2))=0,"",SUMIFS(Dados!$G:$G,Dados!$E:$E,$B145,Dados!$C:$C,INDEX(O$3,1,1),Dados!$A:$A,INDEX($D:$E,MATCH("F",$D:$D,0),2))/COUNTIFS(Dados!$E:$E,$B145,Dados!$C:$C,INDEX(O$3,1,1),Dados!$A:$A,INDEX($D:$E,MATCH("F",$D:$D,0),2)))</f>
        <v/>
      </c>
      <c r="P145" s="66" t="str">
        <f ca="1">IF(COUNTIFS(Dados!$E:$E,$B145,Dados!$C:$C,INDEX(P$3,1,1),Dados!$A:$A,INDEX($D:$E,MATCH("F",$D:$D,0),2))=0,"",SUMIFS(Dados!$G:$G,Dados!$E:$E,$B145,Dados!$C:$C,INDEX(P$3,1,1),Dados!$A:$A,INDEX($D:$E,MATCH("F",$D:$D,0),2))/COUNTIFS(Dados!$E:$E,$B145,Dados!$C:$C,INDEX(P$3,1,1),Dados!$A:$A,INDEX($D:$E,MATCH("F",$D:$D,0),2)))</f>
        <v/>
      </c>
      <c r="Q145" s="66" t="str">
        <f ca="1">IF(COUNTIFS(Dados!$E:$E,$B145,Dados!$C:$C,INDEX(Q$3,1,1),Dados!$A:$A,INDEX($D:$E,MATCH("F",$D:$D,0),2))=0,"",SUMIFS(Dados!$G:$G,Dados!$E:$E,$B145,Dados!$C:$C,INDEX(Q$3,1,1),Dados!$A:$A,INDEX($D:$E,MATCH("F",$D:$D,0),2))/COUNTIFS(Dados!$E:$E,$B145,Dados!$C:$C,INDEX(Q$3,1,1),Dados!$A:$A,INDEX($D:$E,MATCH("F",$D:$D,0),2)))</f>
        <v/>
      </c>
      <c r="R145" s="66" t="str">
        <f ca="1">IF(COUNTIFS(Dados!$E:$E,$B145,Dados!$C:$C,INDEX(R$3,1,1),Dados!$A:$A,INDEX($D:$E,MATCH("F",$D:$D,0),2))=0,"",SUMIFS(Dados!$G:$G,Dados!$E:$E,$B145,Dados!$C:$C,INDEX(R$3,1,1),Dados!$A:$A,INDEX($D:$E,MATCH("F",$D:$D,0),2))/COUNTIFS(Dados!$E:$E,$B145,Dados!$C:$C,INDEX(R$3,1,1),Dados!$A:$A,INDEX($D:$E,MATCH("F",$D:$D,0),2)))</f>
        <v/>
      </c>
      <c r="S145" s="66" t="str">
        <f ca="1">IF(COUNTIFS(Dados!$E:$E,$B145,Dados!$C:$C,INDEX(S$3,1,1),Dados!$A:$A,INDEX($D:$E,MATCH("F",$D:$D,0),2))=0,"",SUMIFS(Dados!$G:$G,Dados!$E:$E,$B145,Dados!$C:$C,INDEX(S$3,1,1),Dados!$A:$A,INDEX($D:$E,MATCH("F",$D:$D,0),2))/COUNTIFS(Dados!$E:$E,$B145,Dados!$C:$C,INDEX(S$3,1,1),Dados!$A:$A,INDEX($D:$E,MATCH("F",$D:$D,0),2)))</f>
        <v/>
      </c>
      <c r="T145" s="66" t="str">
        <f ca="1">IF(COUNTIFS(Dados!$E:$E,$B145,Dados!$C:$C,INDEX(T$3,1,1),Dados!$A:$A,INDEX($D:$E,MATCH("F",$D:$D,0),2))=0,"",SUMIFS(Dados!$G:$G,Dados!$E:$E,$B145,Dados!$C:$C,INDEX(T$3,1,1),Dados!$A:$A,INDEX($D:$E,MATCH("F",$D:$D,0),2))/COUNTIFS(Dados!$E:$E,$B145,Dados!$C:$C,INDEX(T$3,1,1),Dados!$A:$A,INDEX($D:$E,MATCH("F",$D:$D,0),2)))</f>
        <v/>
      </c>
      <c r="U145" s="66" t="str">
        <f ca="1">IF(COUNTIFS(Dados!$E:$E,$B145,Dados!$C:$C,INDEX(U$3,1,1),Dados!$A:$A,INDEX($D:$E,MATCH("F",$D:$D,0),2))=0,"",SUMIFS(Dados!$G:$G,Dados!$E:$E,$B145,Dados!$C:$C,INDEX(U$3,1,1),Dados!$A:$A,INDEX($D:$E,MATCH("F",$D:$D,0),2))/COUNTIFS(Dados!$E:$E,$B145,Dados!$C:$C,INDEX(U$3,1,1),Dados!$A:$A,INDEX($D:$E,MATCH("F",$D:$D,0),2)))</f>
        <v/>
      </c>
      <c r="V145" s="66" t="str">
        <f ca="1">IF(COUNTIFS(Dados!$E:$E,$B145,Dados!$C:$C,INDEX(V$3,1,1),Dados!$A:$A,INDEX($D:$E,MATCH("F",$D:$D,0),2))=0,"",SUMIFS(Dados!$G:$G,Dados!$E:$E,$B145,Dados!$C:$C,INDEX(V$3,1,1),Dados!$A:$A,INDEX($D:$E,MATCH("F",$D:$D,0),2))/COUNTIFS(Dados!$E:$E,$B145,Dados!$C:$C,INDEX(V$3,1,1),Dados!$A:$A,INDEX($D:$E,MATCH("F",$D:$D,0),2)))</f>
        <v/>
      </c>
    </row>
    <row r="146" spans="2:22" x14ac:dyDescent="0.25">
      <c r="B146" s="67" t="s">
        <v>374</v>
      </c>
      <c r="C146" s="71">
        <f>VLOOKUP(B146,B4:C22,2,0)</f>
        <v>17</v>
      </c>
      <c r="D146" s="68" t="str">
        <f ca="1">IF(COUNTIFS(Dados!$E:$E,$B146,Dados!$C:$C,INDEX(D$3,1,1),Dados!$A:$A,INDEX($D:$E,MATCH("F",$D:$D,0),2))=0,"",SUMIFS(Dados!$G:$G,Dados!$E:$E,$B146,Dados!$C:$C,INDEX(D$3,1,1),Dados!$A:$A,INDEX($D:$E,MATCH("F",$D:$D,0),2))/COUNTIFS(Dados!$E:$E,$B146,Dados!$C:$C,INDEX(D$3,1,1),Dados!$A:$A,INDEX($D:$E,MATCH("F",$D:$D,0),2)))</f>
        <v/>
      </c>
      <c r="E146" s="68" t="str">
        <f ca="1">IF(COUNTIFS(Dados!$E:$E,$B146,Dados!$C:$C,INDEX(E$3,1,1),Dados!$A:$A,INDEX($D:$E,MATCH("F",$D:$D,0),2))=0,"",SUMIFS(Dados!$G:$G,Dados!$E:$E,$B146,Dados!$C:$C,INDEX(E$3,1,1),Dados!$A:$A,INDEX($D:$E,MATCH("F",$D:$D,0),2))/COUNTIFS(Dados!$E:$E,$B146,Dados!$C:$C,INDEX(E$3,1,1),Dados!$A:$A,INDEX($D:$E,MATCH("F",$D:$D,0),2)))</f>
        <v/>
      </c>
      <c r="F146" s="68" t="str">
        <f ca="1">IF(COUNTIFS(Dados!$E:$E,$B146,Dados!$C:$C,INDEX(F$3,1,1),Dados!$A:$A,INDEX($D:$E,MATCH("F",$D:$D,0),2))=0,"",SUMIFS(Dados!$G:$G,Dados!$E:$E,$B146,Dados!$C:$C,INDEX(F$3,1,1),Dados!$A:$A,INDEX($D:$E,MATCH("F",$D:$D,0),2))/COUNTIFS(Dados!$E:$E,$B146,Dados!$C:$C,INDEX(F$3,1,1),Dados!$A:$A,INDEX($D:$E,MATCH("F",$D:$D,0),2)))</f>
        <v/>
      </c>
      <c r="G146" s="68" t="str">
        <f ca="1">IF(COUNTIFS(Dados!$E:$E,$B146,Dados!$C:$C,INDEX(G$3,1,1),Dados!$A:$A,INDEX($D:$E,MATCH("F",$D:$D,0),2))=0,"",SUMIFS(Dados!$G:$G,Dados!$E:$E,$B146,Dados!$C:$C,INDEX(G$3,1,1),Dados!$A:$A,INDEX($D:$E,MATCH("F",$D:$D,0),2))/COUNTIFS(Dados!$E:$E,$B146,Dados!$C:$C,INDEX(G$3,1,1),Dados!$A:$A,INDEX($D:$E,MATCH("F",$D:$D,0),2)))</f>
        <v/>
      </c>
      <c r="H146" s="68" t="str">
        <f ca="1">IF(COUNTIFS(Dados!$E:$E,$B146,Dados!$C:$C,INDEX(H$3,1,1),Dados!$A:$A,INDEX($D:$E,MATCH("F",$D:$D,0),2))=0,"",SUMIFS(Dados!$G:$G,Dados!$E:$E,$B146,Dados!$C:$C,INDEX(H$3,1,1),Dados!$A:$A,INDEX($D:$E,MATCH("F",$D:$D,0),2))/COUNTIFS(Dados!$E:$E,$B146,Dados!$C:$C,INDEX(H$3,1,1),Dados!$A:$A,INDEX($D:$E,MATCH("F",$D:$D,0),2)))</f>
        <v/>
      </c>
      <c r="I146" s="68" t="str">
        <f ca="1">IF(COUNTIFS(Dados!$E:$E,$B146,Dados!$C:$C,INDEX(I$3,1,1),Dados!$A:$A,INDEX($D:$E,MATCH("F",$D:$D,0),2))=0,"",SUMIFS(Dados!$G:$G,Dados!$E:$E,$B146,Dados!$C:$C,INDEX(I$3,1,1),Dados!$A:$A,INDEX($D:$E,MATCH("F",$D:$D,0),2))/COUNTIFS(Dados!$E:$E,$B146,Dados!$C:$C,INDEX(I$3,1,1),Dados!$A:$A,INDEX($D:$E,MATCH("F",$D:$D,0),2)))</f>
        <v/>
      </c>
      <c r="J146" s="68" t="str">
        <f ca="1">IF(COUNTIFS(Dados!$E:$E,$B146,Dados!$C:$C,INDEX(J$3,1,1),Dados!$A:$A,INDEX($D:$E,MATCH("F",$D:$D,0),2))=0,"",SUMIFS(Dados!$G:$G,Dados!$E:$E,$B146,Dados!$C:$C,INDEX(J$3,1,1),Dados!$A:$A,INDEX($D:$E,MATCH("F",$D:$D,0),2))/COUNTIFS(Dados!$E:$E,$B146,Dados!$C:$C,INDEX(J$3,1,1),Dados!$A:$A,INDEX($D:$E,MATCH("F",$D:$D,0),2)))</f>
        <v/>
      </c>
      <c r="K146" s="68" t="str">
        <f ca="1">IF(COUNTIFS(Dados!$E:$E,$B146,Dados!$C:$C,INDEX(K$3,1,1),Dados!$A:$A,INDEX($D:$E,MATCH("F",$D:$D,0),2))=0,"",SUMIFS(Dados!$G:$G,Dados!$E:$E,$B146,Dados!$C:$C,INDEX(K$3,1,1),Dados!$A:$A,INDEX($D:$E,MATCH("F",$D:$D,0),2))/COUNTIFS(Dados!$E:$E,$B146,Dados!$C:$C,INDEX(K$3,1,1),Dados!$A:$A,INDEX($D:$E,MATCH("F",$D:$D,0),2)))</f>
        <v/>
      </c>
      <c r="L146" s="68" t="str">
        <f ca="1">IF(COUNTIFS(Dados!$E:$E,$B146,Dados!$C:$C,INDEX(L$3,1,1),Dados!$A:$A,INDEX($D:$E,MATCH("F",$D:$D,0),2))=0,"",SUMIFS(Dados!$G:$G,Dados!$E:$E,$B146,Dados!$C:$C,INDEX(L$3,1,1),Dados!$A:$A,INDEX($D:$E,MATCH("F",$D:$D,0),2))/COUNTIFS(Dados!$E:$E,$B146,Dados!$C:$C,INDEX(L$3,1,1),Dados!$A:$A,INDEX($D:$E,MATCH("F",$D:$D,0),2)))</f>
        <v/>
      </c>
      <c r="M146" s="68" t="str">
        <f ca="1">IF(COUNTIFS(Dados!$E:$E,$B146,Dados!$C:$C,INDEX(M$3,1,1),Dados!$A:$A,INDEX($D:$E,MATCH("F",$D:$D,0),2))=0,"",SUMIFS(Dados!$G:$G,Dados!$E:$E,$B146,Dados!$C:$C,INDEX(M$3,1,1),Dados!$A:$A,INDEX($D:$E,MATCH("F",$D:$D,0),2))/COUNTIFS(Dados!$E:$E,$B146,Dados!$C:$C,INDEX(M$3,1,1),Dados!$A:$A,INDEX($D:$E,MATCH("F",$D:$D,0),2)))</f>
        <v/>
      </c>
      <c r="N146" s="68" t="str">
        <f ca="1">IF(COUNTIFS(Dados!$E:$E,$B146,Dados!$C:$C,INDEX(N$3,1,1),Dados!$A:$A,INDEX($D:$E,MATCH("F",$D:$D,0),2))=0,"",SUMIFS(Dados!$G:$G,Dados!$E:$E,$B146,Dados!$C:$C,INDEX(N$3,1,1),Dados!$A:$A,INDEX($D:$E,MATCH("F",$D:$D,0),2))/COUNTIFS(Dados!$E:$E,$B146,Dados!$C:$C,INDEX(N$3,1,1),Dados!$A:$A,INDEX($D:$E,MATCH("F",$D:$D,0),2)))</f>
        <v/>
      </c>
      <c r="O146" s="68" t="str">
        <f ca="1">IF(COUNTIFS(Dados!$E:$E,$B146,Dados!$C:$C,INDEX(O$3,1,1),Dados!$A:$A,INDEX($D:$E,MATCH("F",$D:$D,0),2))=0,"",SUMIFS(Dados!$G:$G,Dados!$E:$E,$B146,Dados!$C:$C,INDEX(O$3,1,1),Dados!$A:$A,INDEX($D:$E,MATCH("F",$D:$D,0),2))/COUNTIFS(Dados!$E:$E,$B146,Dados!$C:$C,INDEX(O$3,1,1),Dados!$A:$A,INDEX($D:$E,MATCH("F",$D:$D,0),2)))</f>
        <v/>
      </c>
      <c r="P146" s="68" t="str">
        <f ca="1">IF(COUNTIFS(Dados!$E:$E,$B146,Dados!$C:$C,INDEX(P$3,1,1),Dados!$A:$A,INDEX($D:$E,MATCH("F",$D:$D,0),2))=0,"",SUMIFS(Dados!$G:$G,Dados!$E:$E,$B146,Dados!$C:$C,INDEX(P$3,1,1),Dados!$A:$A,INDEX($D:$E,MATCH("F",$D:$D,0),2))/COUNTIFS(Dados!$E:$E,$B146,Dados!$C:$C,INDEX(P$3,1,1),Dados!$A:$A,INDEX($D:$E,MATCH("F",$D:$D,0),2)))</f>
        <v/>
      </c>
      <c r="Q146" s="68" t="str">
        <f ca="1">IF(COUNTIFS(Dados!$E:$E,$B146,Dados!$C:$C,INDEX(Q$3,1,1),Dados!$A:$A,INDEX($D:$E,MATCH("F",$D:$D,0),2))=0,"",SUMIFS(Dados!$G:$G,Dados!$E:$E,$B146,Dados!$C:$C,INDEX(Q$3,1,1),Dados!$A:$A,INDEX($D:$E,MATCH("F",$D:$D,0),2))/COUNTIFS(Dados!$E:$E,$B146,Dados!$C:$C,INDEX(Q$3,1,1),Dados!$A:$A,INDEX($D:$E,MATCH("F",$D:$D,0),2)))</f>
        <v/>
      </c>
      <c r="R146" s="68" t="str">
        <f ca="1">IF(COUNTIFS(Dados!$E:$E,$B146,Dados!$C:$C,INDEX(R$3,1,1),Dados!$A:$A,INDEX($D:$E,MATCH("F",$D:$D,0),2))=0,"",SUMIFS(Dados!$G:$G,Dados!$E:$E,$B146,Dados!$C:$C,INDEX(R$3,1,1),Dados!$A:$A,INDEX($D:$E,MATCH("F",$D:$D,0),2))/COUNTIFS(Dados!$E:$E,$B146,Dados!$C:$C,INDEX(R$3,1,1),Dados!$A:$A,INDEX($D:$E,MATCH("F",$D:$D,0),2)))</f>
        <v/>
      </c>
      <c r="S146" s="68" t="str">
        <f ca="1">IF(COUNTIFS(Dados!$E:$E,$B146,Dados!$C:$C,INDEX(S$3,1,1),Dados!$A:$A,INDEX($D:$E,MATCH("F",$D:$D,0),2))=0,"",SUMIFS(Dados!$G:$G,Dados!$E:$E,$B146,Dados!$C:$C,INDEX(S$3,1,1),Dados!$A:$A,INDEX($D:$E,MATCH("F",$D:$D,0),2))/COUNTIFS(Dados!$E:$E,$B146,Dados!$C:$C,INDEX(S$3,1,1),Dados!$A:$A,INDEX($D:$E,MATCH("F",$D:$D,0),2)))</f>
        <v/>
      </c>
      <c r="T146" s="68" t="str">
        <f ca="1">IF(COUNTIFS(Dados!$E:$E,$B146,Dados!$C:$C,INDEX(T$3,1,1),Dados!$A:$A,INDEX($D:$E,MATCH("F",$D:$D,0),2))=0,"",SUMIFS(Dados!$G:$G,Dados!$E:$E,$B146,Dados!$C:$C,INDEX(T$3,1,1),Dados!$A:$A,INDEX($D:$E,MATCH("F",$D:$D,0),2))/COUNTIFS(Dados!$E:$E,$B146,Dados!$C:$C,INDEX(T$3,1,1),Dados!$A:$A,INDEX($D:$E,MATCH("F",$D:$D,0),2)))</f>
        <v/>
      </c>
      <c r="U146" s="68" t="str">
        <f ca="1">IF(COUNTIFS(Dados!$E:$E,$B146,Dados!$C:$C,INDEX(U$3,1,1),Dados!$A:$A,INDEX($D:$E,MATCH("F",$D:$D,0),2))=0,"",SUMIFS(Dados!$G:$G,Dados!$E:$E,$B146,Dados!$C:$C,INDEX(U$3,1,1),Dados!$A:$A,INDEX($D:$E,MATCH("F",$D:$D,0),2))/COUNTIFS(Dados!$E:$E,$B146,Dados!$C:$C,INDEX(U$3,1,1),Dados!$A:$A,INDEX($D:$E,MATCH("F",$D:$D,0),2)))</f>
        <v/>
      </c>
      <c r="V146" s="68" t="str">
        <f ca="1">IF(COUNTIFS(Dados!$E:$E,$B146,Dados!$C:$C,INDEX(V$3,1,1),Dados!$A:$A,INDEX($D:$E,MATCH("F",$D:$D,0),2))=0,"",SUMIFS(Dados!$G:$G,Dados!$E:$E,$B146,Dados!$C:$C,INDEX(V$3,1,1),Dados!$A:$A,INDEX($D:$E,MATCH("F",$D:$D,0),2))/COUNTIFS(Dados!$E:$E,$B146,Dados!$C:$C,INDEX(V$3,1,1),Dados!$A:$A,INDEX($D:$E,MATCH("F",$D:$D,0),2)))</f>
        <v/>
      </c>
    </row>
    <row r="147" spans="2:22" x14ac:dyDescent="0.25">
      <c r="B147" s="65" t="s">
        <v>375</v>
      </c>
      <c r="C147" s="72">
        <f>VLOOKUP(B147,B4:C22,2,0)</f>
        <v>18</v>
      </c>
      <c r="D147" s="66" t="str">
        <f ca="1">IF(COUNTIFS(Dados!$E:$E,$B147,Dados!$C:$C,INDEX(D$3,1,1),Dados!$A:$A,INDEX($D:$E,MATCH("F",$D:$D,0),2))=0,"",SUMIFS(Dados!$G:$G,Dados!$E:$E,$B147,Dados!$C:$C,INDEX(D$3,1,1),Dados!$A:$A,INDEX($D:$E,MATCH("F",$D:$D,0),2))/COUNTIFS(Dados!$E:$E,$B147,Dados!$C:$C,INDEX(D$3,1,1),Dados!$A:$A,INDEX($D:$E,MATCH("F",$D:$D,0),2)))</f>
        <v/>
      </c>
      <c r="E147" s="66" t="str">
        <f ca="1">IF(COUNTIFS(Dados!$E:$E,$B147,Dados!$C:$C,INDEX(E$3,1,1),Dados!$A:$A,INDEX($D:$E,MATCH("F",$D:$D,0),2))=0,"",SUMIFS(Dados!$G:$G,Dados!$E:$E,$B147,Dados!$C:$C,INDEX(E$3,1,1),Dados!$A:$A,INDEX($D:$E,MATCH("F",$D:$D,0),2))/COUNTIFS(Dados!$E:$E,$B147,Dados!$C:$C,INDEX(E$3,1,1),Dados!$A:$A,INDEX($D:$E,MATCH("F",$D:$D,0),2)))</f>
        <v/>
      </c>
      <c r="F147" s="66" t="str">
        <f ca="1">IF(COUNTIFS(Dados!$E:$E,$B147,Dados!$C:$C,INDEX(F$3,1,1),Dados!$A:$A,INDEX($D:$E,MATCH("F",$D:$D,0),2))=0,"",SUMIFS(Dados!$G:$G,Dados!$E:$E,$B147,Dados!$C:$C,INDEX(F$3,1,1),Dados!$A:$A,INDEX($D:$E,MATCH("F",$D:$D,0),2))/COUNTIFS(Dados!$E:$E,$B147,Dados!$C:$C,INDEX(F$3,1,1),Dados!$A:$A,INDEX($D:$E,MATCH("F",$D:$D,0),2)))</f>
        <v/>
      </c>
      <c r="G147" s="66" t="str">
        <f ca="1">IF(COUNTIFS(Dados!$E:$E,$B147,Dados!$C:$C,INDEX(G$3,1,1),Dados!$A:$A,INDEX($D:$E,MATCH("F",$D:$D,0),2))=0,"",SUMIFS(Dados!$G:$G,Dados!$E:$E,$B147,Dados!$C:$C,INDEX(G$3,1,1),Dados!$A:$A,INDEX($D:$E,MATCH("F",$D:$D,0),2))/COUNTIFS(Dados!$E:$E,$B147,Dados!$C:$C,INDEX(G$3,1,1),Dados!$A:$A,INDEX($D:$E,MATCH("F",$D:$D,0),2)))</f>
        <v/>
      </c>
      <c r="H147" s="66" t="str">
        <f ca="1">IF(COUNTIFS(Dados!$E:$E,$B147,Dados!$C:$C,INDEX(H$3,1,1),Dados!$A:$A,INDEX($D:$E,MATCH("F",$D:$D,0),2))=0,"",SUMIFS(Dados!$G:$G,Dados!$E:$E,$B147,Dados!$C:$C,INDEX(H$3,1,1),Dados!$A:$A,INDEX($D:$E,MATCH("F",$D:$D,0),2))/COUNTIFS(Dados!$E:$E,$B147,Dados!$C:$C,INDEX(H$3,1,1),Dados!$A:$A,INDEX($D:$E,MATCH("F",$D:$D,0),2)))</f>
        <v/>
      </c>
      <c r="I147" s="66" t="str">
        <f ca="1">IF(COUNTIFS(Dados!$E:$E,$B147,Dados!$C:$C,INDEX(I$3,1,1),Dados!$A:$A,INDEX($D:$E,MATCH("F",$D:$D,0),2))=0,"",SUMIFS(Dados!$G:$G,Dados!$E:$E,$B147,Dados!$C:$C,INDEX(I$3,1,1),Dados!$A:$A,INDEX($D:$E,MATCH("F",$D:$D,0),2))/COUNTIFS(Dados!$E:$E,$B147,Dados!$C:$C,INDEX(I$3,1,1),Dados!$A:$A,INDEX($D:$E,MATCH("F",$D:$D,0),2)))</f>
        <v/>
      </c>
      <c r="J147" s="66" t="str">
        <f ca="1">IF(COUNTIFS(Dados!$E:$E,$B147,Dados!$C:$C,INDEX(J$3,1,1),Dados!$A:$A,INDEX($D:$E,MATCH("F",$D:$D,0),2))=0,"",SUMIFS(Dados!$G:$G,Dados!$E:$E,$B147,Dados!$C:$C,INDEX(J$3,1,1),Dados!$A:$A,INDEX($D:$E,MATCH("F",$D:$D,0),2))/COUNTIFS(Dados!$E:$E,$B147,Dados!$C:$C,INDEX(J$3,1,1),Dados!$A:$A,INDEX($D:$E,MATCH("F",$D:$D,0),2)))</f>
        <v/>
      </c>
      <c r="K147" s="66" t="str">
        <f ca="1">IF(COUNTIFS(Dados!$E:$E,$B147,Dados!$C:$C,INDEX(K$3,1,1),Dados!$A:$A,INDEX($D:$E,MATCH("F",$D:$D,0),2))=0,"",SUMIFS(Dados!$G:$G,Dados!$E:$E,$B147,Dados!$C:$C,INDEX(K$3,1,1),Dados!$A:$A,INDEX($D:$E,MATCH("F",$D:$D,0),2))/COUNTIFS(Dados!$E:$E,$B147,Dados!$C:$C,INDEX(K$3,1,1),Dados!$A:$A,INDEX($D:$E,MATCH("F",$D:$D,0),2)))</f>
        <v/>
      </c>
      <c r="L147" s="66" t="str">
        <f ca="1">IF(COUNTIFS(Dados!$E:$E,$B147,Dados!$C:$C,INDEX(L$3,1,1),Dados!$A:$A,INDEX($D:$E,MATCH("F",$D:$D,0),2))=0,"",SUMIFS(Dados!$G:$G,Dados!$E:$E,$B147,Dados!$C:$C,INDEX(L$3,1,1),Dados!$A:$A,INDEX($D:$E,MATCH("F",$D:$D,0),2))/COUNTIFS(Dados!$E:$E,$B147,Dados!$C:$C,INDEX(L$3,1,1),Dados!$A:$A,INDEX($D:$E,MATCH("F",$D:$D,0),2)))</f>
        <v/>
      </c>
      <c r="M147" s="66" t="str">
        <f ca="1">IF(COUNTIFS(Dados!$E:$E,$B147,Dados!$C:$C,INDEX(M$3,1,1),Dados!$A:$A,INDEX($D:$E,MATCH("F",$D:$D,0),2))=0,"",SUMIFS(Dados!$G:$G,Dados!$E:$E,$B147,Dados!$C:$C,INDEX(M$3,1,1),Dados!$A:$A,INDEX($D:$E,MATCH("F",$D:$D,0),2))/COUNTIFS(Dados!$E:$E,$B147,Dados!$C:$C,INDEX(M$3,1,1),Dados!$A:$A,INDEX($D:$E,MATCH("F",$D:$D,0),2)))</f>
        <v/>
      </c>
      <c r="N147" s="66" t="str">
        <f ca="1">IF(COUNTIFS(Dados!$E:$E,$B147,Dados!$C:$C,INDEX(N$3,1,1),Dados!$A:$A,INDEX($D:$E,MATCH("F",$D:$D,0),2))=0,"",SUMIFS(Dados!$G:$G,Dados!$E:$E,$B147,Dados!$C:$C,INDEX(N$3,1,1),Dados!$A:$A,INDEX($D:$E,MATCH("F",$D:$D,0),2))/COUNTIFS(Dados!$E:$E,$B147,Dados!$C:$C,INDEX(N$3,1,1),Dados!$A:$A,INDEX($D:$E,MATCH("F",$D:$D,0),2)))</f>
        <v/>
      </c>
      <c r="O147" s="66" t="str">
        <f ca="1">IF(COUNTIFS(Dados!$E:$E,$B147,Dados!$C:$C,INDEX(O$3,1,1),Dados!$A:$A,INDEX($D:$E,MATCH("F",$D:$D,0),2))=0,"",SUMIFS(Dados!$G:$G,Dados!$E:$E,$B147,Dados!$C:$C,INDEX(O$3,1,1),Dados!$A:$A,INDEX($D:$E,MATCH("F",$D:$D,0),2))/COUNTIFS(Dados!$E:$E,$B147,Dados!$C:$C,INDEX(O$3,1,1),Dados!$A:$A,INDEX($D:$E,MATCH("F",$D:$D,0),2)))</f>
        <v/>
      </c>
      <c r="P147" s="66" t="str">
        <f ca="1">IF(COUNTIFS(Dados!$E:$E,$B147,Dados!$C:$C,INDEX(P$3,1,1),Dados!$A:$A,INDEX($D:$E,MATCH("F",$D:$D,0),2))=0,"",SUMIFS(Dados!$G:$G,Dados!$E:$E,$B147,Dados!$C:$C,INDEX(P$3,1,1),Dados!$A:$A,INDEX($D:$E,MATCH("F",$D:$D,0),2))/COUNTIFS(Dados!$E:$E,$B147,Dados!$C:$C,INDEX(P$3,1,1),Dados!$A:$A,INDEX($D:$E,MATCH("F",$D:$D,0),2)))</f>
        <v/>
      </c>
      <c r="Q147" s="66" t="str">
        <f ca="1">IF(COUNTIFS(Dados!$E:$E,$B147,Dados!$C:$C,INDEX(Q$3,1,1),Dados!$A:$A,INDEX($D:$E,MATCH("F",$D:$D,0),2))=0,"",SUMIFS(Dados!$G:$G,Dados!$E:$E,$B147,Dados!$C:$C,INDEX(Q$3,1,1),Dados!$A:$A,INDEX($D:$E,MATCH("F",$D:$D,0),2))/COUNTIFS(Dados!$E:$E,$B147,Dados!$C:$C,INDEX(Q$3,1,1),Dados!$A:$A,INDEX($D:$E,MATCH("F",$D:$D,0),2)))</f>
        <v/>
      </c>
      <c r="R147" s="66" t="str">
        <f ca="1">IF(COUNTIFS(Dados!$E:$E,$B147,Dados!$C:$C,INDEX(R$3,1,1),Dados!$A:$A,INDEX($D:$E,MATCH("F",$D:$D,0),2))=0,"",SUMIFS(Dados!$G:$G,Dados!$E:$E,$B147,Dados!$C:$C,INDEX(R$3,1,1),Dados!$A:$A,INDEX($D:$E,MATCH("F",$D:$D,0),2))/COUNTIFS(Dados!$E:$E,$B147,Dados!$C:$C,INDEX(R$3,1,1),Dados!$A:$A,INDEX($D:$E,MATCH("F",$D:$D,0),2)))</f>
        <v/>
      </c>
      <c r="S147" s="66" t="str">
        <f ca="1">IF(COUNTIFS(Dados!$E:$E,$B147,Dados!$C:$C,INDEX(S$3,1,1),Dados!$A:$A,INDEX($D:$E,MATCH("F",$D:$D,0),2))=0,"",SUMIFS(Dados!$G:$G,Dados!$E:$E,$B147,Dados!$C:$C,INDEX(S$3,1,1),Dados!$A:$A,INDEX($D:$E,MATCH("F",$D:$D,0),2))/COUNTIFS(Dados!$E:$E,$B147,Dados!$C:$C,INDEX(S$3,1,1),Dados!$A:$A,INDEX($D:$E,MATCH("F",$D:$D,0),2)))</f>
        <v/>
      </c>
      <c r="T147" s="66" t="str">
        <f ca="1">IF(COUNTIFS(Dados!$E:$E,$B147,Dados!$C:$C,INDEX(T$3,1,1),Dados!$A:$A,INDEX($D:$E,MATCH("F",$D:$D,0),2))=0,"",SUMIFS(Dados!$G:$G,Dados!$E:$E,$B147,Dados!$C:$C,INDEX(T$3,1,1),Dados!$A:$A,INDEX($D:$E,MATCH("F",$D:$D,0),2))/COUNTIFS(Dados!$E:$E,$B147,Dados!$C:$C,INDEX(T$3,1,1),Dados!$A:$A,INDEX($D:$E,MATCH("F",$D:$D,0),2)))</f>
        <v/>
      </c>
      <c r="U147" s="66" t="str">
        <f ca="1">IF(COUNTIFS(Dados!$E:$E,$B147,Dados!$C:$C,INDEX(U$3,1,1),Dados!$A:$A,INDEX($D:$E,MATCH("F",$D:$D,0),2))=0,"",SUMIFS(Dados!$G:$G,Dados!$E:$E,$B147,Dados!$C:$C,INDEX(U$3,1,1),Dados!$A:$A,INDEX($D:$E,MATCH("F",$D:$D,0),2))/COUNTIFS(Dados!$E:$E,$B147,Dados!$C:$C,INDEX(U$3,1,1),Dados!$A:$A,INDEX($D:$E,MATCH("F",$D:$D,0),2)))</f>
        <v/>
      </c>
      <c r="V147" s="66" t="str">
        <f ca="1">IF(COUNTIFS(Dados!$E:$E,$B147,Dados!$C:$C,INDEX(V$3,1,1),Dados!$A:$A,INDEX($D:$E,MATCH("F",$D:$D,0),2))=0,"",SUMIFS(Dados!$G:$G,Dados!$E:$E,$B147,Dados!$C:$C,INDEX(V$3,1,1),Dados!$A:$A,INDEX($D:$E,MATCH("F",$D:$D,0),2))/COUNTIFS(Dados!$E:$E,$B147,Dados!$C:$C,INDEX(V$3,1,1),Dados!$A:$A,INDEX($D:$E,MATCH("F",$D:$D,0),2)))</f>
        <v/>
      </c>
    </row>
    <row r="148" spans="2:22" x14ac:dyDescent="0.25">
      <c r="B148" s="67" t="s">
        <v>1300</v>
      </c>
      <c r="C148" s="71">
        <f>VLOOKUP(B148,B4:C22,2,0)</f>
        <v>19</v>
      </c>
      <c r="D148" s="68" t="str">
        <f ca="1">IF(COUNTIFS(Dados!$E:$E,$B148,Dados!$C:$C,INDEX(D$3,1,1),Dados!$A:$A,INDEX($D:$E,MATCH("F",$D:$D,0),2))=0,"",SUMIFS(Dados!$G:$G,Dados!$E:$E,$B148,Dados!$C:$C,INDEX(D$3,1,1),Dados!$A:$A,INDEX($D:$E,MATCH("F",$D:$D,0),2))/COUNTIFS(Dados!$E:$E,$B148,Dados!$C:$C,INDEX(D$3,1,1),Dados!$A:$A,INDEX($D:$E,MATCH("F",$D:$D,0),2)))</f>
        <v/>
      </c>
      <c r="E148" s="68" t="str">
        <f ca="1">IF(COUNTIFS(Dados!$E:$E,$B148,Dados!$C:$C,INDEX(E$3,1,1),Dados!$A:$A,INDEX($D:$E,MATCH("F",$D:$D,0),2))=0,"",SUMIFS(Dados!$G:$G,Dados!$E:$E,$B148,Dados!$C:$C,INDEX(E$3,1,1),Dados!$A:$A,INDEX($D:$E,MATCH("F",$D:$D,0),2))/COUNTIFS(Dados!$E:$E,$B148,Dados!$C:$C,INDEX(E$3,1,1),Dados!$A:$A,INDEX($D:$E,MATCH("F",$D:$D,0),2)))</f>
        <v/>
      </c>
      <c r="F148" s="68" t="str">
        <f ca="1">IF(COUNTIFS(Dados!$E:$E,$B148,Dados!$C:$C,INDEX(F$3,1,1),Dados!$A:$A,INDEX($D:$E,MATCH("F",$D:$D,0),2))=0,"",SUMIFS(Dados!$G:$G,Dados!$E:$E,$B148,Dados!$C:$C,INDEX(F$3,1,1),Dados!$A:$A,INDEX($D:$E,MATCH("F",$D:$D,0),2))/COUNTIFS(Dados!$E:$E,$B148,Dados!$C:$C,INDEX(F$3,1,1),Dados!$A:$A,INDEX($D:$E,MATCH("F",$D:$D,0),2)))</f>
        <v/>
      </c>
      <c r="G148" s="68" t="str">
        <f ca="1">IF(COUNTIFS(Dados!$E:$E,$B148,Dados!$C:$C,INDEX(G$3,1,1),Dados!$A:$A,INDEX($D:$E,MATCH("F",$D:$D,0),2))=0,"",SUMIFS(Dados!$G:$G,Dados!$E:$E,$B148,Dados!$C:$C,INDEX(G$3,1,1),Dados!$A:$A,INDEX($D:$E,MATCH("F",$D:$D,0),2))/COUNTIFS(Dados!$E:$E,$B148,Dados!$C:$C,INDEX(G$3,1,1),Dados!$A:$A,INDEX($D:$E,MATCH("F",$D:$D,0),2)))</f>
        <v/>
      </c>
      <c r="H148" s="68" t="str">
        <f ca="1">IF(COUNTIFS(Dados!$E:$E,$B148,Dados!$C:$C,INDEX(H$3,1,1),Dados!$A:$A,INDEX($D:$E,MATCH("F",$D:$D,0),2))=0,"",SUMIFS(Dados!$G:$G,Dados!$E:$E,$B148,Dados!$C:$C,INDEX(H$3,1,1),Dados!$A:$A,INDEX($D:$E,MATCH("F",$D:$D,0),2))/COUNTIFS(Dados!$E:$E,$B148,Dados!$C:$C,INDEX(H$3,1,1),Dados!$A:$A,INDEX($D:$E,MATCH("F",$D:$D,0),2)))</f>
        <v/>
      </c>
      <c r="I148" s="68" t="str">
        <f ca="1">IF(COUNTIFS(Dados!$E:$E,$B148,Dados!$C:$C,INDEX(I$3,1,1),Dados!$A:$A,INDEX($D:$E,MATCH("F",$D:$D,0),2))=0,"",SUMIFS(Dados!$G:$G,Dados!$E:$E,$B148,Dados!$C:$C,INDEX(I$3,1,1),Dados!$A:$A,INDEX($D:$E,MATCH("F",$D:$D,0),2))/COUNTIFS(Dados!$E:$E,$B148,Dados!$C:$C,INDEX(I$3,1,1),Dados!$A:$A,INDEX($D:$E,MATCH("F",$D:$D,0),2)))</f>
        <v/>
      </c>
      <c r="J148" s="68" t="str">
        <f ca="1">IF(COUNTIFS(Dados!$E:$E,$B148,Dados!$C:$C,INDEX(J$3,1,1),Dados!$A:$A,INDEX($D:$E,MATCH("F",$D:$D,0),2))=0,"",SUMIFS(Dados!$G:$G,Dados!$E:$E,$B148,Dados!$C:$C,INDEX(J$3,1,1),Dados!$A:$A,INDEX($D:$E,MATCH("F",$D:$D,0),2))/COUNTIFS(Dados!$E:$E,$B148,Dados!$C:$C,INDEX(J$3,1,1),Dados!$A:$A,INDEX($D:$E,MATCH("F",$D:$D,0),2)))</f>
        <v/>
      </c>
      <c r="K148" s="68" t="str">
        <f ca="1">IF(COUNTIFS(Dados!$E:$E,$B148,Dados!$C:$C,INDEX(K$3,1,1),Dados!$A:$A,INDEX($D:$E,MATCH("F",$D:$D,0),2))=0,"",SUMIFS(Dados!$G:$G,Dados!$E:$E,$B148,Dados!$C:$C,INDEX(K$3,1,1),Dados!$A:$A,INDEX($D:$E,MATCH("F",$D:$D,0),2))/COUNTIFS(Dados!$E:$E,$B148,Dados!$C:$C,INDEX(K$3,1,1),Dados!$A:$A,INDEX($D:$E,MATCH("F",$D:$D,0),2)))</f>
        <v/>
      </c>
      <c r="L148" s="68" t="str">
        <f ca="1">IF(COUNTIFS(Dados!$E:$E,$B148,Dados!$C:$C,INDEX(L$3,1,1),Dados!$A:$A,INDEX($D:$E,MATCH("F",$D:$D,0),2))=0,"",SUMIFS(Dados!$G:$G,Dados!$E:$E,$B148,Dados!$C:$C,INDEX(L$3,1,1),Dados!$A:$A,INDEX($D:$E,MATCH("F",$D:$D,0),2))/COUNTIFS(Dados!$E:$E,$B148,Dados!$C:$C,INDEX(L$3,1,1),Dados!$A:$A,INDEX($D:$E,MATCH("F",$D:$D,0),2)))</f>
        <v/>
      </c>
      <c r="M148" s="68" t="str">
        <f ca="1">IF(COUNTIFS(Dados!$E:$E,$B148,Dados!$C:$C,INDEX(M$3,1,1),Dados!$A:$A,INDEX($D:$E,MATCH("F",$D:$D,0),2))=0,"",SUMIFS(Dados!$G:$G,Dados!$E:$E,$B148,Dados!$C:$C,INDEX(M$3,1,1),Dados!$A:$A,INDEX($D:$E,MATCH("F",$D:$D,0),2))/COUNTIFS(Dados!$E:$E,$B148,Dados!$C:$C,INDEX(M$3,1,1),Dados!$A:$A,INDEX($D:$E,MATCH("F",$D:$D,0),2)))</f>
        <v/>
      </c>
      <c r="N148" s="68" t="str">
        <f ca="1">IF(COUNTIFS(Dados!$E:$E,$B148,Dados!$C:$C,INDEX(N$3,1,1),Dados!$A:$A,INDEX($D:$E,MATCH("F",$D:$D,0),2))=0,"",SUMIFS(Dados!$G:$G,Dados!$E:$E,$B148,Dados!$C:$C,INDEX(N$3,1,1),Dados!$A:$A,INDEX($D:$E,MATCH("F",$D:$D,0),2))/COUNTIFS(Dados!$E:$E,$B148,Dados!$C:$C,INDEX(N$3,1,1),Dados!$A:$A,INDEX($D:$E,MATCH("F",$D:$D,0),2)))</f>
        <v/>
      </c>
      <c r="O148" s="68" t="str">
        <f ca="1">IF(COUNTIFS(Dados!$E:$E,$B148,Dados!$C:$C,INDEX(O$3,1,1),Dados!$A:$A,INDEX($D:$E,MATCH("F",$D:$D,0),2))=0,"",SUMIFS(Dados!$G:$G,Dados!$E:$E,$B148,Dados!$C:$C,INDEX(O$3,1,1),Dados!$A:$A,INDEX($D:$E,MATCH("F",$D:$D,0),2))/COUNTIFS(Dados!$E:$E,$B148,Dados!$C:$C,INDEX(O$3,1,1),Dados!$A:$A,INDEX($D:$E,MATCH("F",$D:$D,0),2)))</f>
        <v/>
      </c>
      <c r="P148" s="68" t="str">
        <f ca="1">IF(COUNTIFS(Dados!$E:$E,$B148,Dados!$C:$C,INDEX(P$3,1,1),Dados!$A:$A,INDEX($D:$E,MATCH("F",$D:$D,0),2))=0,"",SUMIFS(Dados!$G:$G,Dados!$E:$E,$B148,Dados!$C:$C,INDEX(P$3,1,1),Dados!$A:$A,INDEX($D:$E,MATCH("F",$D:$D,0),2))/COUNTIFS(Dados!$E:$E,$B148,Dados!$C:$C,INDEX(P$3,1,1),Dados!$A:$A,INDEX($D:$E,MATCH("F",$D:$D,0),2)))</f>
        <v/>
      </c>
      <c r="Q148" s="68" t="str">
        <f ca="1">IF(COUNTIFS(Dados!$E:$E,$B148,Dados!$C:$C,INDEX(Q$3,1,1),Dados!$A:$A,INDEX($D:$E,MATCH("F",$D:$D,0),2))=0,"",SUMIFS(Dados!$G:$G,Dados!$E:$E,$B148,Dados!$C:$C,INDEX(Q$3,1,1),Dados!$A:$A,INDEX($D:$E,MATCH("F",$D:$D,0),2))/COUNTIFS(Dados!$E:$E,$B148,Dados!$C:$C,INDEX(Q$3,1,1),Dados!$A:$A,INDEX($D:$E,MATCH("F",$D:$D,0),2)))</f>
        <v/>
      </c>
      <c r="R148" s="68" t="str">
        <f ca="1">IF(COUNTIFS(Dados!$E:$E,$B148,Dados!$C:$C,INDEX(R$3,1,1),Dados!$A:$A,INDEX($D:$E,MATCH("F",$D:$D,0),2))=0,"",SUMIFS(Dados!$G:$G,Dados!$E:$E,$B148,Dados!$C:$C,INDEX(R$3,1,1),Dados!$A:$A,INDEX($D:$E,MATCH("F",$D:$D,0),2))/COUNTIFS(Dados!$E:$E,$B148,Dados!$C:$C,INDEX(R$3,1,1),Dados!$A:$A,INDEX($D:$E,MATCH("F",$D:$D,0),2)))</f>
        <v/>
      </c>
      <c r="S148" s="68" t="str">
        <f ca="1">IF(COUNTIFS(Dados!$E:$E,$B148,Dados!$C:$C,INDEX(S$3,1,1),Dados!$A:$A,INDEX($D:$E,MATCH("F",$D:$D,0),2))=0,"",SUMIFS(Dados!$G:$G,Dados!$E:$E,$B148,Dados!$C:$C,INDEX(S$3,1,1),Dados!$A:$A,INDEX($D:$E,MATCH("F",$D:$D,0),2))/COUNTIFS(Dados!$E:$E,$B148,Dados!$C:$C,INDEX(S$3,1,1),Dados!$A:$A,INDEX($D:$E,MATCH("F",$D:$D,0),2)))</f>
        <v/>
      </c>
      <c r="T148" s="68" t="str">
        <f ca="1">IF(COUNTIFS(Dados!$E:$E,$B148,Dados!$C:$C,INDEX(T$3,1,1),Dados!$A:$A,INDEX($D:$E,MATCH("F",$D:$D,0),2))=0,"",SUMIFS(Dados!$G:$G,Dados!$E:$E,$B148,Dados!$C:$C,INDEX(T$3,1,1),Dados!$A:$A,INDEX($D:$E,MATCH("F",$D:$D,0),2))/COUNTIFS(Dados!$E:$E,$B148,Dados!$C:$C,INDEX(T$3,1,1),Dados!$A:$A,INDEX($D:$E,MATCH("F",$D:$D,0),2)))</f>
        <v/>
      </c>
      <c r="U148" s="68" t="str">
        <f ca="1">IF(COUNTIFS(Dados!$E:$E,$B148,Dados!$C:$C,INDEX(U$3,1,1),Dados!$A:$A,INDEX($D:$E,MATCH("F",$D:$D,0),2))=0,"",SUMIFS(Dados!$G:$G,Dados!$E:$E,$B148,Dados!$C:$C,INDEX(U$3,1,1),Dados!$A:$A,INDEX($D:$E,MATCH("F",$D:$D,0),2))/COUNTIFS(Dados!$E:$E,$B148,Dados!$C:$C,INDEX(U$3,1,1),Dados!$A:$A,INDEX($D:$E,MATCH("F",$D:$D,0),2)))</f>
        <v/>
      </c>
      <c r="V148" s="68" t="str">
        <f ca="1">IF(COUNTIFS(Dados!$E:$E,$B148,Dados!$C:$C,INDEX(V$3,1,1),Dados!$A:$A,INDEX($D:$E,MATCH("F",$D:$D,0),2))=0,"",SUMIFS(Dados!$G:$G,Dados!$E:$E,$B148,Dados!$C:$C,INDEX(V$3,1,1),Dados!$A:$A,INDEX($D:$E,MATCH("F",$D:$D,0),2))/COUNTIFS(Dados!$E:$E,$B148,Dados!$C:$C,INDEX(V$3,1,1),Dados!$A:$A,INDEX($D:$E,MATCH("F",$D:$D,0),2)))</f>
        <v/>
      </c>
    </row>
    <row r="149" spans="2:22" x14ac:dyDescent="0.25">
      <c r="B149" s="63" t="s">
        <v>983</v>
      </c>
      <c r="C149" s="63"/>
      <c r="D149" s="63" t="s">
        <v>1279</v>
      </c>
      <c r="E149" s="73">
        <v>30</v>
      </c>
    </row>
    <row r="150" spans="2:22" x14ac:dyDescent="0.25">
      <c r="B150" s="69" t="s">
        <v>974</v>
      </c>
      <c r="C150" s="70" t="s">
        <v>1291</v>
      </c>
      <c r="D150" s="61">
        <v>1978</v>
      </c>
      <c r="E150" s="61">
        <v>1982</v>
      </c>
      <c r="F150" s="61">
        <v>1991</v>
      </c>
      <c r="G150" s="61">
        <v>1996</v>
      </c>
      <c r="H150" s="61">
        <v>1997</v>
      </c>
      <c r="I150" s="61">
        <v>1998</v>
      </c>
      <c r="J150" s="61">
        <v>1999</v>
      </c>
      <c r="K150" s="61">
        <v>2000</v>
      </c>
      <c r="L150" s="61">
        <v>2001</v>
      </c>
      <c r="M150" s="61">
        <v>2002</v>
      </c>
      <c r="N150" s="61">
        <v>2003</v>
      </c>
      <c r="O150" s="61">
        <v>2004</v>
      </c>
      <c r="P150" s="61">
        <v>2005</v>
      </c>
      <c r="Q150" s="61">
        <v>2006</v>
      </c>
      <c r="R150" s="61">
        <v>2007</v>
      </c>
      <c r="S150" s="61">
        <v>2008</v>
      </c>
      <c r="T150" s="61">
        <v>2010</v>
      </c>
      <c r="U150" s="61">
        <v>2011</v>
      </c>
      <c r="V150" s="61">
        <v>2012</v>
      </c>
    </row>
    <row r="151" spans="2:22" x14ac:dyDescent="0.25">
      <c r="B151" s="65" t="s">
        <v>107</v>
      </c>
      <c r="C151" s="72">
        <f>VLOOKUP(B151,B4:C22,2,0)</f>
        <v>1</v>
      </c>
      <c r="D151" s="66" t="str">
        <f ca="1">IF(COUNTIFS(Dados!$E:$E,$B151,Dados!$C:$C,INDEX(D$3,1,1),Dados!$A:$A,INDEX($D:$E,MATCH("G",$D:$D,0),2))=0,"",SUMIFS(Dados!$G:$G,Dados!$E:$E,$B151,Dados!$C:$C,INDEX(D$3,1,1),Dados!$A:$A,INDEX($D:$E,MATCH("G",$D:$D,0),2))/COUNTIFS(Dados!$E:$E,$B151,Dados!$C:$C,INDEX(D$3,1,1),Dados!$A:$A,INDEX($D:$E,MATCH("G",$D:$D,0),2)))</f>
        <v/>
      </c>
      <c r="E151" s="66" t="str">
        <f ca="1">IF(COUNTIFS(Dados!$E:$E,$B151,Dados!$C:$C,INDEX(E$3,1,1),Dados!$A:$A,INDEX($D:$E,MATCH("G",$D:$D,0),2))=0,"",SUMIFS(Dados!$G:$G,Dados!$E:$E,$B151,Dados!$C:$C,INDEX(E$3,1,1),Dados!$A:$A,INDEX($D:$E,MATCH("G",$D:$D,0),2))/COUNTIFS(Dados!$E:$E,$B151,Dados!$C:$C,INDEX(E$3,1,1),Dados!$A:$A,INDEX($D:$E,MATCH("G",$D:$D,0),2)))</f>
        <v/>
      </c>
      <c r="F151" s="66" t="str">
        <f ca="1">IF(COUNTIFS(Dados!$E:$E,$B151,Dados!$C:$C,INDEX(F$3,1,1),Dados!$A:$A,INDEX($D:$E,MATCH("G",$D:$D,0),2))=0,"",SUMIFS(Dados!$G:$G,Dados!$E:$E,$B151,Dados!$C:$C,INDEX(F$3,1,1),Dados!$A:$A,INDEX($D:$E,MATCH("G",$D:$D,0),2))/COUNTIFS(Dados!$E:$E,$B151,Dados!$C:$C,INDEX(F$3,1,1),Dados!$A:$A,INDEX($D:$E,MATCH("G",$D:$D,0),2)))</f>
        <v/>
      </c>
      <c r="G151" s="66" t="str">
        <f ca="1">IF(COUNTIFS(Dados!$E:$E,$B151,Dados!$C:$C,INDEX(G$3,1,1),Dados!$A:$A,INDEX($D:$E,MATCH("G",$D:$D,0),2))=0,"",SUMIFS(Dados!$G:$G,Dados!$E:$E,$B151,Dados!$C:$C,INDEX(G$3,1,1),Dados!$A:$A,INDEX($D:$E,MATCH("G",$D:$D,0),2))/COUNTIFS(Dados!$E:$E,$B151,Dados!$C:$C,INDEX(G$3,1,1),Dados!$A:$A,INDEX($D:$E,MATCH("G",$D:$D,0),2)))</f>
        <v/>
      </c>
      <c r="H151" s="66" t="str">
        <f ca="1">IF(COUNTIFS(Dados!$E:$E,$B151,Dados!$C:$C,INDEX(H$3,1,1),Dados!$A:$A,INDEX($D:$E,MATCH("G",$D:$D,0),2))=0,"",SUMIFS(Dados!$G:$G,Dados!$E:$E,$B151,Dados!$C:$C,INDEX(H$3,1,1),Dados!$A:$A,INDEX($D:$E,MATCH("G",$D:$D,0),2))/COUNTIFS(Dados!$E:$E,$B151,Dados!$C:$C,INDEX(H$3,1,1),Dados!$A:$A,INDEX($D:$E,MATCH("G",$D:$D,0),2)))</f>
        <v/>
      </c>
      <c r="I151" s="66" t="str">
        <f ca="1">IF(COUNTIFS(Dados!$E:$E,$B151,Dados!$C:$C,INDEX(I$3,1,1),Dados!$A:$A,INDEX($D:$E,MATCH("G",$D:$D,0),2))=0,"",SUMIFS(Dados!$G:$G,Dados!$E:$E,$B151,Dados!$C:$C,INDEX(I$3,1,1),Dados!$A:$A,INDEX($D:$E,MATCH("G",$D:$D,0),2))/COUNTIFS(Dados!$E:$E,$B151,Dados!$C:$C,INDEX(I$3,1,1),Dados!$A:$A,INDEX($D:$E,MATCH("G",$D:$D,0),2)))</f>
        <v/>
      </c>
      <c r="J151" s="66" t="str">
        <f ca="1">IF(COUNTIFS(Dados!$E:$E,$B151,Dados!$C:$C,INDEX(J$3,1,1),Dados!$A:$A,INDEX($D:$E,MATCH("G",$D:$D,0),2))=0,"",SUMIFS(Dados!$G:$G,Dados!$E:$E,$B151,Dados!$C:$C,INDEX(J$3,1,1),Dados!$A:$A,INDEX($D:$E,MATCH("G",$D:$D,0),2))/COUNTIFS(Dados!$E:$E,$B151,Dados!$C:$C,INDEX(J$3,1,1),Dados!$A:$A,INDEX($D:$E,MATCH("G",$D:$D,0),2)))</f>
        <v/>
      </c>
      <c r="K151" s="66" t="str">
        <f ca="1">IF(COUNTIFS(Dados!$E:$E,$B151,Dados!$C:$C,INDEX(K$3,1,1),Dados!$A:$A,INDEX($D:$E,MATCH("G",$D:$D,0),2))=0,"",SUMIFS(Dados!$G:$G,Dados!$E:$E,$B151,Dados!$C:$C,INDEX(K$3,1,1),Dados!$A:$A,INDEX($D:$E,MATCH("G",$D:$D,0),2))/COUNTIFS(Dados!$E:$E,$B151,Dados!$C:$C,INDEX(K$3,1,1),Dados!$A:$A,INDEX($D:$E,MATCH("G",$D:$D,0),2)))</f>
        <v/>
      </c>
      <c r="L151" s="66" t="str">
        <f ca="1">IF(COUNTIFS(Dados!$E:$E,$B151,Dados!$C:$C,INDEX(L$3,1,1),Dados!$A:$A,INDEX($D:$E,MATCH("G",$D:$D,0),2))=0,"",SUMIFS(Dados!$G:$G,Dados!$E:$E,$B151,Dados!$C:$C,INDEX(L$3,1,1),Dados!$A:$A,INDEX($D:$E,MATCH("G",$D:$D,0),2))/COUNTIFS(Dados!$E:$E,$B151,Dados!$C:$C,INDEX(L$3,1,1),Dados!$A:$A,INDEX($D:$E,MATCH("G",$D:$D,0),2)))</f>
        <v/>
      </c>
      <c r="M151" s="66" t="str">
        <f ca="1">IF(COUNTIFS(Dados!$E:$E,$B151,Dados!$C:$C,INDEX(M$3,1,1),Dados!$A:$A,INDEX($D:$E,MATCH("G",$D:$D,0),2))=0,"",SUMIFS(Dados!$G:$G,Dados!$E:$E,$B151,Dados!$C:$C,INDEX(M$3,1,1),Dados!$A:$A,INDEX($D:$E,MATCH("G",$D:$D,0),2))/COUNTIFS(Dados!$E:$E,$B151,Dados!$C:$C,INDEX(M$3,1,1),Dados!$A:$A,INDEX($D:$E,MATCH("G",$D:$D,0),2)))</f>
        <v/>
      </c>
      <c r="N151" s="66" t="str">
        <f ca="1">IF(COUNTIFS(Dados!$E:$E,$B151,Dados!$C:$C,INDEX(N$3,1,1),Dados!$A:$A,INDEX($D:$E,MATCH("G",$D:$D,0),2))=0,"",SUMIFS(Dados!$G:$G,Dados!$E:$E,$B151,Dados!$C:$C,INDEX(N$3,1,1),Dados!$A:$A,INDEX($D:$E,MATCH("G",$D:$D,0),2))/COUNTIFS(Dados!$E:$E,$B151,Dados!$C:$C,INDEX(N$3,1,1),Dados!$A:$A,INDEX($D:$E,MATCH("G",$D:$D,0),2)))</f>
        <v/>
      </c>
      <c r="O151" s="66" t="str">
        <f ca="1">IF(COUNTIFS(Dados!$E:$E,$B151,Dados!$C:$C,INDEX(O$3,1,1),Dados!$A:$A,INDEX($D:$E,MATCH("G",$D:$D,0),2))=0,"",SUMIFS(Dados!$G:$G,Dados!$E:$E,$B151,Dados!$C:$C,INDEX(O$3,1,1),Dados!$A:$A,INDEX($D:$E,MATCH("G",$D:$D,0),2))/COUNTIFS(Dados!$E:$E,$B151,Dados!$C:$C,INDEX(O$3,1,1),Dados!$A:$A,INDEX($D:$E,MATCH("G",$D:$D,0),2)))</f>
        <v/>
      </c>
      <c r="P151" s="66" t="str">
        <f ca="1">IF(COUNTIFS(Dados!$E:$E,$B151,Dados!$C:$C,INDEX(P$3,1,1),Dados!$A:$A,INDEX($D:$E,MATCH("G",$D:$D,0),2))=0,"",SUMIFS(Dados!$G:$G,Dados!$E:$E,$B151,Dados!$C:$C,INDEX(P$3,1,1),Dados!$A:$A,INDEX($D:$E,MATCH("G",$D:$D,0),2))/COUNTIFS(Dados!$E:$E,$B151,Dados!$C:$C,INDEX(P$3,1,1),Dados!$A:$A,INDEX($D:$E,MATCH("G",$D:$D,0),2)))</f>
        <v/>
      </c>
      <c r="Q151" s="66" t="str">
        <f ca="1">IF(COUNTIFS(Dados!$E:$E,$B151,Dados!$C:$C,INDEX(Q$3,1,1),Dados!$A:$A,INDEX($D:$E,MATCH("G",$D:$D,0),2))=0,"",SUMIFS(Dados!$G:$G,Dados!$E:$E,$B151,Dados!$C:$C,INDEX(Q$3,1,1),Dados!$A:$A,INDEX($D:$E,MATCH("G",$D:$D,0),2))/COUNTIFS(Dados!$E:$E,$B151,Dados!$C:$C,INDEX(Q$3,1,1),Dados!$A:$A,INDEX($D:$E,MATCH("G",$D:$D,0),2)))</f>
        <v/>
      </c>
      <c r="R151" s="66" t="str">
        <f ca="1">IF(COUNTIFS(Dados!$E:$E,$B151,Dados!$C:$C,INDEX(R$3,1,1),Dados!$A:$A,INDEX($D:$E,MATCH("G",$D:$D,0),2))=0,"",SUMIFS(Dados!$G:$G,Dados!$E:$E,$B151,Dados!$C:$C,INDEX(R$3,1,1),Dados!$A:$A,INDEX($D:$E,MATCH("G",$D:$D,0),2))/COUNTIFS(Dados!$E:$E,$B151,Dados!$C:$C,INDEX(R$3,1,1),Dados!$A:$A,INDEX($D:$E,MATCH("G",$D:$D,0),2)))</f>
        <v/>
      </c>
      <c r="S151" s="66" t="str">
        <f ca="1">IF(COUNTIFS(Dados!$E:$E,$B151,Dados!$C:$C,INDEX(S$3,1,1),Dados!$A:$A,INDEX($D:$E,MATCH("G",$D:$D,0),2))=0,"",SUMIFS(Dados!$G:$G,Dados!$E:$E,$B151,Dados!$C:$C,INDEX(S$3,1,1),Dados!$A:$A,INDEX($D:$E,MATCH("G",$D:$D,0),2))/COUNTIFS(Dados!$E:$E,$B151,Dados!$C:$C,INDEX(S$3,1,1),Dados!$A:$A,INDEX($D:$E,MATCH("G",$D:$D,0),2)))</f>
        <v/>
      </c>
      <c r="T151" s="66" t="str">
        <f ca="1">IF(COUNTIFS(Dados!$E:$E,$B151,Dados!$C:$C,INDEX(T$3,1,1),Dados!$A:$A,INDEX($D:$E,MATCH("G",$D:$D,0),2))=0,"",SUMIFS(Dados!$G:$G,Dados!$E:$E,$B151,Dados!$C:$C,INDEX(T$3,1,1),Dados!$A:$A,INDEX($D:$E,MATCH("G",$D:$D,0),2))/COUNTIFS(Dados!$E:$E,$B151,Dados!$C:$C,INDEX(T$3,1,1),Dados!$A:$A,INDEX($D:$E,MATCH("G",$D:$D,0),2)))</f>
        <v/>
      </c>
      <c r="U151" s="66" t="str">
        <f ca="1">IF(COUNTIFS(Dados!$E:$E,$B151,Dados!$C:$C,INDEX(U$3,1,1),Dados!$A:$A,INDEX($D:$E,MATCH("G",$D:$D,0),2))=0,"",SUMIFS(Dados!$G:$G,Dados!$E:$E,$B151,Dados!$C:$C,INDEX(U$3,1,1),Dados!$A:$A,INDEX($D:$E,MATCH("G",$D:$D,0),2))/COUNTIFS(Dados!$E:$E,$B151,Dados!$C:$C,INDEX(U$3,1,1),Dados!$A:$A,INDEX($D:$E,MATCH("G",$D:$D,0),2)))</f>
        <v/>
      </c>
      <c r="V151" s="66" t="str">
        <f ca="1">IF(COUNTIFS(Dados!$E:$E,$B151,Dados!$C:$C,INDEX(V$3,1,1),Dados!$A:$A,INDEX($D:$E,MATCH("G",$D:$D,0),2))=0,"",SUMIFS(Dados!$G:$G,Dados!$E:$E,$B151,Dados!$C:$C,INDEX(V$3,1,1),Dados!$A:$A,INDEX($D:$E,MATCH("G",$D:$D,0),2))/COUNTIFS(Dados!$E:$E,$B151,Dados!$C:$C,INDEX(V$3,1,1),Dados!$A:$A,INDEX($D:$E,MATCH("G",$D:$D,0),2)))</f>
        <v/>
      </c>
    </row>
    <row r="152" spans="2:22" x14ac:dyDescent="0.25">
      <c r="B152" s="67" t="s">
        <v>96</v>
      </c>
      <c r="C152" s="71">
        <f>VLOOKUP(B152,B4:C22,2,0)</f>
        <v>2</v>
      </c>
      <c r="D152" s="68" t="str">
        <f ca="1">IF(COUNTIFS(Dados!$E:$E,$B152,Dados!$C:$C,INDEX(D$3,1,1),Dados!$A:$A,INDEX($D:$E,MATCH("G",$D:$D,0),2))=0,"",SUMIFS(Dados!$G:$G,Dados!$E:$E,$B152,Dados!$C:$C,INDEX(D$3,1,1),Dados!$A:$A,INDEX($D:$E,MATCH("G",$D:$D,0),2))/COUNTIFS(Dados!$E:$E,$B152,Dados!$C:$C,INDEX(D$3,1,1),Dados!$A:$A,INDEX($D:$E,MATCH("G",$D:$D,0),2)))</f>
        <v/>
      </c>
      <c r="E152" s="68" t="str">
        <f ca="1">IF(COUNTIFS(Dados!$E:$E,$B152,Dados!$C:$C,INDEX(E$3,1,1),Dados!$A:$A,INDEX($D:$E,MATCH("G",$D:$D,0),2))=0,"",SUMIFS(Dados!$G:$G,Dados!$E:$E,$B152,Dados!$C:$C,INDEX(E$3,1,1),Dados!$A:$A,INDEX($D:$E,MATCH("G",$D:$D,0),2))/COUNTIFS(Dados!$E:$E,$B152,Dados!$C:$C,INDEX(E$3,1,1),Dados!$A:$A,INDEX($D:$E,MATCH("G",$D:$D,0),2)))</f>
        <v/>
      </c>
      <c r="F152" s="68" t="str">
        <f ca="1">IF(COUNTIFS(Dados!$E:$E,$B152,Dados!$C:$C,INDEX(F$3,1,1),Dados!$A:$A,INDEX($D:$E,MATCH("G",$D:$D,0),2))=0,"",SUMIFS(Dados!$G:$G,Dados!$E:$E,$B152,Dados!$C:$C,INDEX(F$3,1,1),Dados!$A:$A,INDEX($D:$E,MATCH("G",$D:$D,0),2))/COUNTIFS(Dados!$E:$E,$B152,Dados!$C:$C,INDEX(F$3,1,1),Dados!$A:$A,INDEX($D:$E,MATCH("G",$D:$D,0),2)))</f>
        <v/>
      </c>
      <c r="G152" s="68" t="str">
        <f ca="1">IF(COUNTIFS(Dados!$E:$E,$B152,Dados!$C:$C,INDEX(G$3,1,1),Dados!$A:$A,INDEX($D:$E,MATCH("G",$D:$D,0),2))=0,"",SUMIFS(Dados!$G:$G,Dados!$E:$E,$B152,Dados!$C:$C,INDEX(G$3,1,1),Dados!$A:$A,INDEX($D:$E,MATCH("G",$D:$D,0),2))/COUNTIFS(Dados!$E:$E,$B152,Dados!$C:$C,INDEX(G$3,1,1),Dados!$A:$A,INDEX($D:$E,MATCH("G",$D:$D,0),2)))</f>
        <v/>
      </c>
      <c r="H152" s="68" t="str">
        <f ca="1">IF(COUNTIFS(Dados!$E:$E,$B152,Dados!$C:$C,INDEX(H$3,1,1),Dados!$A:$A,INDEX($D:$E,MATCH("G",$D:$D,0),2))=0,"",SUMIFS(Dados!$G:$G,Dados!$E:$E,$B152,Dados!$C:$C,INDEX(H$3,1,1),Dados!$A:$A,INDEX($D:$E,MATCH("G",$D:$D,0),2))/COUNTIFS(Dados!$E:$E,$B152,Dados!$C:$C,INDEX(H$3,1,1),Dados!$A:$A,INDEX($D:$E,MATCH("G",$D:$D,0),2)))</f>
        <v/>
      </c>
      <c r="I152" s="68" t="str">
        <f ca="1">IF(COUNTIFS(Dados!$E:$E,$B152,Dados!$C:$C,INDEX(I$3,1,1),Dados!$A:$A,INDEX($D:$E,MATCH("G",$D:$D,0),2))=0,"",SUMIFS(Dados!$G:$G,Dados!$E:$E,$B152,Dados!$C:$C,INDEX(I$3,1,1),Dados!$A:$A,INDEX($D:$E,MATCH("G",$D:$D,0),2))/COUNTIFS(Dados!$E:$E,$B152,Dados!$C:$C,INDEX(I$3,1,1),Dados!$A:$A,INDEX($D:$E,MATCH("G",$D:$D,0),2)))</f>
        <v/>
      </c>
      <c r="J152" s="68" t="str">
        <f ca="1">IF(COUNTIFS(Dados!$E:$E,$B152,Dados!$C:$C,INDEX(J$3,1,1),Dados!$A:$A,INDEX($D:$E,MATCH("G",$D:$D,0),2))=0,"",SUMIFS(Dados!$G:$G,Dados!$E:$E,$B152,Dados!$C:$C,INDEX(J$3,1,1),Dados!$A:$A,INDEX($D:$E,MATCH("G",$D:$D,0),2))/COUNTIFS(Dados!$E:$E,$B152,Dados!$C:$C,INDEX(J$3,1,1),Dados!$A:$A,INDEX($D:$E,MATCH("G",$D:$D,0),2)))</f>
        <v/>
      </c>
      <c r="K152" s="68" t="str">
        <f ca="1">IF(COUNTIFS(Dados!$E:$E,$B152,Dados!$C:$C,INDEX(K$3,1,1),Dados!$A:$A,INDEX($D:$E,MATCH("G",$D:$D,0),2))=0,"",SUMIFS(Dados!$G:$G,Dados!$E:$E,$B152,Dados!$C:$C,INDEX(K$3,1,1),Dados!$A:$A,INDEX($D:$E,MATCH("G",$D:$D,0),2))/COUNTIFS(Dados!$E:$E,$B152,Dados!$C:$C,INDEX(K$3,1,1),Dados!$A:$A,INDEX($D:$E,MATCH("G",$D:$D,0),2)))</f>
        <v/>
      </c>
      <c r="L152" s="68" t="str">
        <f ca="1">IF(COUNTIFS(Dados!$E:$E,$B152,Dados!$C:$C,INDEX(L$3,1,1),Dados!$A:$A,INDEX($D:$E,MATCH("G",$D:$D,0),2))=0,"",SUMIFS(Dados!$G:$G,Dados!$E:$E,$B152,Dados!$C:$C,INDEX(L$3,1,1),Dados!$A:$A,INDEX($D:$E,MATCH("G",$D:$D,0),2))/COUNTIFS(Dados!$E:$E,$B152,Dados!$C:$C,INDEX(L$3,1,1),Dados!$A:$A,INDEX($D:$E,MATCH("G",$D:$D,0),2)))</f>
        <v/>
      </c>
      <c r="M152" s="68" t="str">
        <f ca="1">IF(COUNTIFS(Dados!$E:$E,$B152,Dados!$C:$C,INDEX(M$3,1,1),Dados!$A:$A,INDEX($D:$E,MATCH("G",$D:$D,0),2))=0,"",SUMIFS(Dados!$G:$G,Dados!$E:$E,$B152,Dados!$C:$C,INDEX(M$3,1,1),Dados!$A:$A,INDEX($D:$E,MATCH("G",$D:$D,0),2))/COUNTIFS(Dados!$E:$E,$B152,Dados!$C:$C,INDEX(M$3,1,1),Dados!$A:$A,INDEX($D:$E,MATCH("G",$D:$D,0),2)))</f>
        <v/>
      </c>
      <c r="N152" s="68" t="str">
        <f ca="1">IF(COUNTIFS(Dados!$E:$E,$B152,Dados!$C:$C,INDEX(N$3,1,1),Dados!$A:$A,INDEX($D:$E,MATCH("G",$D:$D,0),2))=0,"",SUMIFS(Dados!$G:$G,Dados!$E:$E,$B152,Dados!$C:$C,INDEX(N$3,1,1),Dados!$A:$A,INDEX($D:$E,MATCH("G",$D:$D,0),2))/COUNTIFS(Dados!$E:$E,$B152,Dados!$C:$C,INDEX(N$3,1,1),Dados!$A:$A,INDEX($D:$E,MATCH("G",$D:$D,0),2)))</f>
        <v/>
      </c>
      <c r="O152" s="68" t="str">
        <f ca="1">IF(COUNTIFS(Dados!$E:$E,$B152,Dados!$C:$C,INDEX(O$3,1,1),Dados!$A:$A,INDEX($D:$E,MATCH("G",$D:$D,0),2))=0,"",SUMIFS(Dados!$G:$G,Dados!$E:$E,$B152,Dados!$C:$C,INDEX(O$3,1,1),Dados!$A:$A,INDEX($D:$E,MATCH("G",$D:$D,0),2))/COUNTIFS(Dados!$E:$E,$B152,Dados!$C:$C,INDEX(O$3,1,1),Dados!$A:$A,INDEX($D:$E,MATCH("G",$D:$D,0),2)))</f>
        <v/>
      </c>
      <c r="P152" s="68" t="str">
        <f ca="1">IF(COUNTIFS(Dados!$E:$E,$B152,Dados!$C:$C,INDEX(P$3,1,1),Dados!$A:$A,INDEX($D:$E,MATCH("G",$D:$D,0),2))=0,"",SUMIFS(Dados!$G:$G,Dados!$E:$E,$B152,Dados!$C:$C,INDEX(P$3,1,1),Dados!$A:$A,INDEX($D:$E,MATCH("G",$D:$D,0),2))/COUNTIFS(Dados!$E:$E,$B152,Dados!$C:$C,INDEX(P$3,1,1),Dados!$A:$A,INDEX($D:$E,MATCH("G",$D:$D,0),2)))</f>
        <v/>
      </c>
      <c r="Q152" s="68" t="str">
        <f ca="1">IF(COUNTIFS(Dados!$E:$E,$B152,Dados!$C:$C,INDEX(Q$3,1,1),Dados!$A:$A,INDEX($D:$E,MATCH("G",$D:$D,0),2))=0,"",SUMIFS(Dados!$G:$G,Dados!$E:$E,$B152,Dados!$C:$C,INDEX(Q$3,1,1),Dados!$A:$A,INDEX($D:$E,MATCH("G",$D:$D,0),2))/COUNTIFS(Dados!$E:$E,$B152,Dados!$C:$C,INDEX(Q$3,1,1),Dados!$A:$A,INDEX($D:$E,MATCH("G",$D:$D,0),2)))</f>
        <v/>
      </c>
      <c r="R152" s="68" t="str">
        <f ca="1">IF(COUNTIFS(Dados!$E:$E,$B152,Dados!$C:$C,INDEX(R$3,1,1),Dados!$A:$A,INDEX($D:$E,MATCH("G",$D:$D,0),2))=0,"",SUMIFS(Dados!$G:$G,Dados!$E:$E,$B152,Dados!$C:$C,INDEX(R$3,1,1),Dados!$A:$A,INDEX($D:$E,MATCH("G",$D:$D,0),2))/COUNTIFS(Dados!$E:$E,$B152,Dados!$C:$C,INDEX(R$3,1,1),Dados!$A:$A,INDEX($D:$E,MATCH("G",$D:$D,0),2)))</f>
        <v/>
      </c>
      <c r="S152" s="68" t="str">
        <f ca="1">IF(COUNTIFS(Dados!$E:$E,$B152,Dados!$C:$C,INDEX(S$3,1,1),Dados!$A:$A,INDEX($D:$E,MATCH("G",$D:$D,0),2))=0,"",SUMIFS(Dados!$G:$G,Dados!$E:$E,$B152,Dados!$C:$C,INDEX(S$3,1,1),Dados!$A:$A,INDEX($D:$E,MATCH("G",$D:$D,0),2))/COUNTIFS(Dados!$E:$E,$B152,Dados!$C:$C,INDEX(S$3,1,1),Dados!$A:$A,INDEX($D:$E,MATCH("G",$D:$D,0),2)))</f>
        <v/>
      </c>
      <c r="T152" s="68" t="str">
        <f ca="1">IF(COUNTIFS(Dados!$E:$E,$B152,Dados!$C:$C,INDEX(T$3,1,1),Dados!$A:$A,INDEX($D:$E,MATCH("G",$D:$D,0),2))=0,"",SUMIFS(Dados!$G:$G,Dados!$E:$E,$B152,Dados!$C:$C,INDEX(T$3,1,1),Dados!$A:$A,INDEX($D:$E,MATCH("G",$D:$D,0),2))/COUNTIFS(Dados!$E:$E,$B152,Dados!$C:$C,INDEX(T$3,1,1),Dados!$A:$A,INDEX($D:$E,MATCH("G",$D:$D,0),2)))</f>
        <v/>
      </c>
      <c r="U152" s="68" t="str">
        <f ca="1">IF(COUNTIFS(Dados!$E:$E,$B152,Dados!$C:$C,INDEX(U$3,1,1),Dados!$A:$A,INDEX($D:$E,MATCH("G",$D:$D,0),2))=0,"",SUMIFS(Dados!$G:$G,Dados!$E:$E,$B152,Dados!$C:$C,INDEX(U$3,1,1),Dados!$A:$A,INDEX($D:$E,MATCH("G",$D:$D,0),2))/COUNTIFS(Dados!$E:$E,$B152,Dados!$C:$C,INDEX(U$3,1,1),Dados!$A:$A,INDEX($D:$E,MATCH("G",$D:$D,0),2)))</f>
        <v/>
      </c>
      <c r="V152" s="68" t="str">
        <f ca="1">IF(COUNTIFS(Dados!$E:$E,$B152,Dados!$C:$C,INDEX(V$3,1,1),Dados!$A:$A,INDEX($D:$E,MATCH("G",$D:$D,0),2))=0,"",SUMIFS(Dados!$G:$G,Dados!$E:$E,$B152,Dados!$C:$C,INDEX(V$3,1,1),Dados!$A:$A,INDEX($D:$E,MATCH("G",$D:$D,0),2))/COUNTIFS(Dados!$E:$E,$B152,Dados!$C:$C,INDEX(V$3,1,1),Dados!$A:$A,INDEX($D:$E,MATCH("G",$D:$D,0),2)))</f>
        <v/>
      </c>
    </row>
    <row r="153" spans="2:22" x14ac:dyDescent="0.25">
      <c r="B153" s="65" t="s">
        <v>1297</v>
      </c>
      <c r="C153" s="72">
        <f>VLOOKUP(B153,B4:C22,2,0)</f>
        <v>3</v>
      </c>
      <c r="D153" s="66" t="str">
        <f ca="1">IF(COUNTIFS(Dados!$E:$E,$B153,Dados!$C:$C,INDEX(D$3,1,1),Dados!$A:$A,INDEX($D:$E,MATCH("G",$D:$D,0),2))=0,"",SUMIFS(Dados!$G:$G,Dados!$E:$E,$B153,Dados!$C:$C,INDEX(D$3,1,1),Dados!$A:$A,INDEX($D:$E,MATCH("G",$D:$D,0),2))/COUNTIFS(Dados!$E:$E,$B153,Dados!$C:$C,INDEX(D$3,1,1),Dados!$A:$A,INDEX($D:$E,MATCH("G",$D:$D,0),2)))</f>
        <v/>
      </c>
      <c r="E153" s="66" t="str">
        <f ca="1">IF(COUNTIFS(Dados!$E:$E,$B153,Dados!$C:$C,INDEX(E$3,1,1),Dados!$A:$A,INDEX($D:$E,MATCH("G",$D:$D,0),2))=0,"",SUMIFS(Dados!$G:$G,Dados!$E:$E,$B153,Dados!$C:$C,INDEX(E$3,1,1),Dados!$A:$A,INDEX($D:$E,MATCH("G",$D:$D,0),2))/COUNTIFS(Dados!$E:$E,$B153,Dados!$C:$C,INDEX(E$3,1,1),Dados!$A:$A,INDEX($D:$E,MATCH("G",$D:$D,0),2)))</f>
        <v/>
      </c>
      <c r="F153" s="66" t="str">
        <f ca="1">IF(COUNTIFS(Dados!$E:$E,$B153,Dados!$C:$C,INDEX(F$3,1,1),Dados!$A:$A,INDEX($D:$E,MATCH("G",$D:$D,0),2))=0,"",SUMIFS(Dados!$G:$G,Dados!$E:$E,$B153,Dados!$C:$C,INDEX(F$3,1,1),Dados!$A:$A,INDEX($D:$E,MATCH("G",$D:$D,0),2))/COUNTIFS(Dados!$E:$E,$B153,Dados!$C:$C,INDEX(F$3,1,1),Dados!$A:$A,INDEX($D:$E,MATCH("G",$D:$D,0),2)))</f>
        <v/>
      </c>
      <c r="G153" s="66" t="str">
        <f ca="1">IF(COUNTIFS(Dados!$E:$E,$B153,Dados!$C:$C,INDEX(G$3,1,1),Dados!$A:$A,INDEX($D:$E,MATCH("G",$D:$D,0),2))=0,"",SUMIFS(Dados!$G:$G,Dados!$E:$E,$B153,Dados!$C:$C,INDEX(G$3,1,1),Dados!$A:$A,INDEX($D:$E,MATCH("G",$D:$D,0),2))/COUNTIFS(Dados!$E:$E,$B153,Dados!$C:$C,INDEX(G$3,1,1),Dados!$A:$A,INDEX($D:$E,MATCH("G",$D:$D,0),2)))</f>
        <v/>
      </c>
      <c r="H153" s="66" t="str">
        <f ca="1">IF(COUNTIFS(Dados!$E:$E,$B153,Dados!$C:$C,INDEX(H$3,1,1),Dados!$A:$A,INDEX($D:$E,MATCH("G",$D:$D,0),2))=0,"",SUMIFS(Dados!$G:$G,Dados!$E:$E,$B153,Dados!$C:$C,INDEX(H$3,1,1),Dados!$A:$A,INDEX($D:$E,MATCH("G",$D:$D,0),2))/COUNTIFS(Dados!$E:$E,$B153,Dados!$C:$C,INDEX(H$3,1,1),Dados!$A:$A,INDEX($D:$E,MATCH("G",$D:$D,0),2)))</f>
        <v/>
      </c>
      <c r="I153" s="66" t="str">
        <f ca="1">IF(COUNTIFS(Dados!$E:$E,$B153,Dados!$C:$C,INDEX(I$3,1,1),Dados!$A:$A,INDEX($D:$E,MATCH("G",$D:$D,0),2))=0,"",SUMIFS(Dados!$G:$G,Dados!$E:$E,$B153,Dados!$C:$C,INDEX(I$3,1,1),Dados!$A:$A,INDEX($D:$E,MATCH("G",$D:$D,0),2))/COUNTIFS(Dados!$E:$E,$B153,Dados!$C:$C,INDEX(I$3,1,1),Dados!$A:$A,INDEX($D:$E,MATCH("G",$D:$D,0),2)))</f>
        <v/>
      </c>
      <c r="J153" s="66" t="str">
        <f ca="1">IF(COUNTIFS(Dados!$E:$E,$B153,Dados!$C:$C,INDEX(J$3,1,1),Dados!$A:$A,INDEX($D:$E,MATCH("G",$D:$D,0),2))=0,"",SUMIFS(Dados!$G:$G,Dados!$E:$E,$B153,Dados!$C:$C,INDEX(J$3,1,1),Dados!$A:$A,INDEX($D:$E,MATCH("G",$D:$D,0),2))/COUNTIFS(Dados!$E:$E,$B153,Dados!$C:$C,INDEX(J$3,1,1),Dados!$A:$A,INDEX($D:$E,MATCH("G",$D:$D,0),2)))</f>
        <v/>
      </c>
      <c r="K153" s="66" t="str">
        <f ca="1">IF(COUNTIFS(Dados!$E:$E,$B153,Dados!$C:$C,INDEX(K$3,1,1),Dados!$A:$A,INDEX($D:$E,MATCH("G",$D:$D,0),2))=0,"",SUMIFS(Dados!$G:$G,Dados!$E:$E,$B153,Dados!$C:$C,INDEX(K$3,1,1),Dados!$A:$A,INDEX($D:$E,MATCH("G",$D:$D,0),2))/COUNTIFS(Dados!$E:$E,$B153,Dados!$C:$C,INDEX(K$3,1,1),Dados!$A:$A,INDEX($D:$E,MATCH("G",$D:$D,0),2)))</f>
        <v/>
      </c>
      <c r="L153" s="66" t="str">
        <f ca="1">IF(COUNTIFS(Dados!$E:$E,$B153,Dados!$C:$C,INDEX(L$3,1,1),Dados!$A:$A,INDEX($D:$E,MATCH("G",$D:$D,0),2))=0,"",SUMIFS(Dados!$G:$G,Dados!$E:$E,$B153,Dados!$C:$C,INDEX(L$3,1,1),Dados!$A:$A,INDEX($D:$E,MATCH("G",$D:$D,0),2))/COUNTIFS(Dados!$E:$E,$B153,Dados!$C:$C,INDEX(L$3,1,1),Dados!$A:$A,INDEX($D:$E,MATCH("G",$D:$D,0),2)))</f>
        <v/>
      </c>
      <c r="M153" s="66" t="str">
        <f ca="1">IF(COUNTIFS(Dados!$E:$E,$B153,Dados!$C:$C,INDEX(M$3,1,1),Dados!$A:$A,INDEX($D:$E,MATCH("G",$D:$D,0),2))=0,"",SUMIFS(Dados!$G:$G,Dados!$E:$E,$B153,Dados!$C:$C,INDEX(M$3,1,1),Dados!$A:$A,INDEX($D:$E,MATCH("G",$D:$D,0),2))/COUNTIFS(Dados!$E:$E,$B153,Dados!$C:$C,INDEX(M$3,1,1),Dados!$A:$A,INDEX($D:$E,MATCH("G",$D:$D,0),2)))</f>
        <v/>
      </c>
      <c r="N153" s="66" t="str">
        <f ca="1">IF(COUNTIFS(Dados!$E:$E,$B153,Dados!$C:$C,INDEX(N$3,1,1),Dados!$A:$A,INDEX($D:$E,MATCH("G",$D:$D,0),2))=0,"",SUMIFS(Dados!$G:$G,Dados!$E:$E,$B153,Dados!$C:$C,INDEX(N$3,1,1),Dados!$A:$A,INDEX($D:$E,MATCH("G",$D:$D,0),2))/COUNTIFS(Dados!$E:$E,$B153,Dados!$C:$C,INDEX(N$3,1,1),Dados!$A:$A,INDEX($D:$E,MATCH("G",$D:$D,0),2)))</f>
        <v/>
      </c>
      <c r="O153" s="66" t="str">
        <f ca="1">IF(COUNTIFS(Dados!$E:$E,$B153,Dados!$C:$C,INDEX(O$3,1,1),Dados!$A:$A,INDEX($D:$E,MATCH("G",$D:$D,0),2))=0,"",SUMIFS(Dados!$G:$G,Dados!$E:$E,$B153,Dados!$C:$C,INDEX(O$3,1,1),Dados!$A:$A,INDEX($D:$E,MATCH("G",$D:$D,0),2))/COUNTIFS(Dados!$E:$E,$B153,Dados!$C:$C,INDEX(O$3,1,1),Dados!$A:$A,INDEX($D:$E,MATCH("G",$D:$D,0),2)))</f>
        <v/>
      </c>
      <c r="P153" s="66" t="str">
        <f ca="1">IF(COUNTIFS(Dados!$E:$E,$B153,Dados!$C:$C,INDEX(P$3,1,1),Dados!$A:$A,INDEX($D:$E,MATCH("G",$D:$D,0),2))=0,"",SUMIFS(Dados!$G:$G,Dados!$E:$E,$B153,Dados!$C:$C,INDEX(P$3,1,1),Dados!$A:$A,INDEX($D:$E,MATCH("G",$D:$D,0),2))/COUNTIFS(Dados!$E:$E,$B153,Dados!$C:$C,INDEX(P$3,1,1),Dados!$A:$A,INDEX($D:$E,MATCH("G",$D:$D,0),2)))</f>
        <v/>
      </c>
      <c r="Q153" s="66" t="str">
        <f ca="1">IF(COUNTIFS(Dados!$E:$E,$B153,Dados!$C:$C,INDEX(Q$3,1,1),Dados!$A:$A,INDEX($D:$E,MATCH("G",$D:$D,0),2))=0,"",SUMIFS(Dados!$G:$G,Dados!$E:$E,$B153,Dados!$C:$C,INDEX(Q$3,1,1),Dados!$A:$A,INDEX($D:$E,MATCH("G",$D:$D,0),2))/COUNTIFS(Dados!$E:$E,$B153,Dados!$C:$C,INDEX(Q$3,1,1),Dados!$A:$A,INDEX($D:$E,MATCH("G",$D:$D,0),2)))</f>
        <v/>
      </c>
      <c r="R153" s="66" t="str">
        <f ca="1">IF(COUNTIFS(Dados!$E:$E,$B153,Dados!$C:$C,INDEX(R$3,1,1),Dados!$A:$A,INDEX($D:$E,MATCH("G",$D:$D,0),2))=0,"",SUMIFS(Dados!$G:$G,Dados!$E:$E,$B153,Dados!$C:$C,INDEX(R$3,1,1),Dados!$A:$A,INDEX($D:$E,MATCH("G",$D:$D,0),2))/COUNTIFS(Dados!$E:$E,$B153,Dados!$C:$C,INDEX(R$3,1,1),Dados!$A:$A,INDEX($D:$E,MATCH("G",$D:$D,0),2)))</f>
        <v/>
      </c>
      <c r="S153" s="66" t="str">
        <f ca="1">IF(COUNTIFS(Dados!$E:$E,$B153,Dados!$C:$C,INDEX(S$3,1,1),Dados!$A:$A,INDEX($D:$E,MATCH("G",$D:$D,0),2))=0,"",SUMIFS(Dados!$G:$G,Dados!$E:$E,$B153,Dados!$C:$C,INDEX(S$3,1,1),Dados!$A:$A,INDEX($D:$E,MATCH("G",$D:$D,0),2))/COUNTIFS(Dados!$E:$E,$B153,Dados!$C:$C,INDEX(S$3,1,1),Dados!$A:$A,INDEX($D:$E,MATCH("G",$D:$D,0),2)))</f>
        <v/>
      </c>
      <c r="T153" s="66" t="str">
        <f ca="1">IF(COUNTIFS(Dados!$E:$E,$B153,Dados!$C:$C,INDEX(T$3,1,1),Dados!$A:$A,INDEX($D:$E,MATCH("G",$D:$D,0),2))=0,"",SUMIFS(Dados!$G:$G,Dados!$E:$E,$B153,Dados!$C:$C,INDEX(T$3,1,1),Dados!$A:$A,INDEX($D:$E,MATCH("G",$D:$D,0),2))/COUNTIFS(Dados!$E:$E,$B153,Dados!$C:$C,INDEX(T$3,1,1),Dados!$A:$A,INDEX($D:$E,MATCH("G",$D:$D,0),2)))</f>
        <v/>
      </c>
      <c r="U153" s="66" t="str">
        <f ca="1">IF(COUNTIFS(Dados!$E:$E,$B153,Dados!$C:$C,INDEX(U$3,1,1),Dados!$A:$A,INDEX($D:$E,MATCH("G",$D:$D,0),2))=0,"",SUMIFS(Dados!$G:$G,Dados!$E:$E,$B153,Dados!$C:$C,INDEX(U$3,1,1),Dados!$A:$A,INDEX($D:$E,MATCH("G",$D:$D,0),2))/COUNTIFS(Dados!$E:$E,$B153,Dados!$C:$C,INDEX(U$3,1,1),Dados!$A:$A,INDEX($D:$E,MATCH("G",$D:$D,0),2)))</f>
        <v/>
      </c>
      <c r="V153" s="66" t="str">
        <f ca="1">IF(COUNTIFS(Dados!$E:$E,$B153,Dados!$C:$C,INDEX(V$3,1,1),Dados!$A:$A,INDEX($D:$E,MATCH("G",$D:$D,0),2))=0,"",SUMIFS(Dados!$G:$G,Dados!$E:$E,$B153,Dados!$C:$C,INDEX(V$3,1,1),Dados!$A:$A,INDEX($D:$E,MATCH("G",$D:$D,0),2))/COUNTIFS(Dados!$E:$E,$B153,Dados!$C:$C,INDEX(V$3,1,1),Dados!$A:$A,INDEX($D:$E,MATCH("G",$D:$D,0),2)))</f>
        <v/>
      </c>
    </row>
    <row r="154" spans="2:22" x14ac:dyDescent="0.25">
      <c r="B154" s="67" t="s">
        <v>1303</v>
      </c>
      <c r="C154" s="71">
        <f>VLOOKUP(B154,B4:C22,2,0)</f>
        <v>4</v>
      </c>
      <c r="D154" s="68" t="str">
        <f ca="1">IF(COUNTIFS(Dados!$E:$E,$B154,Dados!$C:$C,INDEX(D$3,1,1),Dados!$A:$A,INDEX($D:$E,MATCH("G",$D:$D,0),2))=0,"",SUMIFS(Dados!$G:$G,Dados!$E:$E,$B154,Dados!$C:$C,INDEX(D$3,1,1),Dados!$A:$A,INDEX($D:$E,MATCH("G",$D:$D,0),2))/COUNTIFS(Dados!$E:$E,$B154,Dados!$C:$C,INDEX(D$3,1,1),Dados!$A:$A,INDEX($D:$E,MATCH("G",$D:$D,0),2)))</f>
        <v/>
      </c>
      <c r="E154" s="68" t="str">
        <f ca="1">IF(COUNTIFS(Dados!$E:$E,$B154,Dados!$C:$C,INDEX(E$3,1,1),Dados!$A:$A,INDEX($D:$E,MATCH("G",$D:$D,0),2))=0,"",SUMIFS(Dados!$G:$G,Dados!$E:$E,$B154,Dados!$C:$C,INDEX(E$3,1,1),Dados!$A:$A,INDEX($D:$E,MATCH("G",$D:$D,0),2))/COUNTIFS(Dados!$E:$E,$B154,Dados!$C:$C,INDEX(E$3,1,1),Dados!$A:$A,INDEX($D:$E,MATCH("G",$D:$D,0),2)))</f>
        <v/>
      </c>
      <c r="F154" s="68" t="str">
        <f ca="1">IF(COUNTIFS(Dados!$E:$E,$B154,Dados!$C:$C,INDEX(F$3,1,1),Dados!$A:$A,INDEX($D:$E,MATCH("G",$D:$D,0),2))=0,"",SUMIFS(Dados!$G:$G,Dados!$E:$E,$B154,Dados!$C:$C,INDEX(F$3,1,1),Dados!$A:$A,INDEX($D:$E,MATCH("G",$D:$D,0),2))/COUNTIFS(Dados!$E:$E,$B154,Dados!$C:$C,INDEX(F$3,1,1),Dados!$A:$A,INDEX($D:$E,MATCH("G",$D:$D,0),2)))</f>
        <v/>
      </c>
      <c r="G154" s="68" t="str">
        <f ca="1">IF(COUNTIFS(Dados!$E:$E,$B154,Dados!$C:$C,INDEX(G$3,1,1),Dados!$A:$A,INDEX($D:$E,MATCH("G",$D:$D,0),2))=0,"",SUMIFS(Dados!$G:$G,Dados!$E:$E,$B154,Dados!$C:$C,INDEX(G$3,1,1),Dados!$A:$A,INDEX($D:$E,MATCH("G",$D:$D,0),2))/COUNTIFS(Dados!$E:$E,$B154,Dados!$C:$C,INDEX(G$3,1,1),Dados!$A:$A,INDEX($D:$E,MATCH("G",$D:$D,0),2)))</f>
        <v/>
      </c>
      <c r="H154" s="68" t="str">
        <f ca="1">IF(COUNTIFS(Dados!$E:$E,$B154,Dados!$C:$C,INDEX(H$3,1,1),Dados!$A:$A,INDEX($D:$E,MATCH("G",$D:$D,0),2))=0,"",SUMIFS(Dados!$G:$G,Dados!$E:$E,$B154,Dados!$C:$C,INDEX(H$3,1,1),Dados!$A:$A,INDEX($D:$E,MATCH("G",$D:$D,0),2))/COUNTIFS(Dados!$E:$E,$B154,Dados!$C:$C,INDEX(H$3,1,1),Dados!$A:$A,INDEX($D:$E,MATCH("G",$D:$D,0),2)))</f>
        <v/>
      </c>
      <c r="I154" s="68" t="str">
        <f ca="1">IF(COUNTIFS(Dados!$E:$E,$B154,Dados!$C:$C,INDEX(I$3,1,1),Dados!$A:$A,INDEX($D:$E,MATCH("G",$D:$D,0),2))=0,"",SUMIFS(Dados!$G:$G,Dados!$E:$E,$B154,Dados!$C:$C,INDEX(I$3,1,1),Dados!$A:$A,INDEX($D:$E,MATCH("G",$D:$D,0),2))/COUNTIFS(Dados!$E:$E,$B154,Dados!$C:$C,INDEX(I$3,1,1),Dados!$A:$A,INDEX($D:$E,MATCH("G",$D:$D,0),2)))</f>
        <v/>
      </c>
      <c r="J154" s="68" t="str">
        <f ca="1">IF(COUNTIFS(Dados!$E:$E,$B154,Dados!$C:$C,INDEX(J$3,1,1),Dados!$A:$A,INDEX($D:$E,MATCH("G",$D:$D,0),2))=0,"",SUMIFS(Dados!$G:$G,Dados!$E:$E,$B154,Dados!$C:$C,INDEX(J$3,1,1),Dados!$A:$A,INDEX($D:$E,MATCH("G",$D:$D,0),2))/COUNTIFS(Dados!$E:$E,$B154,Dados!$C:$C,INDEX(J$3,1,1),Dados!$A:$A,INDEX($D:$E,MATCH("G",$D:$D,0),2)))</f>
        <v/>
      </c>
      <c r="K154" s="68" t="str">
        <f ca="1">IF(COUNTIFS(Dados!$E:$E,$B154,Dados!$C:$C,INDEX(K$3,1,1),Dados!$A:$A,INDEX($D:$E,MATCH("G",$D:$D,0),2))=0,"",SUMIFS(Dados!$G:$G,Dados!$E:$E,$B154,Dados!$C:$C,INDEX(K$3,1,1),Dados!$A:$A,INDEX($D:$E,MATCH("G",$D:$D,0),2))/COUNTIFS(Dados!$E:$E,$B154,Dados!$C:$C,INDEX(K$3,1,1),Dados!$A:$A,INDEX($D:$E,MATCH("G",$D:$D,0),2)))</f>
        <v/>
      </c>
      <c r="L154" s="68" t="str">
        <f ca="1">IF(COUNTIFS(Dados!$E:$E,$B154,Dados!$C:$C,INDEX(L$3,1,1),Dados!$A:$A,INDEX($D:$E,MATCH("G",$D:$D,0),2))=0,"",SUMIFS(Dados!$G:$G,Dados!$E:$E,$B154,Dados!$C:$C,INDEX(L$3,1,1),Dados!$A:$A,INDEX($D:$E,MATCH("G",$D:$D,0),2))/COUNTIFS(Dados!$E:$E,$B154,Dados!$C:$C,INDEX(L$3,1,1),Dados!$A:$A,INDEX($D:$E,MATCH("G",$D:$D,0),2)))</f>
        <v/>
      </c>
      <c r="M154" s="68" t="str">
        <f ca="1">IF(COUNTIFS(Dados!$E:$E,$B154,Dados!$C:$C,INDEX(M$3,1,1),Dados!$A:$A,INDEX($D:$E,MATCH("G",$D:$D,0),2))=0,"",SUMIFS(Dados!$G:$G,Dados!$E:$E,$B154,Dados!$C:$C,INDEX(M$3,1,1),Dados!$A:$A,INDEX($D:$E,MATCH("G",$D:$D,0),2))/COUNTIFS(Dados!$E:$E,$B154,Dados!$C:$C,INDEX(M$3,1,1),Dados!$A:$A,INDEX($D:$E,MATCH("G",$D:$D,0),2)))</f>
        <v/>
      </c>
      <c r="N154" s="68" t="str">
        <f ca="1">IF(COUNTIFS(Dados!$E:$E,$B154,Dados!$C:$C,INDEX(N$3,1,1),Dados!$A:$A,INDEX($D:$E,MATCH("G",$D:$D,0),2))=0,"",SUMIFS(Dados!$G:$G,Dados!$E:$E,$B154,Dados!$C:$C,INDEX(N$3,1,1),Dados!$A:$A,INDEX($D:$E,MATCH("G",$D:$D,0),2))/COUNTIFS(Dados!$E:$E,$B154,Dados!$C:$C,INDEX(N$3,1,1),Dados!$A:$A,INDEX($D:$E,MATCH("G",$D:$D,0),2)))</f>
        <v/>
      </c>
      <c r="O154" s="68" t="str">
        <f ca="1">IF(COUNTIFS(Dados!$E:$E,$B154,Dados!$C:$C,INDEX(O$3,1,1),Dados!$A:$A,INDEX($D:$E,MATCH("G",$D:$D,0),2))=0,"",SUMIFS(Dados!$G:$G,Dados!$E:$E,$B154,Dados!$C:$C,INDEX(O$3,1,1),Dados!$A:$A,INDEX($D:$E,MATCH("G",$D:$D,0),2))/COUNTIFS(Dados!$E:$E,$B154,Dados!$C:$C,INDEX(O$3,1,1),Dados!$A:$A,INDEX($D:$E,MATCH("G",$D:$D,0),2)))</f>
        <v/>
      </c>
      <c r="P154" s="68" t="str">
        <f ca="1">IF(COUNTIFS(Dados!$E:$E,$B154,Dados!$C:$C,INDEX(P$3,1,1),Dados!$A:$A,INDEX($D:$E,MATCH("G",$D:$D,0),2))=0,"",SUMIFS(Dados!$G:$G,Dados!$E:$E,$B154,Dados!$C:$C,INDEX(P$3,1,1),Dados!$A:$A,INDEX($D:$E,MATCH("G",$D:$D,0),2))/COUNTIFS(Dados!$E:$E,$B154,Dados!$C:$C,INDEX(P$3,1,1),Dados!$A:$A,INDEX($D:$E,MATCH("G",$D:$D,0),2)))</f>
        <v/>
      </c>
      <c r="Q154" s="68" t="str">
        <f ca="1">IF(COUNTIFS(Dados!$E:$E,$B154,Dados!$C:$C,INDEX(Q$3,1,1),Dados!$A:$A,INDEX($D:$E,MATCH("G",$D:$D,0),2))=0,"",SUMIFS(Dados!$G:$G,Dados!$E:$E,$B154,Dados!$C:$C,INDEX(Q$3,1,1),Dados!$A:$A,INDEX($D:$E,MATCH("G",$D:$D,0),2))/COUNTIFS(Dados!$E:$E,$B154,Dados!$C:$C,INDEX(Q$3,1,1),Dados!$A:$A,INDEX($D:$E,MATCH("G",$D:$D,0),2)))</f>
        <v/>
      </c>
      <c r="R154" s="68" t="str">
        <f ca="1">IF(COUNTIFS(Dados!$E:$E,$B154,Dados!$C:$C,INDEX(R$3,1,1),Dados!$A:$A,INDEX($D:$E,MATCH("G",$D:$D,0),2))=0,"",SUMIFS(Dados!$G:$G,Dados!$E:$E,$B154,Dados!$C:$C,INDEX(R$3,1,1),Dados!$A:$A,INDEX($D:$E,MATCH("G",$D:$D,0),2))/COUNTIFS(Dados!$E:$E,$B154,Dados!$C:$C,INDEX(R$3,1,1),Dados!$A:$A,INDEX($D:$E,MATCH("G",$D:$D,0),2)))</f>
        <v/>
      </c>
      <c r="S154" s="68" t="str">
        <f ca="1">IF(COUNTIFS(Dados!$E:$E,$B154,Dados!$C:$C,INDEX(S$3,1,1),Dados!$A:$A,INDEX($D:$E,MATCH("G",$D:$D,0),2))=0,"",SUMIFS(Dados!$G:$G,Dados!$E:$E,$B154,Dados!$C:$C,INDEX(S$3,1,1),Dados!$A:$A,INDEX($D:$E,MATCH("G",$D:$D,0),2))/COUNTIFS(Dados!$E:$E,$B154,Dados!$C:$C,INDEX(S$3,1,1),Dados!$A:$A,INDEX($D:$E,MATCH("G",$D:$D,0),2)))</f>
        <v/>
      </c>
      <c r="T154" s="68" t="str">
        <f ca="1">IF(COUNTIFS(Dados!$E:$E,$B154,Dados!$C:$C,INDEX(T$3,1,1),Dados!$A:$A,INDEX($D:$E,MATCH("G",$D:$D,0),2))=0,"",SUMIFS(Dados!$G:$G,Dados!$E:$E,$B154,Dados!$C:$C,INDEX(T$3,1,1),Dados!$A:$A,INDEX($D:$E,MATCH("G",$D:$D,0),2))/COUNTIFS(Dados!$E:$E,$B154,Dados!$C:$C,INDEX(T$3,1,1),Dados!$A:$A,INDEX($D:$E,MATCH("G",$D:$D,0),2)))</f>
        <v/>
      </c>
      <c r="U154" s="68" t="str">
        <f ca="1">IF(COUNTIFS(Dados!$E:$E,$B154,Dados!$C:$C,INDEX(U$3,1,1),Dados!$A:$A,INDEX($D:$E,MATCH("G",$D:$D,0),2))=0,"",SUMIFS(Dados!$G:$G,Dados!$E:$E,$B154,Dados!$C:$C,INDEX(U$3,1,1),Dados!$A:$A,INDEX($D:$E,MATCH("G",$D:$D,0),2))/COUNTIFS(Dados!$E:$E,$B154,Dados!$C:$C,INDEX(U$3,1,1),Dados!$A:$A,INDEX($D:$E,MATCH("G",$D:$D,0),2)))</f>
        <v/>
      </c>
      <c r="V154" s="68" t="str">
        <f ca="1">IF(COUNTIFS(Dados!$E:$E,$B154,Dados!$C:$C,INDEX(V$3,1,1),Dados!$A:$A,INDEX($D:$E,MATCH("G",$D:$D,0),2))=0,"",SUMIFS(Dados!$G:$G,Dados!$E:$E,$B154,Dados!$C:$C,INDEX(V$3,1,1),Dados!$A:$A,INDEX($D:$E,MATCH("G",$D:$D,0),2))/COUNTIFS(Dados!$E:$E,$B154,Dados!$C:$C,INDEX(V$3,1,1),Dados!$A:$A,INDEX($D:$E,MATCH("G",$D:$D,0),2)))</f>
        <v/>
      </c>
    </row>
    <row r="155" spans="2:22" x14ac:dyDescent="0.25">
      <c r="B155" s="65" t="s">
        <v>1304</v>
      </c>
      <c r="C155" s="72">
        <f>VLOOKUP(B155,B4:C22,2,0)</f>
        <v>5</v>
      </c>
      <c r="D155" s="66" t="str">
        <f ca="1">IF(COUNTIFS(Dados!$E:$E,$B155,Dados!$C:$C,INDEX(D$3,1,1),Dados!$A:$A,INDEX($D:$E,MATCH("G",$D:$D,0),2))=0,"",SUMIFS(Dados!$G:$G,Dados!$E:$E,$B155,Dados!$C:$C,INDEX(D$3,1,1),Dados!$A:$A,INDEX($D:$E,MATCH("G",$D:$D,0),2))/COUNTIFS(Dados!$E:$E,$B155,Dados!$C:$C,INDEX(D$3,1,1),Dados!$A:$A,INDEX($D:$E,MATCH("G",$D:$D,0),2)))</f>
        <v/>
      </c>
      <c r="E155" s="66" t="str">
        <f ca="1">IF(COUNTIFS(Dados!$E:$E,$B155,Dados!$C:$C,INDEX(E$3,1,1),Dados!$A:$A,INDEX($D:$E,MATCH("G",$D:$D,0),2))=0,"",SUMIFS(Dados!$G:$G,Dados!$E:$E,$B155,Dados!$C:$C,INDEX(E$3,1,1),Dados!$A:$A,INDEX($D:$E,MATCH("G",$D:$D,0),2))/COUNTIFS(Dados!$E:$E,$B155,Dados!$C:$C,INDEX(E$3,1,1),Dados!$A:$A,INDEX($D:$E,MATCH("G",$D:$D,0),2)))</f>
        <v/>
      </c>
      <c r="F155" s="66" t="str">
        <f ca="1">IF(COUNTIFS(Dados!$E:$E,$B155,Dados!$C:$C,INDEX(F$3,1,1),Dados!$A:$A,INDEX($D:$E,MATCH("G",$D:$D,0),2))=0,"",SUMIFS(Dados!$G:$G,Dados!$E:$E,$B155,Dados!$C:$C,INDEX(F$3,1,1),Dados!$A:$A,INDEX($D:$E,MATCH("G",$D:$D,0),2))/COUNTIFS(Dados!$E:$E,$B155,Dados!$C:$C,INDEX(F$3,1,1),Dados!$A:$A,INDEX($D:$E,MATCH("G",$D:$D,0),2)))</f>
        <v/>
      </c>
      <c r="G155" s="66" t="str">
        <f ca="1">IF(COUNTIFS(Dados!$E:$E,$B155,Dados!$C:$C,INDEX(G$3,1,1),Dados!$A:$A,INDEX($D:$E,MATCH("G",$D:$D,0),2))=0,"",SUMIFS(Dados!$G:$G,Dados!$E:$E,$B155,Dados!$C:$C,INDEX(G$3,1,1),Dados!$A:$A,INDEX($D:$E,MATCH("G",$D:$D,0),2))/COUNTIFS(Dados!$E:$E,$B155,Dados!$C:$C,INDEX(G$3,1,1),Dados!$A:$A,INDEX($D:$E,MATCH("G",$D:$D,0),2)))</f>
        <v/>
      </c>
      <c r="H155" s="66" t="str">
        <f ca="1">IF(COUNTIFS(Dados!$E:$E,$B155,Dados!$C:$C,INDEX(H$3,1,1),Dados!$A:$A,INDEX($D:$E,MATCH("G",$D:$D,0),2))=0,"",SUMIFS(Dados!$G:$G,Dados!$E:$E,$B155,Dados!$C:$C,INDEX(H$3,1,1),Dados!$A:$A,INDEX($D:$E,MATCH("G",$D:$D,0),2))/COUNTIFS(Dados!$E:$E,$B155,Dados!$C:$C,INDEX(H$3,1,1),Dados!$A:$A,INDEX($D:$E,MATCH("G",$D:$D,0),2)))</f>
        <v/>
      </c>
      <c r="I155" s="66" t="str">
        <f ca="1">IF(COUNTIFS(Dados!$E:$E,$B155,Dados!$C:$C,INDEX(I$3,1,1),Dados!$A:$A,INDEX($D:$E,MATCH("G",$D:$D,0),2))=0,"",SUMIFS(Dados!$G:$G,Dados!$E:$E,$B155,Dados!$C:$C,INDEX(I$3,1,1),Dados!$A:$A,INDEX($D:$E,MATCH("G",$D:$D,0),2))/COUNTIFS(Dados!$E:$E,$B155,Dados!$C:$C,INDEX(I$3,1,1),Dados!$A:$A,INDEX($D:$E,MATCH("G",$D:$D,0),2)))</f>
        <v/>
      </c>
      <c r="J155" s="66" t="str">
        <f ca="1">IF(COUNTIFS(Dados!$E:$E,$B155,Dados!$C:$C,INDEX(J$3,1,1),Dados!$A:$A,INDEX($D:$E,MATCH("G",$D:$D,0),2))=0,"",SUMIFS(Dados!$G:$G,Dados!$E:$E,$B155,Dados!$C:$C,INDEX(J$3,1,1),Dados!$A:$A,INDEX($D:$E,MATCH("G",$D:$D,0),2))/COUNTIFS(Dados!$E:$E,$B155,Dados!$C:$C,INDEX(J$3,1,1),Dados!$A:$A,INDEX($D:$E,MATCH("G",$D:$D,0),2)))</f>
        <v/>
      </c>
      <c r="K155" s="66" t="str">
        <f ca="1">IF(COUNTIFS(Dados!$E:$E,$B155,Dados!$C:$C,INDEX(K$3,1,1),Dados!$A:$A,INDEX($D:$E,MATCH("G",$D:$D,0),2))=0,"",SUMIFS(Dados!$G:$G,Dados!$E:$E,$B155,Dados!$C:$C,INDEX(K$3,1,1),Dados!$A:$A,INDEX($D:$E,MATCH("G",$D:$D,0),2))/COUNTIFS(Dados!$E:$E,$B155,Dados!$C:$C,INDEX(K$3,1,1),Dados!$A:$A,INDEX($D:$E,MATCH("G",$D:$D,0),2)))</f>
        <v/>
      </c>
      <c r="L155" s="66" t="str">
        <f ca="1">IF(COUNTIFS(Dados!$E:$E,$B155,Dados!$C:$C,INDEX(L$3,1,1),Dados!$A:$A,INDEX($D:$E,MATCH("G",$D:$D,0),2))=0,"",SUMIFS(Dados!$G:$G,Dados!$E:$E,$B155,Dados!$C:$C,INDEX(L$3,1,1),Dados!$A:$A,INDEX($D:$E,MATCH("G",$D:$D,0),2))/COUNTIFS(Dados!$E:$E,$B155,Dados!$C:$C,INDEX(L$3,1,1),Dados!$A:$A,INDEX($D:$E,MATCH("G",$D:$D,0),2)))</f>
        <v/>
      </c>
      <c r="M155" s="66" t="str">
        <f ca="1">IF(COUNTIFS(Dados!$E:$E,$B155,Dados!$C:$C,INDEX(M$3,1,1),Dados!$A:$A,INDEX($D:$E,MATCH("G",$D:$D,0),2))=0,"",SUMIFS(Dados!$G:$G,Dados!$E:$E,$B155,Dados!$C:$C,INDEX(M$3,1,1),Dados!$A:$A,INDEX($D:$E,MATCH("G",$D:$D,0),2))/COUNTIFS(Dados!$E:$E,$B155,Dados!$C:$C,INDEX(M$3,1,1),Dados!$A:$A,INDEX($D:$E,MATCH("G",$D:$D,0),2)))</f>
        <v/>
      </c>
      <c r="N155" s="66" t="str">
        <f ca="1">IF(COUNTIFS(Dados!$E:$E,$B155,Dados!$C:$C,INDEX(N$3,1,1),Dados!$A:$A,INDEX($D:$E,MATCH("G",$D:$D,0),2))=0,"",SUMIFS(Dados!$G:$G,Dados!$E:$E,$B155,Dados!$C:$C,INDEX(N$3,1,1),Dados!$A:$A,INDEX($D:$E,MATCH("G",$D:$D,0),2))/COUNTIFS(Dados!$E:$E,$B155,Dados!$C:$C,INDEX(N$3,1,1),Dados!$A:$A,INDEX($D:$E,MATCH("G",$D:$D,0),2)))</f>
        <v/>
      </c>
      <c r="O155" s="66" t="str">
        <f ca="1">IF(COUNTIFS(Dados!$E:$E,$B155,Dados!$C:$C,INDEX(O$3,1,1),Dados!$A:$A,INDEX($D:$E,MATCH("G",$D:$D,0),2))=0,"",SUMIFS(Dados!$G:$G,Dados!$E:$E,$B155,Dados!$C:$C,INDEX(O$3,1,1),Dados!$A:$A,INDEX($D:$E,MATCH("G",$D:$D,0),2))/COUNTIFS(Dados!$E:$E,$B155,Dados!$C:$C,INDEX(O$3,1,1),Dados!$A:$A,INDEX($D:$E,MATCH("G",$D:$D,0),2)))</f>
        <v/>
      </c>
      <c r="P155" s="66" t="str">
        <f ca="1">IF(COUNTIFS(Dados!$E:$E,$B155,Dados!$C:$C,INDEX(P$3,1,1),Dados!$A:$A,INDEX($D:$E,MATCH("G",$D:$D,0),2))=0,"",SUMIFS(Dados!$G:$G,Dados!$E:$E,$B155,Dados!$C:$C,INDEX(P$3,1,1),Dados!$A:$A,INDEX($D:$E,MATCH("G",$D:$D,0),2))/COUNTIFS(Dados!$E:$E,$B155,Dados!$C:$C,INDEX(P$3,1,1),Dados!$A:$A,INDEX($D:$E,MATCH("G",$D:$D,0),2)))</f>
        <v/>
      </c>
      <c r="Q155" s="66" t="str">
        <f ca="1">IF(COUNTIFS(Dados!$E:$E,$B155,Dados!$C:$C,INDEX(Q$3,1,1),Dados!$A:$A,INDEX($D:$E,MATCH("G",$D:$D,0),2))=0,"",SUMIFS(Dados!$G:$G,Dados!$E:$E,$B155,Dados!$C:$C,INDEX(Q$3,1,1),Dados!$A:$A,INDEX($D:$E,MATCH("G",$D:$D,0),2))/COUNTIFS(Dados!$E:$E,$B155,Dados!$C:$C,INDEX(Q$3,1,1),Dados!$A:$A,INDEX($D:$E,MATCH("G",$D:$D,0),2)))</f>
        <v/>
      </c>
      <c r="R155" s="66" t="str">
        <f ca="1">IF(COUNTIFS(Dados!$E:$E,$B155,Dados!$C:$C,INDEX(R$3,1,1),Dados!$A:$A,INDEX($D:$E,MATCH("G",$D:$D,0),2))=0,"",SUMIFS(Dados!$G:$G,Dados!$E:$E,$B155,Dados!$C:$C,INDEX(R$3,1,1),Dados!$A:$A,INDEX($D:$E,MATCH("G",$D:$D,0),2))/COUNTIFS(Dados!$E:$E,$B155,Dados!$C:$C,INDEX(R$3,1,1),Dados!$A:$A,INDEX($D:$E,MATCH("G",$D:$D,0),2)))</f>
        <v/>
      </c>
      <c r="S155" s="66" t="str">
        <f ca="1">IF(COUNTIFS(Dados!$E:$E,$B155,Dados!$C:$C,INDEX(S$3,1,1),Dados!$A:$A,INDEX($D:$E,MATCH("G",$D:$D,0),2))=0,"",SUMIFS(Dados!$G:$G,Dados!$E:$E,$B155,Dados!$C:$C,INDEX(S$3,1,1),Dados!$A:$A,INDEX($D:$E,MATCH("G",$D:$D,0),2))/COUNTIFS(Dados!$E:$E,$B155,Dados!$C:$C,INDEX(S$3,1,1),Dados!$A:$A,INDEX($D:$E,MATCH("G",$D:$D,0),2)))</f>
        <v/>
      </c>
      <c r="T155" s="66" t="str">
        <f ca="1">IF(COUNTIFS(Dados!$E:$E,$B155,Dados!$C:$C,INDEX(T$3,1,1),Dados!$A:$A,INDEX($D:$E,MATCH("G",$D:$D,0),2))=0,"",SUMIFS(Dados!$G:$G,Dados!$E:$E,$B155,Dados!$C:$C,INDEX(T$3,1,1),Dados!$A:$A,INDEX($D:$E,MATCH("G",$D:$D,0),2))/COUNTIFS(Dados!$E:$E,$B155,Dados!$C:$C,INDEX(T$3,1,1),Dados!$A:$A,INDEX($D:$E,MATCH("G",$D:$D,0),2)))</f>
        <v/>
      </c>
      <c r="U155" s="66" t="str">
        <f ca="1">IF(COUNTIFS(Dados!$E:$E,$B155,Dados!$C:$C,INDEX(U$3,1,1),Dados!$A:$A,INDEX($D:$E,MATCH("G",$D:$D,0),2))=0,"",SUMIFS(Dados!$G:$G,Dados!$E:$E,$B155,Dados!$C:$C,INDEX(U$3,1,1),Dados!$A:$A,INDEX($D:$E,MATCH("G",$D:$D,0),2))/COUNTIFS(Dados!$E:$E,$B155,Dados!$C:$C,INDEX(U$3,1,1),Dados!$A:$A,INDEX($D:$E,MATCH("G",$D:$D,0),2)))</f>
        <v/>
      </c>
      <c r="V155" s="66" t="str">
        <f ca="1">IF(COUNTIFS(Dados!$E:$E,$B155,Dados!$C:$C,INDEX(V$3,1,1),Dados!$A:$A,INDEX($D:$E,MATCH("G",$D:$D,0),2))=0,"",SUMIFS(Dados!$G:$G,Dados!$E:$E,$B155,Dados!$C:$C,INDEX(V$3,1,1),Dados!$A:$A,INDEX($D:$E,MATCH("G",$D:$D,0),2))/COUNTIFS(Dados!$E:$E,$B155,Dados!$C:$C,INDEX(V$3,1,1),Dados!$A:$A,INDEX($D:$E,MATCH("G",$D:$D,0),2)))</f>
        <v/>
      </c>
    </row>
    <row r="156" spans="2:22" x14ac:dyDescent="0.25">
      <c r="B156" s="67" t="s">
        <v>1298</v>
      </c>
      <c r="C156" s="71">
        <f>VLOOKUP(B156,B4:C22,2,0)</f>
        <v>6</v>
      </c>
      <c r="D156" s="68" t="str">
        <f ca="1">IF(COUNTIFS(Dados!$E:$E,$B156,Dados!$C:$C,INDEX(D$3,1,1),Dados!$A:$A,INDEX($D:$E,MATCH("G",$D:$D,0),2))=0,"",SUMIFS(Dados!$G:$G,Dados!$E:$E,$B156,Dados!$C:$C,INDEX(D$3,1,1),Dados!$A:$A,INDEX($D:$E,MATCH("G",$D:$D,0),2))/COUNTIFS(Dados!$E:$E,$B156,Dados!$C:$C,INDEX(D$3,1,1),Dados!$A:$A,INDEX($D:$E,MATCH("G",$D:$D,0),2)))</f>
        <v/>
      </c>
      <c r="E156" s="68" t="str">
        <f ca="1">IF(COUNTIFS(Dados!$E:$E,$B156,Dados!$C:$C,INDEX(E$3,1,1),Dados!$A:$A,INDEX($D:$E,MATCH("G",$D:$D,0),2))=0,"",SUMIFS(Dados!$G:$G,Dados!$E:$E,$B156,Dados!$C:$C,INDEX(E$3,1,1),Dados!$A:$A,INDEX($D:$E,MATCH("G",$D:$D,0),2))/COUNTIFS(Dados!$E:$E,$B156,Dados!$C:$C,INDEX(E$3,1,1),Dados!$A:$A,INDEX($D:$E,MATCH("G",$D:$D,0),2)))</f>
        <v/>
      </c>
      <c r="F156" s="68" t="str">
        <f ca="1">IF(COUNTIFS(Dados!$E:$E,$B156,Dados!$C:$C,INDEX(F$3,1,1),Dados!$A:$A,INDEX($D:$E,MATCH("G",$D:$D,0),2))=0,"",SUMIFS(Dados!$G:$G,Dados!$E:$E,$B156,Dados!$C:$C,INDEX(F$3,1,1),Dados!$A:$A,INDEX($D:$E,MATCH("G",$D:$D,0),2))/COUNTIFS(Dados!$E:$E,$B156,Dados!$C:$C,INDEX(F$3,1,1),Dados!$A:$A,INDEX($D:$E,MATCH("G",$D:$D,0),2)))</f>
        <v/>
      </c>
      <c r="G156" s="68" t="str">
        <f ca="1">IF(COUNTIFS(Dados!$E:$E,$B156,Dados!$C:$C,INDEX(G$3,1,1),Dados!$A:$A,INDEX($D:$E,MATCH("G",$D:$D,0),2))=0,"",SUMIFS(Dados!$G:$G,Dados!$E:$E,$B156,Dados!$C:$C,INDEX(G$3,1,1),Dados!$A:$A,INDEX($D:$E,MATCH("G",$D:$D,0),2))/COUNTIFS(Dados!$E:$E,$B156,Dados!$C:$C,INDEX(G$3,1,1),Dados!$A:$A,INDEX($D:$E,MATCH("G",$D:$D,0),2)))</f>
        <v/>
      </c>
      <c r="H156" s="68" t="str">
        <f ca="1">IF(COUNTIFS(Dados!$E:$E,$B156,Dados!$C:$C,INDEX(H$3,1,1),Dados!$A:$A,INDEX($D:$E,MATCH("G",$D:$D,0),2))=0,"",SUMIFS(Dados!$G:$G,Dados!$E:$E,$B156,Dados!$C:$C,INDEX(H$3,1,1),Dados!$A:$A,INDEX($D:$E,MATCH("G",$D:$D,0),2))/COUNTIFS(Dados!$E:$E,$B156,Dados!$C:$C,INDEX(H$3,1,1),Dados!$A:$A,INDEX($D:$E,MATCH("G",$D:$D,0),2)))</f>
        <v/>
      </c>
      <c r="I156" s="68" t="str">
        <f ca="1">IF(COUNTIFS(Dados!$E:$E,$B156,Dados!$C:$C,INDEX(I$3,1,1),Dados!$A:$A,INDEX($D:$E,MATCH("G",$D:$D,0),2))=0,"",SUMIFS(Dados!$G:$G,Dados!$E:$E,$B156,Dados!$C:$C,INDEX(I$3,1,1),Dados!$A:$A,INDEX($D:$E,MATCH("G",$D:$D,0),2))/COUNTIFS(Dados!$E:$E,$B156,Dados!$C:$C,INDEX(I$3,1,1),Dados!$A:$A,INDEX($D:$E,MATCH("G",$D:$D,0),2)))</f>
        <v/>
      </c>
      <c r="J156" s="68" t="str">
        <f ca="1">IF(COUNTIFS(Dados!$E:$E,$B156,Dados!$C:$C,INDEX(J$3,1,1),Dados!$A:$A,INDEX($D:$E,MATCH("G",$D:$D,0),2))=0,"",SUMIFS(Dados!$G:$G,Dados!$E:$E,$B156,Dados!$C:$C,INDEX(J$3,1,1),Dados!$A:$A,INDEX($D:$E,MATCH("G",$D:$D,0),2))/COUNTIFS(Dados!$E:$E,$B156,Dados!$C:$C,INDEX(J$3,1,1),Dados!$A:$A,INDEX($D:$E,MATCH("G",$D:$D,0),2)))</f>
        <v/>
      </c>
      <c r="K156" s="68" t="str">
        <f ca="1">IF(COUNTIFS(Dados!$E:$E,$B156,Dados!$C:$C,INDEX(K$3,1,1),Dados!$A:$A,INDEX($D:$E,MATCH("G",$D:$D,0),2))=0,"",SUMIFS(Dados!$G:$G,Dados!$E:$E,$B156,Dados!$C:$C,INDEX(K$3,1,1),Dados!$A:$A,INDEX($D:$E,MATCH("G",$D:$D,0),2))/COUNTIFS(Dados!$E:$E,$B156,Dados!$C:$C,INDEX(K$3,1,1),Dados!$A:$A,INDEX($D:$E,MATCH("G",$D:$D,0),2)))</f>
        <v/>
      </c>
      <c r="L156" s="68" t="str">
        <f ca="1">IF(COUNTIFS(Dados!$E:$E,$B156,Dados!$C:$C,INDEX(L$3,1,1),Dados!$A:$A,INDEX($D:$E,MATCH("G",$D:$D,0),2))=0,"",SUMIFS(Dados!$G:$G,Dados!$E:$E,$B156,Dados!$C:$C,INDEX(L$3,1,1),Dados!$A:$A,INDEX($D:$E,MATCH("G",$D:$D,0),2))/COUNTIFS(Dados!$E:$E,$B156,Dados!$C:$C,INDEX(L$3,1,1),Dados!$A:$A,INDEX($D:$E,MATCH("G",$D:$D,0),2)))</f>
        <v/>
      </c>
      <c r="M156" s="68" t="str">
        <f ca="1">IF(COUNTIFS(Dados!$E:$E,$B156,Dados!$C:$C,INDEX(M$3,1,1),Dados!$A:$A,INDEX($D:$E,MATCH("G",$D:$D,0),2))=0,"",SUMIFS(Dados!$G:$G,Dados!$E:$E,$B156,Dados!$C:$C,INDEX(M$3,1,1),Dados!$A:$A,INDEX($D:$E,MATCH("G",$D:$D,0),2))/COUNTIFS(Dados!$E:$E,$B156,Dados!$C:$C,INDEX(M$3,1,1),Dados!$A:$A,INDEX($D:$E,MATCH("G",$D:$D,0),2)))</f>
        <v/>
      </c>
      <c r="N156" s="68" t="str">
        <f ca="1">IF(COUNTIFS(Dados!$E:$E,$B156,Dados!$C:$C,INDEX(N$3,1,1),Dados!$A:$A,INDEX($D:$E,MATCH("G",$D:$D,0),2))=0,"",SUMIFS(Dados!$G:$G,Dados!$E:$E,$B156,Dados!$C:$C,INDEX(N$3,1,1),Dados!$A:$A,INDEX($D:$E,MATCH("G",$D:$D,0),2))/COUNTIFS(Dados!$E:$E,$B156,Dados!$C:$C,INDEX(N$3,1,1),Dados!$A:$A,INDEX($D:$E,MATCH("G",$D:$D,0),2)))</f>
        <v/>
      </c>
      <c r="O156" s="68" t="str">
        <f ca="1">IF(COUNTIFS(Dados!$E:$E,$B156,Dados!$C:$C,INDEX(O$3,1,1),Dados!$A:$A,INDEX($D:$E,MATCH("G",$D:$D,0),2))=0,"",SUMIFS(Dados!$G:$G,Dados!$E:$E,$B156,Dados!$C:$C,INDEX(O$3,1,1),Dados!$A:$A,INDEX($D:$E,MATCH("G",$D:$D,0),2))/COUNTIFS(Dados!$E:$E,$B156,Dados!$C:$C,INDEX(O$3,1,1),Dados!$A:$A,INDEX($D:$E,MATCH("G",$D:$D,0),2)))</f>
        <v/>
      </c>
      <c r="P156" s="68" t="str">
        <f ca="1">IF(COUNTIFS(Dados!$E:$E,$B156,Dados!$C:$C,INDEX(P$3,1,1),Dados!$A:$A,INDEX($D:$E,MATCH("G",$D:$D,0),2))=0,"",SUMIFS(Dados!$G:$G,Dados!$E:$E,$B156,Dados!$C:$C,INDEX(P$3,1,1),Dados!$A:$A,INDEX($D:$E,MATCH("G",$D:$D,0),2))/COUNTIFS(Dados!$E:$E,$B156,Dados!$C:$C,INDEX(P$3,1,1),Dados!$A:$A,INDEX($D:$E,MATCH("G",$D:$D,0),2)))</f>
        <v/>
      </c>
      <c r="Q156" s="68" t="str">
        <f ca="1">IF(COUNTIFS(Dados!$E:$E,$B156,Dados!$C:$C,INDEX(Q$3,1,1),Dados!$A:$A,INDEX($D:$E,MATCH("G",$D:$D,0),2))=0,"",SUMIFS(Dados!$G:$G,Dados!$E:$E,$B156,Dados!$C:$C,INDEX(Q$3,1,1),Dados!$A:$A,INDEX($D:$E,MATCH("G",$D:$D,0),2))/COUNTIFS(Dados!$E:$E,$B156,Dados!$C:$C,INDEX(Q$3,1,1),Dados!$A:$A,INDEX($D:$E,MATCH("G",$D:$D,0),2)))</f>
        <v/>
      </c>
      <c r="R156" s="68" t="str">
        <f ca="1">IF(COUNTIFS(Dados!$E:$E,$B156,Dados!$C:$C,INDEX(R$3,1,1),Dados!$A:$A,INDEX($D:$E,MATCH("G",$D:$D,0),2))=0,"",SUMIFS(Dados!$G:$G,Dados!$E:$E,$B156,Dados!$C:$C,INDEX(R$3,1,1),Dados!$A:$A,INDEX($D:$E,MATCH("G",$D:$D,0),2))/COUNTIFS(Dados!$E:$E,$B156,Dados!$C:$C,INDEX(R$3,1,1),Dados!$A:$A,INDEX($D:$E,MATCH("G",$D:$D,0),2)))</f>
        <v/>
      </c>
      <c r="S156" s="68" t="str">
        <f ca="1">IF(COUNTIFS(Dados!$E:$E,$B156,Dados!$C:$C,INDEX(S$3,1,1),Dados!$A:$A,INDEX($D:$E,MATCH("G",$D:$D,0),2))=0,"",SUMIFS(Dados!$G:$G,Dados!$E:$E,$B156,Dados!$C:$C,INDEX(S$3,1,1),Dados!$A:$A,INDEX($D:$E,MATCH("G",$D:$D,0),2))/COUNTIFS(Dados!$E:$E,$B156,Dados!$C:$C,INDEX(S$3,1,1),Dados!$A:$A,INDEX($D:$E,MATCH("G",$D:$D,0),2)))</f>
        <v/>
      </c>
      <c r="T156" s="68" t="str">
        <f ca="1">IF(COUNTIFS(Dados!$E:$E,$B156,Dados!$C:$C,INDEX(T$3,1,1),Dados!$A:$A,INDEX($D:$E,MATCH("G",$D:$D,0),2))=0,"",SUMIFS(Dados!$G:$G,Dados!$E:$E,$B156,Dados!$C:$C,INDEX(T$3,1,1),Dados!$A:$A,INDEX($D:$E,MATCH("G",$D:$D,0),2))/COUNTIFS(Dados!$E:$E,$B156,Dados!$C:$C,INDEX(T$3,1,1),Dados!$A:$A,INDEX($D:$E,MATCH("G",$D:$D,0),2)))</f>
        <v/>
      </c>
      <c r="U156" s="68" t="str">
        <f ca="1">IF(COUNTIFS(Dados!$E:$E,$B156,Dados!$C:$C,INDEX(U$3,1,1),Dados!$A:$A,INDEX($D:$E,MATCH("G",$D:$D,0),2))=0,"",SUMIFS(Dados!$G:$G,Dados!$E:$E,$B156,Dados!$C:$C,INDEX(U$3,1,1),Dados!$A:$A,INDEX($D:$E,MATCH("G",$D:$D,0),2))/COUNTIFS(Dados!$E:$E,$B156,Dados!$C:$C,INDEX(U$3,1,1),Dados!$A:$A,INDEX($D:$E,MATCH("G",$D:$D,0),2)))</f>
        <v/>
      </c>
      <c r="V156" s="68" t="str">
        <f ca="1">IF(COUNTIFS(Dados!$E:$E,$B156,Dados!$C:$C,INDEX(V$3,1,1),Dados!$A:$A,INDEX($D:$E,MATCH("G",$D:$D,0),2))=0,"",SUMIFS(Dados!$G:$G,Dados!$E:$E,$B156,Dados!$C:$C,INDEX(V$3,1,1),Dados!$A:$A,INDEX($D:$E,MATCH("G",$D:$D,0),2))/COUNTIFS(Dados!$E:$E,$B156,Dados!$C:$C,INDEX(V$3,1,1),Dados!$A:$A,INDEX($D:$E,MATCH("G",$D:$D,0),2)))</f>
        <v/>
      </c>
    </row>
    <row r="157" spans="2:22" x14ac:dyDescent="0.25">
      <c r="B157" s="65" t="s">
        <v>65</v>
      </c>
      <c r="C157" s="72">
        <f>VLOOKUP(B157,B4:C22,2,0)</f>
        <v>7</v>
      </c>
      <c r="D157" s="66" t="str">
        <f ca="1">IF(COUNTIFS(Dados!$E:$E,$B157,Dados!$C:$C,INDEX(D$3,1,1),Dados!$A:$A,INDEX($D:$E,MATCH("G",$D:$D,0),2))=0,"",SUMIFS(Dados!$G:$G,Dados!$E:$E,$B157,Dados!$C:$C,INDEX(D$3,1,1),Dados!$A:$A,INDEX($D:$E,MATCH("G",$D:$D,0),2))/COUNTIFS(Dados!$E:$E,$B157,Dados!$C:$C,INDEX(D$3,1,1),Dados!$A:$A,INDEX($D:$E,MATCH("G",$D:$D,0),2)))</f>
        <v/>
      </c>
      <c r="E157" s="66" t="str">
        <f ca="1">IF(COUNTIFS(Dados!$E:$E,$B157,Dados!$C:$C,INDEX(E$3,1,1),Dados!$A:$A,INDEX($D:$E,MATCH("G",$D:$D,0),2))=0,"",SUMIFS(Dados!$G:$G,Dados!$E:$E,$B157,Dados!$C:$C,INDEX(E$3,1,1),Dados!$A:$A,INDEX($D:$E,MATCH("G",$D:$D,0),2))/COUNTIFS(Dados!$E:$E,$B157,Dados!$C:$C,INDEX(E$3,1,1),Dados!$A:$A,INDEX($D:$E,MATCH("G",$D:$D,0),2)))</f>
        <v/>
      </c>
      <c r="F157" s="66" t="str">
        <f ca="1">IF(COUNTIFS(Dados!$E:$E,$B157,Dados!$C:$C,INDEX(F$3,1,1),Dados!$A:$A,INDEX($D:$E,MATCH("G",$D:$D,0),2))=0,"",SUMIFS(Dados!$G:$G,Dados!$E:$E,$B157,Dados!$C:$C,INDEX(F$3,1,1),Dados!$A:$A,INDEX($D:$E,MATCH("G",$D:$D,0),2))/COUNTIFS(Dados!$E:$E,$B157,Dados!$C:$C,INDEX(F$3,1,1),Dados!$A:$A,INDEX($D:$E,MATCH("G",$D:$D,0),2)))</f>
        <v/>
      </c>
      <c r="G157" s="66" t="str">
        <f ca="1">IF(COUNTIFS(Dados!$E:$E,$B157,Dados!$C:$C,INDEX(G$3,1,1),Dados!$A:$A,INDEX($D:$E,MATCH("G",$D:$D,0),2))=0,"",SUMIFS(Dados!$G:$G,Dados!$E:$E,$B157,Dados!$C:$C,INDEX(G$3,1,1),Dados!$A:$A,INDEX($D:$E,MATCH("G",$D:$D,0),2))/COUNTIFS(Dados!$E:$E,$B157,Dados!$C:$C,INDEX(G$3,1,1),Dados!$A:$A,INDEX($D:$E,MATCH("G",$D:$D,0),2)))</f>
        <v/>
      </c>
      <c r="H157" s="66" t="str">
        <f ca="1">IF(COUNTIFS(Dados!$E:$E,$B157,Dados!$C:$C,INDEX(H$3,1,1),Dados!$A:$A,INDEX($D:$E,MATCH("G",$D:$D,0),2))=0,"",SUMIFS(Dados!$G:$G,Dados!$E:$E,$B157,Dados!$C:$C,INDEX(H$3,1,1),Dados!$A:$A,INDEX($D:$E,MATCH("G",$D:$D,0),2))/COUNTIFS(Dados!$E:$E,$B157,Dados!$C:$C,INDEX(H$3,1,1),Dados!$A:$A,INDEX($D:$E,MATCH("G",$D:$D,0),2)))</f>
        <v/>
      </c>
      <c r="I157" s="66" t="str">
        <f ca="1">IF(COUNTIFS(Dados!$E:$E,$B157,Dados!$C:$C,INDEX(I$3,1,1),Dados!$A:$A,INDEX($D:$E,MATCH("G",$D:$D,0),2))=0,"",SUMIFS(Dados!$G:$G,Dados!$E:$E,$B157,Dados!$C:$C,INDEX(I$3,1,1),Dados!$A:$A,INDEX($D:$E,MATCH("G",$D:$D,0),2))/COUNTIFS(Dados!$E:$E,$B157,Dados!$C:$C,INDEX(I$3,1,1),Dados!$A:$A,INDEX($D:$E,MATCH("G",$D:$D,0),2)))</f>
        <v/>
      </c>
      <c r="J157" s="66" t="str">
        <f ca="1">IF(COUNTIFS(Dados!$E:$E,$B157,Dados!$C:$C,INDEX(J$3,1,1),Dados!$A:$A,INDEX($D:$E,MATCH("G",$D:$D,0),2))=0,"",SUMIFS(Dados!$G:$G,Dados!$E:$E,$B157,Dados!$C:$C,INDEX(J$3,1,1),Dados!$A:$A,INDEX($D:$E,MATCH("G",$D:$D,0),2))/COUNTIFS(Dados!$E:$E,$B157,Dados!$C:$C,INDEX(J$3,1,1),Dados!$A:$A,INDEX($D:$E,MATCH("G",$D:$D,0),2)))</f>
        <v/>
      </c>
      <c r="K157" s="66" t="str">
        <f ca="1">IF(COUNTIFS(Dados!$E:$E,$B157,Dados!$C:$C,INDEX(K$3,1,1),Dados!$A:$A,INDEX($D:$E,MATCH("G",$D:$D,0),2))=0,"",SUMIFS(Dados!$G:$G,Dados!$E:$E,$B157,Dados!$C:$C,INDEX(K$3,1,1),Dados!$A:$A,INDEX($D:$E,MATCH("G",$D:$D,0),2))/COUNTIFS(Dados!$E:$E,$B157,Dados!$C:$C,INDEX(K$3,1,1),Dados!$A:$A,INDEX($D:$E,MATCH("G",$D:$D,0),2)))</f>
        <v/>
      </c>
      <c r="L157" s="66" t="str">
        <f ca="1">IF(COUNTIFS(Dados!$E:$E,$B157,Dados!$C:$C,INDEX(L$3,1,1),Dados!$A:$A,INDEX($D:$E,MATCH("G",$D:$D,0),2))=0,"",SUMIFS(Dados!$G:$G,Dados!$E:$E,$B157,Dados!$C:$C,INDEX(L$3,1,1),Dados!$A:$A,INDEX($D:$E,MATCH("G",$D:$D,0),2))/COUNTIFS(Dados!$E:$E,$B157,Dados!$C:$C,INDEX(L$3,1,1),Dados!$A:$A,INDEX($D:$E,MATCH("G",$D:$D,0),2)))</f>
        <v/>
      </c>
      <c r="M157" s="66" t="str">
        <f ca="1">IF(COUNTIFS(Dados!$E:$E,$B157,Dados!$C:$C,INDEX(M$3,1,1),Dados!$A:$A,INDEX($D:$E,MATCH("G",$D:$D,0),2))=0,"",SUMIFS(Dados!$G:$G,Dados!$E:$E,$B157,Dados!$C:$C,INDEX(M$3,1,1),Dados!$A:$A,INDEX($D:$E,MATCH("G",$D:$D,0),2))/COUNTIFS(Dados!$E:$E,$B157,Dados!$C:$C,INDEX(M$3,1,1),Dados!$A:$A,INDEX($D:$E,MATCH("G",$D:$D,0),2)))</f>
        <v/>
      </c>
      <c r="N157" s="66" t="str">
        <f ca="1">IF(COUNTIFS(Dados!$E:$E,$B157,Dados!$C:$C,INDEX(N$3,1,1),Dados!$A:$A,INDEX($D:$E,MATCH("G",$D:$D,0),2))=0,"",SUMIFS(Dados!$G:$G,Dados!$E:$E,$B157,Dados!$C:$C,INDEX(N$3,1,1),Dados!$A:$A,INDEX($D:$E,MATCH("G",$D:$D,0),2))/COUNTIFS(Dados!$E:$E,$B157,Dados!$C:$C,INDEX(N$3,1,1),Dados!$A:$A,INDEX($D:$E,MATCH("G",$D:$D,0),2)))</f>
        <v/>
      </c>
      <c r="O157" s="66" t="str">
        <f ca="1">IF(COUNTIFS(Dados!$E:$E,$B157,Dados!$C:$C,INDEX(O$3,1,1),Dados!$A:$A,INDEX($D:$E,MATCH("G",$D:$D,0),2))=0,"",SUMIFS(Dados!$G:$G,Dados!$E:$E,$B157,Dados!$C:$C,INDEX(O$3,1,1),Dados!$A:$A,INDEX($D:$E,MATCH("G",$D:$D,0),2))/COUNTIFS(Dados!$E:$E,$B157,Dados!$C:$C,INDEX(O$3,1,1),Dados!$A:$A,INDEX($D:$E,MATCH("G",$D:$D,0),2)))</f>
        <v/>
      </c>
      <c r="P157" s="66" t="str">
        <f ca="1">IF(COUNTIFS(Dados!$E:$E,$B157,Dados!$C:$C,INDEX(P$3,1,1),Dados!$A:$A,INDEX($D:$E,MATCH("G",$D:$D,0),2))=0,"",SUMIFS(Dados!$G:$G,Dados!$E:$E,$B157,Dados!$C:$C,INDEX(P$3,1,1),Dados!$A:$A,INDEX($D:$E,MATCH("G",$D:$D,0),2))/COUNTIFS(Dados!$E:$E,$B157,Dados!$C:$C,INDEX(P$3,1,1),Dados!$A:$A,INDEX($D:$E,MATCH("G",$D:$D,0),2)))</f>
        <v/>
      </c>
      <c r="Q157" s="66" t="str">
        <f ca="1">IF(COUNTIFS(Dados!$E:$E,$B157,Dados!$C:$C,INDEX(Q$3,1,1),Dados!$A:$A,INDEX($D:$E,MATCH("G",$D:$D,0),2))=0,"",SUMIFS(Dados!$G:$G,Dados!$E:$E,$B157,Dados!$C:$C,INDEX(Q$3,1,1),Dados!$A:$A,INDEX($D:$E,MATCH("G",$D:$D,0),2))/COUNTIFS(Dados!$E:$E,$B157,Dados!$C:$C,INDEX(Q$3,1,1),Dados!$A:$A,INDEX($D:$E,MATCH("G",$D:$D,0),2)))</f>
        <v/>
      </c>
      <c r="R157" s="66" t="str">
        <f ca="1">IF(COUNTIFS(Dados!$E:$E,$B157,Dados!$C:$C,INDEX(R$3,1,1),Dados!$A:$A,INDEX($D:$E,MATCH("G",$D:$D,0),2))=0,"",SUMIFS(Dados!$G:$G,Dados!$E:$E,$B157,Dados!$C:$C,INDEX(R$3,1,1),Dados!$A:$A,INDEX($D:$E,MATCH("G",$D:$D,0),2))/COUNTIFS(Dados!$E:$E,$B157,Dados!$C:$C,INDEX(R$3,1,1),Dados!$A:$A,INDEX($D:$E,MATCH("G",$D:$D,0),2)))</f>
        <v/>
      </c>
      <c r="S157" s="66" t="str">
        <f ca="1">IF(COUNTIFS(Dados!$E:$E,$B157,Dados!$C:$C,INDEX(S$3,1,1),Dados!$A:$A,INDEX($D:$E,MATCH("G",$D:$D,0),2))=0,"",SUMIFS(Dados!$G:$G,Dados!$E:$E,$B157,Dados!$C:$C,INDEX(S$3,1,1),Dados!$A:$A,INDEX($D:$E,MATCH("G",$D:$D,0),2))/COUNTIFS(Dados!$E:$E,$B157,Dados!$C:$C,INDEX(S$3,1,1),Dados!$A:$A,INDEX($D:$E,MATCH("G",$D:$D,0),2)))</f>
        <v/>
      </c>
      <c r="T157" s="66" t="str">
        <f ca="1">IF(COUNTIFS(Dados!$E:$E,$B157,Dados!$C:$C,INDEX(T$3,1,1),Dados!$A:$A,INDEX($D:$E,MATCH("G",$D:$D,0),2))=0,"",SUMIFS(Dados!$G:$G,Dados!$E:$E,$B157,Dados!$C:$C,INDEX(T$3,1,1),Dados!$A:$A,INDEX($D:$E,MATCH("G",$D:$D,0),2))/COUNTIFS(Dados!$E:$E,$B157,Dados!$C:$C,INDEX(T$3,1,1),Dados!$A:$A,INDEX($D:$E,MATCH("G",$D:$D,0),2)))</f>
        <v/>
      </c>
      <c r="U157" s="66" t="str">
        <f ca="1">IF(COUNTIFS(Dados!$E:$E,$B157,Dados!$C:$C,INDEX(U$3,1,1),Dados!$A:$A,INDEX($D:$E,MATCH("G",$D:$D,0),2))=0,"",SUMIFS(Dados!$G:$G,Dados!$E:$E,$B157,Dados!$C:$C,INDEX(U$3,1,1),Dados!$A:$A,INDEX($D:$E,MATCH("G",$D:$D,0),2))/COUNTIFS(Dados!$E:$E,$B157,Dados!$C:$C,INDEX(U$3,1,1),Dados!$A:$A,INDEX($D:$E,MATCH("G",$D:$D,0),2)))</f>
        <v/>
      </c>
      <c r="V157" s="66" t="str">
        <f ca="1">IF(COUNTIFS(Dados!$E:$E,$B157,Dados!$C:$C,INDEX(V$3,1,1),Dados!$A:$A,INDEX($D:$E,MATCH("G",$D:$D,0),2))=0,"",SUMIFS(Dados!$G:$G,Dados!$E:$E,$B157,Dados!$C:$C,INDEX(V$3,1,1),Dados!$A:$A,INDEX($D:$E,MATCH("G",$D:$D,0),2))/COUNTIFS(Dados!$E:$E,$B157,Dados!$C:$C,INDEX(V$3,1,1),Dados!$A:$A,INDEX($D:$E,MATCH("G",$D:$D,0),2)))</f>
        <v/>
      </c>
    </row>
    <row r="158" spans="2:22" x14ac:dyDescent="0.25">
      <c r="B158" s="67" t="s">
        <v>32</v>
      </c>
      <c r="C158" s="71">
        <f>VLOOKUP(B158,B4:C22,2,0)</f>
        <v>8</v>
      </c>
      <c r="D158" s="68" t="str">
        <f ca="1">IF(COUNTIFS(Dados!$E:$E,$B158,Dados!$C:$C,INDEX(D$3,1,1),Dados!$A:$A,INDEX($D:$E,MATCH("G",$D:$D,0),2))=0,"",SUMIFS(Dados!$G:$G,Dados!$E:$E,$B158,Dados!$C:$C,INDEX(D$3,1,1),Dados!$A:$A,INDEX($D:$E,MATCH("G",$D:$D,0),2))/COUNTIFS(Dados!$E:$E,$B158,Dados!$C:$C,INDEX(D$3,1,1),Dados!$A:$A,INDEX($D:$E,MATCH("G",$D:$D,0),2)))</f>
        <v/>
      </c>
      <c r="E158" s="68" t="str">
        <f ca="1">IF(COUNTIFS(Dados!$E:$E,$B158,Dados!$C:$C,INDEX(E$3,1,1),Dados!$A:$A,INDEX($D:$E,MATCH("G",$D:$D,0),2))=0,"",SUMIFS(Dados!$G:$G,Dados!$E:$E,$B158,Dados!$C:$C,INDEX(E$3,1,1),Dados!$A:$A,INDEX($D:$E,MATCH("G",$D:$D,0),2))/COUNTIFS(Dados!$E:$E,$B158,Dados!$C:$C,INDEX(E$3,1,1),Dados!$A:$A,INDEX($D:$E,MATCH("G",$D:$D,0),2)))</f>
        <v/>
      </c>
      <c r="F158" s="68" t="str">
        <f ca="1">IF(COUNTIFS(Dados!$E:$E,$B158,Dados!$C:$C,INDEX(F$3,1,1),Dados!$A:$A,INDEX($D:$E,MATCH("G",$D:$D,0),2))=0,"",SUMIFS(Dados!$G:$G,Dados!$E:$E,$B158,Dados!$C:$C,INDEX(F$3,1,1),Dados!$A:$A,INDEX($D:$E,MATCH("G",$D:$D,0),2))/COUNTIFS(Dados!$E:$E,$B158,Dados!$C:$C,INDEX(F$3,1,1),Dados!$A:$A,INDEX($D:$E,MATCH("G",$D:$D,0),2)))</f>
        <v/>
      </c>
      <c r="G158" s="68" t="str">
        <f ca="1">IF(COUNTIFS(Dados!$E:$E,$B158,Dados!$C:$C,INDEX(G$3,1,1),Dados!$A:$A,INDEX($D:$E,MATCH("G",$D:$D,0),2))=0,"",SUMIFS(Dados!$G:$G,Dados!$E:$E,$B158,Dados!$C:$C,INDEX(G$3,1,1),Dados!$A:$A,INDEX($D:$E,MATCH("G",$D:$D,0),2))/COUNTIFS(Dados!$E:$E,$B158,Dados!$C:$C,INDEX(G$3,1,1),Dados!$A:$A,INDEX($D:$E,MATCH("G",$D:$D,0),2)))</f>
        <v/>
      </c>
      <c r="H158" s="68" t="str">
        <f ca="1">IF(COUNTIFS(Dados!$E:$E,$B158,Dados!$C:$C,INDEX(H$3,1,1),Dados!$A:$A,INDEX($D:$E,MATCH("G",$D:$D,0),2))=0,"",SUMIFS(Dados!$G:$G,Dados!$E:$E,$B158,Dados!$C:$C,INDEX(H$3,1,1),Dados!$A:$A,INDEX($D:$E,MATCH("G",$D:$D,0),2))/COUNTIFS(Dados!$E:$E,$B158,Dados!$C:$C,INDEX(H$3,1,1),Dados!$A:$A,INDEX($D:$E,MATCH("G",$D:$D,0),2)))</f>
        <v/>
      </c>
      <c r="I158" s="68" t="str">
        <f ca="1">IF(COUNTIFS(Dados!$E:$E,$B158,Dados!$C:$C,INDEX(I$3,1,1),Dados!$A:$A,INDEX($D:$E,MATCH("G",$D:$D,0),2))=0,"",SUMIFS(Dados!$G:$G,Dados!$E:$E,$B158,Dados!$C:$C,INDEX(I$3,1,1),Dados!$A:$A,INDEX($D:$E,MATCH("G",$D:$D,0),2))/COUNTIFS(Dados!$E:$E,$B158,Dados!$C:$C,INDEX(I$3,1,1),Dados!$A:$A,INDEX($D:$E,MATCH("G",$D:$D,0),2)))</f>
        <v/>
      </c>
      <c r="J158" s="68" t="str">
        <f ca="1">IF(COUNTIFS(Dados!$E:$E,$B158,Dados!$C:$C,INDEX(J$3,1,1),Dados!$A:$A,INDEX($D:$E,MATCH("G",$D:$D,0),2))=0,"",SUMIFS(Dados!$G:$G,Dados!$E:$E,$B158,Dados!$C:$C,INDEX(J$3,1,1),Dados!$A:$A,INDEX($D:$E,MATCH("G",$D:$D,0),2))/COUNTIFS(Dados!$E:$E,$B158,Dados!$C:$C,INDEX(J$3,1,1),Dados!$A:$A,INDEX($D:$E,MATCH("G",$D:$D,0),2)))</f>
        <v/>
      </c>
      <c r="K158" s="68" t="str">
        <f ca="1">IF(COUNTIFS(Dados!$E:$E,$B158,Dados!$C:$C,INDEX(K$3,1,1),Dados!$A:$A,INDEX($D:$E,MATCH("G",$D:$D,0),2))=0,"",SUMIFS(Dados!$G:$G,Dados!$E:$E,$B158,Dados!$C:$C,INDEX(K$3,1,1),Dados!$A:$A,INDEX($D:$E,MATCH("G",$D:$D,0),2))/COUNTIFS(Dados!$E:$E,$B158,Dados!$C:$C,INDEX(K$3,1,1),Dados!$A:$A,INDEX($D:$E,MATCH("G",$D:$D,0),2)))</f>
        <v/>
      </c>
      <c r="L158" s="68" t="str">
        <f ca="1">IF(COUNTIFS(Dados!$E:$E,$B158,Dados!$C:$C,INDEX(L$3,1,1),Dados!$A:$A,INDEX($D:$E,MATCH("G",$D:$D,0),2))=0,"",SUMIFS(Dados!$G:$G,Dados!$E:$E,$B158,Dados!$C:$C,INDEX(L$3,1,1),Dados!$A:$A,INDEX($D:$E,MATCH("G",$D:$D,0),2))/COUNTIFS(Dados!$E:$E,$B158,Dados!$C:$C,INDEX(L$3,1,1),Dados!$A:$A,INDEX($D:$E,MATCH("G",$D:$D,0),2)))</f>
        <v/>
      </c>
      <c r="M158" s="68" t="str">
        <f ca="1">IF(COUNTIFS(Dados!$E:$E,$B158,Dados!$C:$C,INDEX(M$3,1,1),Dados!$A:$A,INDEX($D:$E,MATCH("G",$D:$D,0),2))=0,"",SUMIFS(Dados!$G:$G,Dados!$E:$E,$B158,Dados!$C:$C,INDEX(M$3,1,1),Dados!$A:$A,INDEX($D:$E,MATCH("G",$D:$D,0),2))/COUNTIFS(Dados!$E:$E,$B158,Dados!$C:$C,INDEX(M$3,1,1),Dados!$A:$A,INDEX($D:$E,MATCH("G",$D:$D,0),2)))</f>
        <v/>
      </c>
      <c r="N158" s="68" t="str">
        <f ca="1">IF(COUNTIFS(Dados!$E:$E,$B158,Dados!$C:$C,INDEX(N$3,1,1),Dados!$A:$A,INDEX($D:$E,MATCH("G",$D:$D,0),2))=0,"",SUMIFS(Dados!$G:$G,Dados!$E:$E,$B158,Dados!$C:$C,INDEX(N$3,1,1),Dados!$A:$A,INDEX($D:$E,MATCH("G",$D:$D,0),2))/COUNTIFS(Dados!$E:$E,$B158,Dados!$C:$C,INDEX(N$3,1,1),Dados!$A:$A,INDEX($D:$E,MATCH("G",$D:$D,0),2)))</f>
        <v/>
      </c>
      <c r="O158" s="68" t="str">
        <f ca="1">IF(COUNTIFS(Dados!$E:$E,$B158,Dados!$C:$C,INDEX(O$3,1,1),Dados!$A:$A,INDEX($D:$E,MATCH("G",$D:$D,0),2))=0,"",SUMIFS(Dados!$G:$G,Dados!$E:$E,$B158,Dados!$C:$C,INDEX(O$3,1,1),Dados!$A:$A,INDEX($D:$E,MATCH("G",$D:$D,0),2))/COUNTIFS(Dados!$E:$E,$B158,Dados!$C:$C,INDEX(O$3,1,1),Dados!$A:$A,INDEX($D:$E,MATCH("G",$D:$D,0),2)))</f>
        <v/>
      </c>
      <c r="P158" s="68" t="str">
        <f ca="1">IF(COUNTIFS(Dados!$E:$E,$B158,Dados!$C:$C,INDEX(P$3,1,1),Dados!$A:$A,INDEX($D:$E,MATCH("G",$D:$D,0),2))=0,"",SUMIFS(Dados!$G:$G,Dados!$E:$E,$B158,Dados!$C:$C,INDEX(P$3,1,1),Dados!$A:$A,INDEX($D:$E,MATCH("G",$D:$D,0),2))/COUNTIFS(Dados!$E:$E,$B158,Dados!$C:$C,INDEX(P$3,1,1),Dados!$A:$A,INDEX($D:$E,MATCH("G",$D:$D,0),2)))</f>
        <v/>
      </c>
      <c r="Q158" s="68" t="str">
        <f ca="1">IF(COUNTIFS(Dados!$E:$E,$B158,Dados!$C:$C,INDEX(Q$3,1,1),Dados!$A:$A,INDEX($D:$E,MATCH("G",$D:$D,0),2))=0,"",SUMIFS(Dados!$G:$G,Dados!$E:$E,$B158,Dados!$C:$C,INDEX(Q$3,1,1),Dados!$A:$A,INDEX($D:$E,MATCH("G",$D:$D,0),2))/COUNTIFS(Dados!$E:$E,$B158,Dados!$C:$C,INDEX(Q$3,1,1),Dados!$A:$A,INDEX($D:$E,MATCH("G",$D:$D,0),2)))</f>
        <v/>
      </c>
      <c r="R158" s="68" t="str">
        <f ca="1">IF(COUNTIFS(Dados!$E:$E,$B158,Dados!$C:$C,INDEX(R$3,1,1),Dados!$A:$A,INDEX($D:$E,MATCH("G",$D:$D,0),2))=0,"",SUMIFS(Dados!$G:$G,Dados!$E:$E,$B158,Dados!$C:$C,INDEX(R$3,1,1),Dados!$A:$A,INDEX($D:$E,MATCH("G",$D:$D,0),2))/COUNTIFS(Dados!$E:$E,$B158,Dados!$C:$C,INDEX(R$3,1,1),Dados!$A:$A,INDEX($D:$E,MATCH("G",$D:$D,0),2)))</f>
        <v/>
      </c>
      <c r="S158" s="68" t="str">
        <f ca="1">IF(COUNTIFS(Dados!$E:$E,$B158,Dados!$C:$C,INDEX(S$3,1,1),Dados!$A:$A,INDEX($D:$E,MATCH("G",$D:$D,0),2))=0,"",SUMIFS(Dados!$G:$G,Dados!$E:$E,$B158,Dados!$C:$C,INDEX(S$3,1,1),Dados!$A:$A,INDEX($D:$E,MATCH("G",$D:$D,0),2))/COUNTIFS(Dados!$E:$E,$B158,Dados!$C:$C,INDEX(S$3,1,1),Dados!$A:$A,INDEX($D:$E,MATCH("G",$D:$D,0),2)))</f>
        <v/>
      </c>
      <c r="T158" s="68" t="str">
        <f ca="1">IF(COUNTIFS(Dados!$E:$E,$B158,Dados!$C:$C,INDEX(T$3,1,1),Dados!$A:$A,INDEX($D:$E,MATCH("G",$D:$D,0),2))=0,"",SUMIFS(Dados!$G:$G,Dados!$E:$E,$B158,Dados!$C:$C,INDEX(T$3,1,1),Dados!$A:$A,INDEX($D:$E,MATCH("G",$D:$D,0),2))/COUNTIFS(Dados!$E:$E,$B158,Dados!$C:$C,INDEX(T$3,1,1),Dados!$A:$A,INDEX($D:$E,MATCH("G",$D:$D,0),2)))</f>
        <v/>
      </c>
      <c r="U158" s="68" t="str">
        <f ca="1">IF(COUNTIFS(Dados!$E:$E,$B158,Dados!$C:$C,INDEX(U$3,1,1),Dados!$A:$A,INDEX($D:$E,MATCH("G",$D:$D,0),2))=0,"",SUMIFS(Dados!$G:$G,Dados!$E:$E,$B158,Dados!$C:$C,INDEX(U$3,1,1),Dados!$A:$A,INDEX($D:$E,MATCH("G",$D:$D,0),2))/COUNTIFS(Dados!$E:$E,$B158,Dados!$C:$C,INDEX(U$3,1,1),Dados!$A:$A,INDEX($D:$E,MATCH("G",$D:$D,0),2)))</f>
        <v/>
      </c>
      <c r="V158" s="68" t="str">
        <f ca="1">IF(COUNTIFS(Dados!$E:$E,$B158,Dados!$C:$C,INDEX(V$3,1,1),Dados!$A:$A,INDEX($D:$E,MATCH("G",$D:$D,0),2))=0,"",SUMIFS(Dados!$G:$G,Dados!$E:$E,$B158,Dados!$C:$C,INDEX(V$3,1,1),Dados!$A:$A,INDEX($D:$E,MATCH("G",$D:$D,0),2))/COUNTIFS(Dados!$E:$E,$B158,Dados!$C:$C,INDEX(V$3,1,1),Dados!$A:$A,INDEX($D:$E,MATCH("G",$D:$D,0),2)))</f>
        <v/>
      </c>
    </row>
    <row r="159" spans="2:22" x14ac:dyDescent="0.25">
      <c r="B159" s="65" t="s">
        <v>44</v>
      </c>
      <c r="C159" s="72">
        <f>VLOOKUP(B159,B4:C22,2,0)</f>
        <v>9</v>
      </c>
      <c r="D159" s="66" t="str">
        <f ca="1">IF(COUNTIFS(Dados!$E:$E,$B159,Dados!$C:$C,INDEX(D$3,1,1),Dados!$A:$A,INDEX($D:$E,MATCH("G",$D:$D,0),2))=0,"",SUMIFS(Dados!$G:$G,Dados!$E:$E,$B159,Dados!$C:$C,INDEX(D$3,1,1),Dados!$A:$A,INDEX($D:$E,MATCH("G",$D:$D,0),2))/COUNTIFS(Dados!$E:$E,$B159,Dados!$C:$C,INDEX(D$3,1,1),Dados!$A:$A,INDEX($D:$E,MATCH("G",$D:$D,0),2)))</f>
        <v/>
      </c>
      <c r="E159" s="66" t="str">
        <f ca="1">IF(COUNTIFS(Dados!$E:$E,$B159,Dados!$C:$C,INDEX(E$3,1,1),Dados!$A:$A,INDEX($D:$E,MATCH("G",$D:$D,0),2))=0,"",SUMIFS(Dados!$G:$G,Dados!$E:$E,$B159,Dados!$C:$C,INDEX(E$3,1,1),Dados!$A:$A,INDEX($D:$E,MATCH("G",$D:$D,0),2))/COUNTIFS(Dados!$E:$E,$B159,Dados!$C:$C,INDEX(E$3,1,1),Dados!$A:$A,INDEX($D:$E,MATCH("G",$D:$D,0),2)))</f>
        <v/>
      </c>
      <c r="F159" s="66" t="str">
        <f ca="1">IF(COUNTIFS(Dados!$E:$E,$B159,Dados!$C:$C,INDEX(F$3,1,1),Dados!$A:$A,INDEX($D:$E,MATCH("G",$D:$D,0),2))=0,"",SUMIFS(Dados!$G:$G,Dados!$E:$E,$B159,Dados!$C:$C,INDEX(F$3,1,1),Dados!$A:$A,INDEX($D:$E,MATCH("G",$D:$D,0),2))/COUNTIFS(Dados!$E:$E,$B159,Dados!$C:$C,INDEX(F$3,1,1),Dados!$A:$A,INDEX($D:$E,MATCH("G",$D:$D,0),2)))</f>
        <v/>
      </c>
      <c r="G159" s="66" t="str">
        <f ca="1">IF(COUNTIFS(Dados!$E:$E,$B159,Dados!$C:$C,INDEX(G$3,1,1),Dados!$A:$A,INDEX($D:$E,MATCH("G",$D:$D,0),2))=0,"",SUMIFS(Dados!$G:$G,Dados!$E:$E,$B159,Dados!$C:$C,INDEX(G$3,1,1),Dados!$A:$A,INDEX($D:$E,MATCH("G",$D:$D,0),2))/COUNTIFS(Dados!$E:$E,$B159,Dados!$C:$C,INDEX(G$3,1,1),Dados!$A:$A,INDEX($D:$E,MATCH("G",$D:$D,0),2)))</f>
        <v/>
      </c>
      <c r="H159" s="66" t="str">
        <f ca="1">IF(COUNTIFS(Dados!$E:$E,$B159,Dados!$C:$C,INDEX(H$3,1,1),Dados!$A:$A,INDEX($D:$E,MATCH("G",$D:$D,0),2))=0,"",SUMIFS(Dados!$G:$G,Dados!$E:$E,$B159,Dados!$C:$C,INDEX(H$3,1,1),Dados!$A:$A,INDEX($D:$E,MATCH("G",$D:$D,0),2))/COUNTIFS(Dados!$E:$E,$B159,Dados!$C:$C,INDEX(H$3,1,1),Dados!$A:$A,INDEX($D:$E,MATCH("G",$D:$D,0),2)))</f>
        <v/>
      </c>
      <c r="I159" s="66" t="str">
        <f ca="1">IF(COUNTIFS(Dados!$E:$E,$B159,Dados!$C:$C,INDEX(I$3,1,1),Dados!$A:$A,INDEX($D:$E,MATCH("G",$D:$D,0),2))=0,"",SUMIFS(Dados!$G:$G,Dados!$E:$E,$B159,Dados!$C:$C,INDEX(I$3,1,1),Dados!$A:$A,INDEX($D:$E,MATCH("G",$D:$D,0),2))/COUNTIFS(Dados!$E:$E,$B159,Dados!$C:$C,INDEX(I$3,1,1),Dados!$A:$A,INDEX($D:$E,MATCH("G",$D:$D,0),2)))</f>
        <v/>
      </c>
      <c r="J159" s="66" t="str">
        <f ca="1">IF(COUNTIFS(Dados!$E:$E,$B159,Dados!$C:$C,INDEX(J$3,1,1),Dados!$A:$A,INDEX($D:$E,MATCH("G",$D:$D,0),2))=0,"",SUMIFS(Dados!$G:$G,Dados!$E:$E,$B159,Dados!$C:$C,INDEX(J$3,1,1),Dados!$A:$A,INDEX($D:$E,MATCH("G",$D:$D,0),2))/COUNTIFS(Dados!$E:$E,$B159,Dados!$C:$C,INDEX(J$3,1,1),Dados!$A:$A,INDEX($D:$E,MATCH("G",$D:$D,0),2)))</f>
        <v/>
      </c>
      <c r="K159" s="66" t="str">
        <f ca="1">IF(COUNTIFS(Dados!$E:$E,$B159,Dados!$C:$C,INDEX(K$3,1,1),Dados!$A:$A,INDEX($D:$E,MATCH("G",$D:$D,0),2))=0,"",SUMIFS(Dados!$G:$G,Dados!$E:$E,$B159,Dados!$C:$C,INDEX(K$3,1,1),Dados!$A:$A,INDEX($D:$E,MATCH("G",$D:$D,0),2))/COUNTIFS(Dados!$E:$E,$B159,Dados!$C:$C,INDEX(K$3,1,1),Dados!$A:$A,INDEX($D:$E,MATCH("G",$D:$D,0),2)))</f>
        <v/>
      </c>
      <c r="L159" s="66" t="str">
        <f ca="1">IF(COUNTIFS(Dados!$E:$E,$B159,Dados!$C:$C,INDEX(L$3,1,1),Dados!$A:$A,INDEX($D:$E,MATCH("G",$D:$D,0),2))=0,"",SUMIFS(Dados!$G:$G,Dados!$E:$E,$B159,Dados!$C:$C,INDEX(L$3,1,1),Dados!$A:$A,INDEX($D:$E,MATCH("G",$D:$D,0),2))/COUNTIFS(Dados!$E:$E,$B159,Dados!$C:$C,INDEX(L$3,1,1),Dados!$A:$A,INDEX($D:$E,MATCH("G",$D:$D,0),2)))</f>
        <v/>
      </c>
      <c r="M159" s="66" t="str">
        <f ca="1">IF(COUNTIFS(Dados!$E:$E,$B159,Dados!$C:$C,INDEX(M$3,1,1),Dados!$A:$A,INDEX($D:$E,MATCH("G",$D:$D,0),2))=0,"",SUMIFS(Dados!$G:$G,Dados!$E:$E,$B159,Dados!$C:$C,INDEX(M$3,1,1),Dados!$A:$A,INDEX($D:$E,MATCH("G",$D:$D,0),2))/COUNTIFS(Dados!$E:$E,$B159,Dados!$C:$C,INDEX(M$3,1,1),Dados!$A:$A,INDEX($D:$E,MATCH("G",$D:$D,0),2)))</f>
        <v/>
      </c>
      <c r="N159" s="66" t="str">
        <f ca="1">IF(COUNTIFS(Dados!$E:$E,$B159,Dados!$C:$C,INDEX(N$3,1,1),Dados!$A:$A,INDEX($D:$E,MATCH("G",$D:$D,0),2))=0,"",SUMIFS(Dados!$G:$G,Dados!$E:$E,$B159,Dados!$C:$C,INDEX(N$3,1,1),Dados!$A:$A,INDEX($D:$E,MATCH("G",$D:$D,0),2))/COUNTIFS(Dados!$E:$E,$B159,Dados!$C:$C,INDEX(N$3,1,1),Dados!$A:$A,INDEX($D:$E,MATCH("G",$D:$D,0),2)))</f>
        <v/>
      </c>
      <c r="O159" s="66" t="str">
        <f ca="1">IF(COUNTIFS(Dados!$E:$E,$B159,Dados!$C:$C,INDEX(O$3,1,1),Dados!$A:$A,INDEX($D:$E,MATCH("G",$D:$D,0),2))=0,"",SUMIFS(Dados!$G:$G,Dados!$E:$E,$B159,Dados!$C:$C,INDEX(O$3,1,1),Dados!$A:$A,INDEX($D:$E,MATCH("G",$D:$D,0),2))/COUNTIFS(Dados!$E:$E,$B159,Dados!$C:$C,INDEX(O$3,1,1),Dados!$A:$A,INDEX($D:$E,MATCH("G",$D:$D,0),2)))</f>
        <v/>
      </c>
      <c r="P159" s="66" t="str">
        <f ca="1">IF(COUNTIFS(Dados!$E:$E,$B159,Dados!$C:$C,INDEX(P$3,1,1),Dados!$A:$A,INDEX($D:$E,MATCH("G",$D:$D,0),2))=0,"",SUMIFS(Dados!$G:$G,Dados!$E:$E,$B159,Dados!$C:$C,INDEX(P$3,1,1),Dados!$A:$A,INDEX($D:$E,MATCH("G",$D:$D,0),2))/COUNTIFS(Dados!$E:$E,$B159,Dados!$C:$C,INDEX(P$3,1,1),Dados!$A:$A,INDEX($D:$E,MATCH("G",$D:$D,0),2)))</f>
        <v/>
      </c>
      <c r="Q159" s="66" t="str">
        <f ca="1">IF(COUNTIFS(Dados!$E:$E,$B159,Dados!$C:$C,INDEX(Q$3,1,1),Dados!$A:$A,INDEX($D:$E,MATCH("G",$D:$D,0),2))=0,"",SUMIFS(Dados!$G:$G,Dados!$E:$E,$B159,Dados!$C:$C,INDEX(Q$3,1,1),Dados!$A:$A,INDEX($D:$E,MATCH("G",$D:$D,0),2))/COUNTIFS(Dados!$E:$E,$B159,Dados!$C:$C,INDEX(Q$3,1,1),Dados!$A:$A,INDEX($D:$E,MATCH("G",$D:$D,0),2)))</f>
        <v/>
      </c>
      <c r="R159" s="66" t="str">
        <f ca="1">IF(COUNTIFS(Dados!$E:$E,$B159,Dados!$C:$C,INDEX(R$3,1,1),Dados!$A:$A,INDEX($D:$E,MATCH("G",$D:$D,0),2))=0,"",SUMIFS(Dados!$G:$G,Dados!$E:$E,$B159,Dados!$C:$C,INDEX(R$3,1,1),Dados!$A:$A,INDEX($D:$E,MATCH("G",$D:$D,0),2))/COUNTIFS(Dados!$E:$E,$B159,Dados!$C:$C,INDEX(R$3,1,1),Dados!$A:$A,INDEX($D:$E,MATCH("G",$D:$D,0),2)))</f>
        <v/>
      </c>
      <c r="S159" s="66" t="str">
        <f ca="1">IF(COUNTIFS(Dados!$E:$E,$B159,Dados!$C:$C,INDEX(S$3,1,1),Dados!$A:$A,INDEX($D:$E,MATCH("G",$D:$D,0),2))=0,"",SUMIFS(Dados!$G:$G,Dados!$E:$E,$B159,Dados!$C:$C,INDEX(S$3,1,1),Dados!$A:$A,INDEX($D:$E,MATCH("G",$D:$D,0),2))/COUNTIFS(Dados!$E:$E,$B159,Dados!$C:$C,INDEX(S$3,1,1),Dados!$A:$A,INDEX($D:$E,MATCH("G",$D:$D,0),2)))</f>
        <v/>
      </c>
      <c r="T159" s="66" t="str">
        <f ca="1">IF(COUNTIFS(Dados!$E:$E,$B159,Dados!$C:$C,INDEX(T$3,1,1),Dados!$A:$A,INDEX($D:$E,MATCH("G",$D:$D,0),2))=0,"",SUMIFS(Dados!$G:$G,Dados!$E:$E,$B159,Dados!$C:$C,INDEX(T$3,1,1),Dados!$A:$A,INDEX($D:$E,MATCH("G",$D:$D,0),2))/COUNTIFS(Dados!$E:$E,$B159,Dados!$C:$C,INDEX(T$3,1,1),Dados!$A:$A,INDEX($D:$E,MATCH("G",$D:$D,0),2)))</f>
        <v/>
      </c>
      <c r="U159" s="66" t="str">
        <f ca="1">IF(COUNTIFS(Dados!$E:$E,$B159,Dados!$C:$C,INDEX(U$3,1,1),Dados!$A:$A,INDEX($D:$E,MATCH("G",$D:$D,0),2))=0,"",SUMIFS(Dados!$G:$G,Dados!$E:$E,$B159,Dados!$C:$C,INDEX(U$3,1,1),Dados!$A:$A,INDEX($D:$E,MATCH("G",$D:$D,0),2))/COUNTIFS(Dados!$E:$E,$B159,Dados!$C:$C,INDEX(U$3,1,1),Dados!$A:$A,INDEX($D:$E,MATCH("G",$D:$D,0),2)))</f>
        <v/>
      </c>
      <c r="V159" s="66" t="str">
        <f ca="1">IF(COUNTIFS(Dados!$E:$E,$B159,Dados!$C:$C,INDEX(V$3,1,1),Dados!$A:$A,INDEX($D:$E,MATCH("G",$D:$D,0),2))=0,"",SUMIFS(Dados!$G:$G,Dados!$E:$E,$B159,Dados!$C:$C,INDEX(V$3,1,1),Dados!$A:$A,INDEX($D:$E,MATCH("G",$D:$D,0),2))/COUNTIFS(Dados!$E:$E,$B159,Dados!$C:$C,INDEX(V$3,1,1),Dados!$A:$A,INDEX($D:$E,MATCH("G",$D:$D,0),2)))</f>
        <v/>
      </c>
    </row>
    <row r="160" spans="2:22" x14ac:dyDescent="0.25">
      <c r="B160" s="67" t="s">
        <v>147</v>
      </c>
      <c r="C160" s="71">
        <f>VLOOKUP(B160,B4:C22,2,0)</f>
        <v>10</v>
      </c>
      <c r="D160" s="68" t="str">
        <f ca="1">IF(COUNTIFS(Dados!$E:$E,$B160,Dados!$C:$C,INDEX(D$3,1,1),Dados!$A:$A,INDEX($D:$E,MATCH("G",$D:$D,0),2))=0,"",SUMIFS(Dados!$G:$G,Dados!$E:$E,$B160,Dados!$C:$C,INDEX(D$3,1,1),Dados!$A:$A,INDEX($D:$E,MATCH("G",$D:$D,0),2))/COUNTIFS(Dados!$E:$E,$B160,Dados!$C:$C,INDEX(D$3,1,1),Dados!$A:$A,INDEX($D:$E,MATCH("G",$D:$D,0),2)))</f>
        <v/>
      </c>
      <c r="E160" s="68" t="str">
        <f ca="1">IF(COUNTIFS(Dados!$E:$E,$B160,Dados!$C:$C,INDEX(E$3,1,1),Dados!$A:$A,INDEX($D:$E,MATCH("G",$D:$D,0),2))=0,"",SUMIFS(Dados!$G:$G,Dados!$E:$E,$B160,Dados!$C:$C,INDEX(E$3,1,1),Dados!$A:$A,INDEX($D:$E,MATCH("G",$D:$D,0),2))/COUNTIFS(Dados!$E:$E,$B160,Dados!$C:$C,INDEX(E$3,1,1),Dados!$A:$A,INDEX($D:$E,MATCH("G",$D:$D,0),2)))</f>
        <v/>
      </c>
      <c r="F160" s="68" t="str">
        <f ca="1">IF(COUNTIFS(Dados!$E:$E,$B160,Dados!$C:$C,INDEX(F$3,1,1),Dados!$A:$A,INDEX($D:$E,MATCH("G",$D:$D,0),2))=0,"",SUMIFS(Dados!$G:$G,Dados!$E:$E,$B160,Dados!$C:$C,INDEX(F$3,1,1),Dados!$A:$A,INDEX($D:$E,MATCH("G",$D:$D,0),2))/COUNTIFS(Dados!$E:$E,$B160,Dados!$C:$C,INDEX(F$3,1,1),Dados!$A:$A,INDEX($D:$E,MATCH("G",$D:$D,0),2)))</f>
        <v/>
      </c>
      <c r="G160" s="68" t="str">
        <f ca="1">IF(COUNTIFS(Dados!$E:$E,$B160,Dados!$C:$C,INDEX(G$3,1,1),Dados!$A:$A,INDEX($D:$E,MATCH("G",$D:$D,0),2))=0,"",SUMIFS(Dados!$G:$G,Dados!$E:$E,$B160,Dados!$C:$C,INDEX(G$3,1,1),Dados!$A:$A,INDEX($D:$E,MATCH("G",$D:$D,0),2))/COUNTIFS(Dados!$E:$E,$B160,Dados!$C:$C,INDEX(G$3,1,1),Dados!$A:$A,INDEX($D:$E,MATCH("G",$D:$D,0),2)))</f>
        <v/>
      </c>
      <c r="H160" s="68" t="str">
        <f ca="1">IF(COUNTIFS(Dados!$E:$E,$B160,Dados!$C:$C,INDEX(H$3,1,1),Dados!$A:$A,INDEX($D:$E,MATCH("G",$D:$D,0),2))=0,"",SUMIFS(Dados!$G:$G,Dados!$E:$E,$B160,Dados!$C:$C,INDEX(H$3,1,1),Dados!$A:$A,INDEX($D:$E,MATCH("G",$D:$D,0),2))/COUNTIFS(Dados!$E:$E,$B160,Dados!$C:$C,INDEX(H$3,1,1),Dados!$A:$A,INDEX($D:$E,MATCH("G",$D:$D,0),2)))</f>
        <v/>
      </c>
      <c r="I160" s="68" t="str">
        <f ca="1">IF(COUNTIFS(Dados!$E:$E,$B160,Dados!$C:$C,INDEX(I$3,1,1),Dados!$A:$A,INDEX($D:$E,MATCH("G",$D:$D,0),2))=0,"",SUMIFS(Dados!$G:$G,Dados!$E:$E,$B160,Dados!$C:$C,INDEX(I$3,1,1),Dados!$A:$A,INDEX($D:$E,MATCH("G",$D:$D,0),2))/COUNTIFS(Dados!$E:$E,$B160,Dados!$C:$C,INDEX(I$3,1,1),Dados!$A:$A,INDEX($D:$E,MATCH("G",$D:$D,0),2)))</f>
        <v/>
      </c>
      <c r="J160" s="68" t="str">
        <f ca="1">IF(COUNTIFS(Dados!$E:$E,$B160,Dados!$C:$C,INDEX(J$3,1,1),Dados!$A:$A,INDEX($D:$E,MATCH("G",$D:$D,0),2))=0,"",SUMIFS(Dados!$G:$G,Dados!$E:$E,$B160,Dados!$C:$C,INDEX(J$3,1,1),Dados!$A:$A,INDEX($D:$E,MATCH("G",$D:$D,0),2))/COUNTIFS(Dados!$E:$E,$B160,Dados!$C:$C,INDEX(J$3,1,1),Dados!$A:$A,INDEX($D:$E,MATCH("G",$D:$D,0),2)))</f>
        <v/>
      </c>
      <c r="K160" s="68" t="str">
        <f ca="1">IF(COUNTIFS(Dados!$E:$E,$B160,Dados!$C:$C,INDEX(K$3,1,1),Dados!$A:$A,INDEX($D:$E,MATCH("G",$D:$D,0),2))=0,"",SUMIFS(Dados!$G:$G,Dados!$E:$E,$B160,Dados!$C:$C,INDEX(K$3,1,1),Dados!$A:$A,INDEX($D:$E,MATCH("G",$D:$D,0),2))/COUNTIFS(Dados!$E:$E,$B160,Dados!$C:$C,INDEX(K$3,1,1),Dados!$A:$A,INDEX($D:$E,MATCH("G",$D:$D,0),2)))</f>
        <v/>
      </c>
      <c r="L160" s="68" t="str">
        <f ca="1">IF(COUNTIFS(Dados!$E:$E,$B160,Dados!$C:$C,INDEX(L$3,1,1),Dados!$A:$A,INDEX($D:$E,MATCH("G",$D:$D,0),2))=0,"",SUMIFS(Dados!$G:$G,Dados!$E:$E,$B160,Dados!$C:$C,INDEX(L$3,1,1),Dados!$A:$A,INDEX($D:$E,MATCH("G",$D:$D,0),2))/COUNTIFS(Dados!$E:$E,$B160,Dados!$C:$C,INDEX(L$3,1,1),Dados!$A:$A,INDEX($D:$E,MATCH("G",$D:$D,0),2)))</f>
        <v/>
      </c>
      <c r="M160" s="68" t="str">
        <f ca="1">IF(COUNTIFS(Dados!$E:$E,$B160,Dados!$C:$C,INDEX(M$3,1,1),Dados!$A:$A,INDEX($D:$E,MATCH("G",$D:$D,0),2))=0,"",SUMIFS(Dados!$G:$G,Dados!$E:$E,$B160,Dados!$C:$C,INDEX(M$3,1,1),Dados!$A:$A,INDEX($D:$E,MATCH("G",$D:$D,0),2))/COUNTIFS(Dados!$E:$E,$B160,Dados!$C:$C,INDEX(M$3,1,1),Dados!$A:$A,INDEX($D:$E,MATCH("G",$D:$D,0),2)))</f>
        <v/>
      </c>
      <c r="N160" s="68" t="str">
        <f ca="1">IF(COUNTIFS(Dados!$E:$E,$B160,Dados!$C:$C,INDEX(N$3,1,1),Dados!$A:$A,INDEX($D:$E,MATCH("G",$D:$D,0),2))=0,"",SUMIFS(Dados!$G:$G,Dados!$E:$E,$B160,Dados!$C:$C,INDEX(N$3,1,1),Dados!$A:$A,INDEX($D:$E,MATCH("G",$D:$D,0),2))/COUNTIFS(Dados!$E:$E,$B160,Dados!$C:$C,INDEX(N$3,1,1),Dados!$A:$A,INDEX($D:$E,MATCH("G",$D:$D,0),2)))</f>
        <v/>
      </c>
      <c r="O160" s="68" t="str">
        <f ca="1">IF(COUNTIFS(Dados!$E:$E,$B160,Dados!$C:$C,INDEX(O$3,1,1),Dados!$A:$A,INDEX($D:$E,MATCH("G",$D:$D,0),2))=0,"",SUMIFS(Dados!$G:$G,Dados!$E:$E,$B160,Dados!$C:$C,INDEX(O$3,1,1),Dados!$A:$A,INDEX($D:$E,MATCH("G",$D:$D,0),2))/COUNTIFS(Dados!$E:$E,$B160,Dados!$C:$C,INDEX(O$3,1,1),Dados!$A:$A,INDEX($D:$E,MATCH("G",$D:$D,0),2)))</f>
        <v/>
      </c>
      <c r="P160" s="68" t="str">
        <f ca="1">IF(COUNTIFS(Dados!$E:$E,$B160,Dados!$C:$C,INDEX(P$3,1,1),Dados!$A:$A,INDEX($D:$E,MATCH("G",$D:$D,0),2))=0,"",SUMIFS(Dados!$G:$G,Dados!$E:$E,$B160,Dados!$C:$C,INDEX(P$3,1,1),Dados!$A:$A,INDEX($D:$E,MATCH("G",$D:$D,0),2))/COUNTIFS(Dados!$E:$E,$B160,Dados!$C:$C,INDEX(P$3,1,1),Dados!$A:$A,INDEX($D:$E,MATCH("G",$D:$D,0),2)))</f>
        <v/>
      </c>
      <c r="Q160" s="68" t="str">
        <f ca="1">IF(COUNTIFS(Dados!$E:$E,$B160,Dados!$C:$C,INDEX(Q$3,1,1),Dados!$A:$A,INDEX($D:$E,MATCH("G",$D:$D,0),2))=0,"",SUMIFS(Dados!$G:$G,Dados!$E:$E,$B160,Dados!$C:$C,INDEX(Q$3,1,1),Dados!$A:$A,INDEX($D:$E,MATCH("G",$D:$D,0),2))/COUNTIFS(Dados!$E:$E,$B160,Dados!$C:$C,INDEX(Q$3,1,1),Dados!$A:$A,INDEX($D:$E,MATCH("G",$D:$D,0),2)))</f>
        <v/>
      </c>
      <c r="R160" s="68" t="str">
        <f ca="1">IF(COUNTIFS(Dados!$E:$E,$B160,Dados!$C:$C,INDEX(R$3,1,1),Dados!$A:$A,INDEX($D:$E,MATCH("G",$D:$D,0),2))=0,"",SUMIFS(Dados!$G:$G,Dados!$E:$E,$B160,Dados!$C:$C,INDEX(R$3,1,1),Dados!$A:$A,INDEX($D:$E,MATCH("G",$D:$D,0),2))/COUNTIFS(Dados!$E:$E,$B160,Dados!$C:$C,INDEX(R$3,1,1),Dados!$A:$A,INDEX($D:$E,MATCH("G",$D:$D,0),2)))</f>
        <v/>
      </c>
      <c r="S160" s="68" t="str">
        <f ca="1">IF(COUNTIFS(Dados!$E:$E,$B160,Dados!$C:$C,INDEX(S$3,1,1),Dados!$A:$A,INDEX($D:$E,MATCH("G",$D:$D,0),2))=0,"",SUMIFS(Dados!$G:$G,Dados!$E:$E,$B160,Dados!$C:$C,INDEX(S$3,1,1),Dados!$A:$A,INDEX($D:$E,MATCH("G",$D:$D,0),2))/COUNTIFS(Dados!$E:$E,$B160,Dados!$C:$C,INDEX(S$3,1,1),Dados!$A:$A,INDEX($D:$E,MATCH("G",$D:$D,0),2)))</f>
        <v/>
      </c>
      <c r="T160" s="68" t="str">
        <f ca="1">IF(COUNTIFS(Dados!$E:$E,$B160,Dados!$C:$C,INDEX(T$3,1,1),Dados!$A:$A,INDEX($D:$E,MATCH("G",$D:$D,0),2))=0,"",SUMIFS(Dados!$G:$G,Dados!$E:$E,$B160,Dados!$C:$C,INDEX(T$3,1,1),Dados!$A:$A,INDEX($D:$E,MATCH("G",$D:$D,0),2))/COUNTIFS(Dados!$E:$E,$B160,Dados!$C:$C,INDEX(T$3,1,1),Dados!$A:$A,INDEX($D:$E,MATCH("G",$D:$D,0),2)))</f>
        <v/>
      </c>
      <c r="U160" s="68" t="str">
        <f ca="1">IF(COUNTIFS(Dados!$E:$E,$B160,Dados!$C:$C,INDEX(U$3,1,1),Dados!$A:$A,INDEX($D:$E,MATCH("G",$D:$D,0),2))=0,"",SUMIFS(Dados!$G:$G,Dados!$E:$E,$B160,Dados!$C:$C,INDEX(U$3,1,1),Dados!$A:$A,INDEX($D:$E,MATCH("G",$D:$D,0),2))/COUNTIFS(Dados!$E:$E,$B160,Dados!$C:$C,INDEX(U$3,1,1),Dados!$A:$A,INDEX($D:$E,MATCH("G",$D:$D,0),2)))</f>
        <v/>
      </c>
      <c r="V160" s="68" t="str">
        <f ca="1">IF(COUNTIFS(Dados!$E:$E,$B160,Dados!$C:$C,INDEX(V$3,1,1),Dados!$A:$A,INDEX($D:$E,MATCH("G",$D:$D,0),2))=0,"",SUMIFS(Dados!$G:$G,Dados!$E:$E,$B160,Dados!$C:$C,INDEX(V$3,1,1),Dados!$A:$A,INDEX($D:$E,MATCH("G",$D:$D,0),2))/COUNTIFS(Dados!$E:$E,$B160,Dados!$C:$C,INDEX(V$3,1,1),Dados!$A:$A,INDEX($D:$E,MATCH("G",$D:$D,0),2)))</f>
        <v/>
      </c>
    </row>
    <row r="161" spans="2:22" x14ac:dyDescent="0.25">
      <c r="B161" s="65" t="s">
        <v>898</v>
      </c>
      <c r="C161" s="72">
        <f>VLOOKUP(B161,B4:C22,2,0)</f>
        <v>11</v>
      </c>
      <c r="D161" s="66" t="str">
        <f ca="1">IF(COUNTIFS(Dados!$E:$E,$B161,Dados!$C:$C,INDEX(D$3,1,1),Dados!$A:$A,INDEX($D:$E,MATCH("G",$D:$D,0),2))=0,"",SUMIFS(Dados!$G:$G,Dados!$E:$E,$B161,Dados!$C:$C,INDEX(D$3,1,1),Dados!$A:$A,INDEX($D:$E,MATCH("G",$D:$D,0),2))/COUNTIFS(Dados!$E:$E,$B161,Dados!$C:$C,INDEX(D$3,1,1),Dados!$A:$A,INDEX($D:$E,MATCH("G",$D:$D,0),2)))</f>
        <v/>
      </c>
      <c r="E161" s="66" t="str">
        <f ca="1">IF(COUNTIFS(Dados!$E:$E,$B161,Dados!$C:$C,INDEX(E$3,1,1),Dados!$A:$A,INDEX($D:$E,MATCH("G",$D:$D,0),2))=0,"",SUMIFS(Dados!$G:$G,Dados!$E:$E,$B161,Dados!$C:$C,INDEX(E$3,1,1),Dados!$A:$A,INDEX($D:$E,MATCH("G",$D:$D,0),2))/COUNTIFS(Dados!$E:$E,$B161,Dados!$C:$C,INDEX(E$3,1,1),Dados!$A:$A,INDEX($D:$E,MATCH("G",$D:$D,0),2)))</f>
        <v/>
      </c>
      <c r="F161" s="66" t="str">
        <f ca="1">IF(COUNTIFS(Dados!$E:$E,$B161,Dados!$C:$C,INDEX(F$3,1,1),Dados!$A:$A,INDEX($D:$E,MATCH("G",$D:$D,0),2))=0,"",SUMIFS(Dados!$G:$G,Dados!$E:$E,$B161,Dados!$C:$C,INDEX(F$3,1,1),Dados!$A:$A,INDEX($D:$E,MATCH("G",$D:$D,0),2))/COUNTIFS(Dados!$E:$E,$B161,Dados!$C:$C,INDEX(F$3,1,1),Dados!$A:$A,INDEX($D:$E,MATCH("G",$D:$D,0),2)))</f>
        <v/>
      </c>
      <c r="G161" s="66" t="str">
        <f ca="1">IF(COUNTIFS(Dados!$E:$E,$B161,Dados!$C:$C,INDEX(G$3,1,1),Dados!$A:$A,INDEX($D:$E,MATCH("G",$D:$D,0),2))=0,"",SUMIFS(Dados!$G:$G,Dados!$E:$E,$B161,Dados!$C:$C,INDEX(G$3,1,1),Dados!$A:$A,INDEX($D:$E,MATCH("G",$D:$D,0),2))/COUNTIFS(Dados!$E:$E,$B161,Dados!$C:$C,INDEX(G$3,1,1),Dados!$A:$A,INDEX($D:$E,MATCH("G",$D:$D,0),2)))</f>
        <v/>
      </c>
      <c r="H161" s="66" t="str">
        <f ca="1">IF(COUNTIFS(Dados!$E:$E,$B161,Dados!$C:$C,INDEX(H$3,1,1),Dados!$A:$A,INDEX($D:$E,MATCH("G",$D:$D,0),2))=0,"",SUMIFS(Dados!$G:$G,Dados!$E:$E,$B161,Dados!$C:$C,INDEX(H$3,1,1),Dados!$A:$A,INDEX($D:$E,MATCH("G",$D:$D,0),2))/COUNTIFS(Dados!$E:$E,$B161,Dados!$C:$C,INDEX(H$3,1,1),Dados!$A:$A,INDEX($D:$E,MATCH("G",$D:$D,0),2)))</f>
        <v/>
      </c>
      <c r="I161" s="66" t="str">
        <f ca="1">IF(COUNTIFS(Dados!$E:$E,$B161,Dados!$C:$C,INDEX(I$3,1,1),Dados!$A:$A,INDEX($D:$E,MATCH("G",$D:$D,0),2))=0,"",SUMIFS(Dados!$G:$G,Dados!$E:$E,$B161,Dados!$C:$C,INDEX(I$3,1,1),Dados!$A:$A,INDEX($D:$E,MATCH("G",$D:$D,0),2))/COUNTIFS(Dados!$E:$E,$B161,Dados!$C:$C,INDEX(I$3,1,1),Dados!$A:$A,INDEX($D:$E,MATCH("G",$D:$D,0),2)))</f>
        <v/>
      </c>
      <c r="J161" s="66" t="str">
        <f ca="1">IF(COUNTIFS(Dados!$E:$E,$B161,Dados!$C:$C,INDEX(J$3,1,1),Dados!$A:$A,INDEX($D:$E,MATCH("G",$D:$D,0),2))=0,"",SUMIFS(Dados!$G:$G,Dados!$E:$E,$B161,Dados!$C:$C,INDEX(J$3,1,1),Dados!$A:$A,INDEX($D:$E,MATCH("G",$D:$D,0),2))/COUNTIFS(Dados!$E:$E,$B161,Dados!$C:$C,INDEX(J$3,1,1),Dados!$A:$A,INDEX($D:$E,MATCH("G",$D:$D,0),2)))</f>
        <v/>
      </c>
      <c r="K161" s="66" t="str">
        <f ca="1">IF(COUNTIFS(Dados!$E:$E,$B161,Dados!$C:$C,INDEX(K$3,1,1),Dados!$A:$A,INDEX($D:$E,MATCH("G",$D:$D,0),2))=0,"",SUMIFS(Dados!$G:$G,Dados!$E:$E,$B161,Dados!$C:$C,INDEX(K$3,1,1),Dados!$A:$A,INDEX($D:$E,MATCH("G",$D:$D,0),2))/COUNTIFS(Dados!$E:$E,$B161,Dados!$C:$C,INDEX(K$3,1,1),Dados!$A:$A,INDEX($D:$E,MATCH("G",$D:$D,0),2)))</f>
        <v/>
      </c>
      <c r="L161" s="66" t="str">
        <f ca="1">IF(COUNTIFS(Dados!$E:$E,$B161,Dados!$C:$C,INDEX(L$3,1,1),Dados!$A:$A,INDEX($D:$E,MATCH("G",$D:$D,0),2))=0,"",SUMIFS(Dados!$G:$G,Dados!$E:$E,$B161,Dados!$C:$C,INDEX(L$3,1,1),Dados!$A:$A,INDEX($D:$E,MATCH("G",$D:$D,0),2))/COUNTIFS(Dados!$E:$E,$B161,Dados!$C:$C,INDEX(L$3,1,1),Dados!$A:$A,INDEX($D:$E,MATCH("G",$D:$D,0),2)))</f>
        <v/>
      </c>
      <c r="M161" s="66" t="str">
        <f ca="1">IF(COUNTIFS(Dados!$E:$E,$B161,Dados!$C:$C,INDEX(M$3,1,1),Dados!$A:$A,INDEX($D:$E,MATCH("G",$D:$D,0),2))=0,"",SUMIFS(Dados!$G:$G,Dados!$E:$E,$B161,Dados!$C:$C,INDEX(M$3,1,1),Dados!$A:$A,INDEX($D:$E,MATCH("G",$D:$D,0),2))/COUNTIFS(Dados!$E:$E,$B161,Dados!$C:$C,INDEX(M$3,1,1),Dados!$A:$A,INDEX($D:$E,MATCH("G",$D:$D,0),2)))</f>
        <v/>
      </c>
      <c r="N161" s="66" t="str">
        <f ca="1">IF(COUNTIFS(Dados!$E:$E,$B161,Dados!$C:$C,INDEX(N$3,1,1),Dados!$A:$A,INDEX($D:$E,MATCH("G",$D:$D,0),2))=0,"",SUMIFS(Dados!$G:$G,Dados!$E:$E,$B161,Dados!$C:$C,INDEX(N$3,1,1),Dados!$A:$A,INDEX($D:$E,MATCH("G",$D:$D,0),2))/COUNTIFS(Dados!$E:$E,$B161,Dados!$C:$C,INDEX(N$3,1,1),Dados!$A:$A,INDEX($D:$E,MATCH("G",$D:$D,0),2)))</f>
        <v/>
      </c>
      <c r="O161" s="66" t="str">
        <f ca="1">IF(COUNTIFS(Dados!$E:$E,$B161,Dados!$C:$C,INDEX(O$3,1,1),Dados!$A:$A,INDEX($D:$E,MATCH("G",$D:$D,0),2))=0,"",SUMIFS(Dados!$G:$G,Dados!$E:$E,$B161,Dados!$C:$C,INDEX(O$3,1,1),Dados!$A:$A,INDEX($D:$E,MATCH("G",$D:$D,0),2))/COUNTIFS(Dados!$E:$E,$B161,Dados!$C:$C,INDEX(O$3,1,1),Dados!$A:$A,INDEX($D:$E,MATCH("G",$D:$D,0),2)))</f>
        <v/>
      </c>
      <c r="P161" s="66" t="str">
        <f ca="1">IF(COUNTIFS(Dados!$E:$E,$B161,Dados!$C:$C,INDEX(P$3,1,1),Dados!$A:$A,INDEX($D:$E,MATCH("G",$D:$D,0),2))=0,"",SUMIFS(Dados!$G:$G,Dados!$E:$E,$B161,Dados!$C:$C,INDEX(P$3,1,1),Dados!$A:$A,INDEX($D:$E,MATCH("G",$D:$D,0),2))/COUNTIFS(Dados!$E:$E,$B161,Dados!$C:$C,INDEX(P$3,1,1),Dados!$A:$A,INDEX($D:$E,MATCH("G",$D:$D,0),2)))</f>
        <v/>
      </c>
      <c r="Q161" s="66" t="str">
        <f ca="1">IF(COUNTIFS(Dados!$E:$E,$B161,Dados!$C:$C,INDEX(Q$3,1,1),Dados!$A:$A,INDEX($D:$E,MATCH("G",$D:$D,0),2))=0,"",SUMIFS(Dados!$G:$G,Dados!$E:$E,$B161,Dados!$C:$C,INDEX(Q$3,1,1),Dados!$A:$A,INDEX($D:$E,MATCH("G",$D:$D,0),2))/COUNTIFS(Dados!$E:$E,$B161,Dados!$C:$C,INDEX(Q$3,1,1),Dados!$A:$A,INDEX($D:$E,MATCH("G",$D:$D,0),2)))</f>
        <v/>
      </c>
      <c r="R161" s="66" t="str">
        <f ca="1">IF(COUNTIFS(Dados!$E:$E,$B161,Dados!$C:$C,INDEX(R$3,1,1),Dados!$A:$A,INDEX($D:$E,MATCH("G",$D:$D,0),2))=0,"",SUMIFS(Dados!$G:$G,Dados!$E:$E,$B161,Dados!$C:$C,INDEX(R$3,1,1),Dados!$A:$A,INDEX($D:$E,MATCH("G",$D:$D,0),2))/COUNTIFS(Dados!$E:$E,$B161,Dados!$C:$C,INDEX(R$3,1,1),Dados!$A:$A,INDEX($D:$E,MATCH("G",$D:$D,0),2)))</f>
        <v/>
      </c>
      <c r="S161" s="66" t="str">
        <f ca="1">IF(COUNTIFS(Dados!$E:$E,$B161,Dados!$C:$C,INDEX(S$3,1,1),Dados!$A:$A,INDEX($D:$E,MATCH("G",$D:$D,0),2))=0,"",SUMIFS(Dados!$G:$G,Dados!$E:$E,$B161,Dados!$C:$C,INDEX(S$3,1,1),Dados!$A:$A,INDEX($D:$E,MATCH("G",$D:$D,0),2))/COUNTIFS(Dados!$E:$E,$B161,Dados!$C:$C,INDEX(S$3,1,1),Dados!$A:$A,INDEX($D:$E,MATCH("G",$D:$D,0),2)))</f>
        <v/>
      </c>
      <c r="T161" s="66" t="str">
        <f ca="1">IF(COUNTIFS(Dados!$E:$E,$B161,Dados!$C:$C,INDEX(T$3,1,1),Dados!$A:$A,INDEX($D:$E,MATCH("G",$D:$D,0),2))=0,"",SUMIFS(Dados!$G:$G,Dados!$E:$E,$B161,Dados!$C:$C,INDEX(T$3,1,1),Dados!$A:$A,INDEX($D:$E,MATCH("G",$D:$D,0),2))/COUNTIFS(Dados!$E:$E,$B161,Dados!$C:$C,INDEX(T$3,1,1),Dados!$A:$A,INDEX($D:$E,MATCH("G",$D:$D,0),2)))</f>
        <v/>
      </c>
      <c r="U161" s="66" t="str">
        <f ca="1">IF(COUNTIFS(Dados!$E:$E,$B161,Dados!$C:$C,INDEX(U$3,1,1),Dados!$A:$A,INDEX($D:$E,MATCH("G",$D:$D,0),2))=0,"",SUMIFS(Dados!$G:$G,Dados!$E:$E,$B161,Dados!$C:$C,INDEX(U$3,1,1),Dados!$A:$A,INDEX($D:$E,MATCH("G",$D:$D,0),2))/COUNTIFS(Dados!$E:$E,$B161,Dados!$C:$C,INDEX(U$3,1,1),Dados!$A:$A,INDEX($D:$E,MATCH("G",$D:$D,0),2)))</f>
        <v/>
      </c>
      <c r="V161" s="66" t="str">
        <f ca="1">IF(COUNTIFS(Dados!$E:$E,$B161,Dados!$C:$C,INDEX(V$3,1,1),Dados!$A:$A,INDEX($D:$E,MATCH("G",$D:$D,0),2))=0,"",SUMIFS(Dados!$G:$G,Dados!$E:$E,$B161,Dados!$C:$C,INDEX(V$3,1,1),Dados!$A:$A,INDEX($D:$E,MATCH("G",$D:$D,0),2))/COUNTIFS(Dados!$E:$E,$B161,Dados!$C:$C,INDEX(V$3,1,1),Dados!$A:$A,INDEX($D:$E,MATCH("G",$D:$D,0),2)))</f>
        <v/>
      </c>
    </row>
    <row r="162" spans="2:22" x14ac:dyDescent="0.25">
      <c r="B162" s="67" t="s">
        <v>1301</v>
      </c>
      <c r="C162" s="71">
        <f>VLOOKUP(B162,B4:C22,2,0)</f>
        <v>12</v>
      </c>
      <c r="D162" s="68" t="str">
        <f ca="1">IF(COUNTIFS(Dados!$E:$E,$B162,Dados!$C:$C,INDEX(D$3,1,1),Dados!$A:$A,INDEX($D:$E,MATCH("G",$D:$D,0),2))=0,"",SUMIFS(Dados!$G:$G,Dados!$E:$E,$B162,Dados!$C:$C,INDEX(D$3,1,1),Dados!$A:$A,INDEX($D:$E,MATCH("G",$D:$D,0),2))/COUNTIFS(Dados!$E:$E,$B162,Dados!$C:$C,INDEX(D$3,1,1),Dados!$A:$A,INDEX($D:$E,MATCH("G",$D:$D,0),2)))</f>
        <v/>
      </c>
      <c r="E162" s="68" t="str">
        <f ca="1">IF(COUNTIFS(Dados!$E:$E,$B162,Dados!$C:$C,INDEX(E$3,1,1),Dados!$A:$A,INDEX($D:$E,MATCH("G",$D:$D,0),2))=0,"",SUMIFS(Dados!$G:$G,Dados!$E:$E,$B162,Dados!$C:$C,INDEX(E$3,1,1),Dados!$A:$A,INDEX($D:$E,MATCH("G",$D:$D,0),2))/COUNTIFS(Dados!$E:$E,$B162,Dados!$C:$C,INDEX(E$3,1,1),Dados!$A:$A,INDEX($D:$E,MATCH("G",$D:$D,0),2)))</f>
        <v/>
      </c>
      <c r="F162" s="68" t="str">
        <f ca="1">IF(COUNTIFS(Dados!$E:$E,$B162,Dados!$C:$C,INDEX(F$3,1,1),Dados!$A:$A,INDEX($D:$E,MATCH("G",$D:$D,0),2))=0,"",SUMIFS(Dados!$G:$G,Dados!$E:$E,$B162,Dados!$C:$C,INDEX(F$3,1,1),Dados!$A:$A,INDEX($D:$E,MATCH("G",$D:$D,0),2))/COUNTIFS(Dados!$E:$E,$B162,Dados!$C:$C,INDEX(F$3,1,1),Dados!$A:$A,INDEX($D:$E,MATCH("G",$D:$D,0),2)))</f>
        <v/>
      </c>
      <c r="G162" s="68" t="str">
        <f ca="1">IF(COUNTIFS(Dados!$E:$E,$B162,Dados!$C:$C,INDEX(G$3,1,1),Dados!$A:$A,INDEX($D:$E,MATCH("G",$D:$D,0),2))=0,"",SUMIFS(Dados!$G:$G,Dados!$E:$E,$B162,Dados!$C:$C,INDEX(G$3,1,1),Dados!$A:$A,INDEX($D:$E,MATCH("G",$D:$D,0),2))/COUNTIFS(Dados!$E:$E,$B162,Dados!$C:$C,INDEX(G$3,1,1),Dados!$A:$A,INDEX($D:$E,MATCH("G",$D:$D,0),2)))</f>
        <v/>
      </c>
      <c r="H162" s="68" t="str">
        <f ca="1">IF(COUNTIFS(Dados!$E:$E,$B162,Dados!$C:$C,INDEX(H$3,1,1),Dados!$A:$A,INDEX($D:$E,MATCH("G",$D:$D,0),2))=0,"",SUMIFS(Dados!$G:$G,Dados!$E:$E,$B162,Dados!$C:$C,INDEX(H$3,1,1),Dados!$A:$A,INDEX($D:$E,MATCH("G",$D:$D,0),2))/COUNTIFS(Dados!$E:$E,$B162,Dados!$C:$C,INDEX(H$3,1,1),Dados!$A:$A,INDEX($D:$E,MATCH("G",$D:$D,0),2)))</f>
        <v/>
      </c>
      <c r="I162" s="68" t="str">
        <f ca="1">IF(COUNTIFS(Dados!$E:$E,$B162,Dados!$C:$C,INDEX(I$3,1,1),Dados!$A:$A,INDEX($D:$E,MATCH("G",$D:$D,0),2))=0,"",SUMIFS(Dados!$G:$G,Dados!$E:$E,$B162,Dados!$C:$C,INDEX(I$3,1,1),Dados!$A:$A,INDEX($D:$E,MATCH("G",$D:$D,0),2))/COUNTIFS(Dados!$E:$E,$B162,Dados!$C:$C,INDEX(I$3,1,1),Dados!$A:$A,INDEX($D:$E,MATCH("G",$D:$D,0),2)))</f>
        <v/>
      </c>
      <c r="J162" s="68" t="str">
        <f ca="1">IF(COUNTIFS(Dados!$E:$E,$B162,Dados!$C:$C,INDEX(J$3,1,1),Dados!$A:$A,INDEX($D:$E,MATCH("G",$D:$D,0),2))=0,"",SUMIFS(Dados!$G:$G,Dados!$E:$E,$B162,Dados!$C:$C,INDEX(J$3,1,1),Dados!$A:$A,INDEX($D:$E,MATCH("G",$D:$D,0),2))/COUNTIFS(Dados!$E:$E,$B162,Dados!$C:$C,INDEX(J$3,1,1),Dados!$A:$A,INDEX($D:$E,MATCH("G",$D:$D,0),2)))</f>
        <v/>
      </c>
      <c r="K162" s="68" t="str">
        <f ca="1">IF(COUNTIFS(Dados!$E:$E,$B162,Dados!$C:$C,INDEX(K$3,1,1),Dados!$A:$A,INDEX($D:$E,MATCH("G",$D:$D,0),2))=0,"",SUMIFS(Dados!$G:$G,Dados!$E:$E,$B162,Dados!$C:$C,INDEX(K$3,1,1),Dados!$A:$A,INDEX($D:$E,MATCH("G",$D:$D,0),2))/COUNTIFS(Dados!$E:$E,$B162,Dados!$C:$C,INDEX(K$3,1,1),Dados!$A:$A,INDEX($D:$E,MATCH("G",$D:$D,0),2)))</f>
        <v/>
      </c>
      <c r="L162" s="68" t="str">
        <f ca="1">IF(COUNTIFS(Dados!$E:$E,$B162,Dados!$C:$C,INDEX(L$3,1,1),Dados!$A:$A,INDEX($D:$E,MATCH("G",$D:$D,0),2))=0,"",SUMIFS(Dados!$G:$G,Dados!$E:$E,$B162,Dados!$C:$C,INDEX(L$3,1,1),Dados!$A:$A,INDEX($D:$E,MATCH("G",$D:$D,0),2))/COUNTIFS(Dados!$E:$E,$B162,Dados!$C:$C,INDEX(L$3,1,1),Dados!$A:$A,INDEX($D:$E,MATCH("G",$D:$D,0),2)))</f>
        <v/>
      </c>
      <c r="M162" s="68" t="str">
        <f ca="1">IF(COUNTIFS(Dados!$E:$E,$B162,Dados!$C:$C,INDEX(M$3,1,1),Dados!$A:$A,INDEX($D:$E,MATCH("G",$D:$D,0),2))=0,"",SUMIFS(Dados!$G:$G,Dados!$E:$E,$B162,Dados!$C:$C,INDEX(M$3,1,1),Dados!$A:$A,INDEX($D:$E,MATCH("G",$D:$D,0),2))/COUNTIFS(Dados!$E:$E,$B162,Dados!$C:$C,INDEX(M$3,1,1),Dados!$A:$A,INDEX($D:$E,MATCH("G",$D:$D,0),2)))</f>
        <v/>
      </c>
      <c r="N162" s="68" t="str">
        <f ca="1">IF(COUNTIFS(Dados!$E:$E,$B162,Dados!$C:$C,INDEX(N$3,1,1),Dados!$A:$A,INDEX($D:$E,MATCH("G",$D:$D,0),2))=0,"",SUMIFS(Dados!$G:$G,Dados!$E:$E,$B162,Dados!$C:$C,INDEX(N$3,1,1),Dados!$A:$A,INDEX($D:$E,MATCH("G",$D:$D,0),2))/COUNTIFS(Dados!$E:$E,$B162,Dados!$C:$C,INDEX(N$3,1,1),Dados!$A:$A,INDEX($D:$E,MATCH("G",$D:$D,0),2)))</f>
        <v/>
      </c>
      <c r="O162" s="68" t="str">
        <f ca="1">IF(COUNTIFS(Dados!$E:$E,$B162,Dados!$C:$C,INDEX(O$3,1,1),Dados!$A:$A,INDEX($D:$E,MATCH("G",$D:$D,0),2))=0,"",SUMIFS(Dados!$G:$G,Dados!$E:$E,$B162,Dados!$C:$C,INDEX(O$3,1,1),Dados!$A:$A,INDEX($D:$E,MATCH("G",$D:$D,0),2))/COUNTIFS(Dados!$E:$E,$B162,Dados!$C:$C,INDEX(O$3,1,1),Dados!$A:$A,INDEX($D:$E,MATCH("G",$D:$D,0),2)))</f>
        <v/>
      </c>
      <c r="P162" s="68" t="str">
        <f ca="1">IF(COUNTIFS(Dados!$E:$E,$B162,Dados!$C:$C,INDEX(P$3,1,1),Dados!$A:$A,INDEX($D:$E,MATCH("G",$D:$D,0),2))=0,"",SUMIFS(Dados!$G:$G,Dados!$E:$E,$B162,Dados!$C:$C,INDEX(P$3,1,1),Dados!$A:$A,INDEX($D:$E,MATCH("G",$D:$D,0),2))/COUNTIFS(Dados!$E:$E,$B162,Dados!$C:$C,INDEX(P$3,1,1),Dados!$A:$A,INDEX($D:$E,MATCH("G",$D:$D,0),2)))</f>
        <v/>
      </c>
      <c r="Q162" s="68" t="str">
        <f ca="1">IF(COUNTIFS(Dados!$E:$E,$B162,Dados!$C:$C,INDEX(Q$3,1,1),Dados!$A:$A,INDEX($D:$E,MATCH("G",$D:$D,0),2))=0,"",SUMIFS(Dados!$G:$G,Dados!$E:$E,$B162,Dados!$C:$C,INDEX(Q$3,1,1),Dados!$A:$A,INDEX($D:$E,MATCH("G",$D:$D,0),2))/COUNTIFS(Dados!$E:$E,$B162,Dados!$C:$C,INDEX(Q$3,1,1),Dados!$A:$A,INDEX($D:$E,MATCH("G",$D:$D,0),2)))</f>
        <v/>
      </c>
      <c r="R162" s="68" t="str">
        <f ca="1">IF(COUNTIFS(Dados!$E:$E,$B162,Dados!$C:$C,INDEX(R$3,1,1),Dados!$A:$A,INDEX($D:$E,MATCH("G",$D:$D,0),2))=0,"",SUMIFS(Dados!$G:$G,Dados!$E:$E,$B162,Dados!$C:$C,INDEX(R$3,1,1),Dados!$A:$A,INDEX($D:$E,MATCH("G",$D:$D,0),2))/COUNTIFS(Dados!$E:$E,$B162,Dados!$C:$C,INDEX(R$3,1,1),Dados!$A:$A,INDEX($D:$E,MATCH("G",$D:$D,0),2)))</f>
        <v/>
      </c>
      <c r="S162" s="68" t="str">
        <f ca="1">IF(COUNTIFS(Dados!$E:$E,$B162,Dados!$C:$C,INDEX(S$3,1,1),Dados!$A:$A,INDEX($D:$E,MATCH("G",$D:$D,0),2))=0,"",SUMIFS(Dados!$G:$G,Dados!$E:$E,$B162,Dados!$C:$C,INDEX(S$3,1,1),Dados!$A:$A,INDEX($D:$E,MATCH("G",$D:$D,0),2))/COUNTIFS(Dados!$E:$E,$B162,Dados!$C:$C,INDEX(S$3,1,1),Dados!$A:$A,INDEX($D:$E,MATCH("G",$D:$D,0),2)))</f>
        <v/>
      </c>
      <c r="T162" s="68" t="str">
        <f ca="1">IF(COUNTIFS(Dados!$E:$E,$B162,Dados!$C:$C,INDEX(T$3,1,1),Dados!$A:$A,INDEX($D:$E,MATCH("G",$D:$D,0),2))=0,"",SUMIFS(Dados!$G:$G,Dados!$E:$E,$B162,Dados!$C:$C,INDEX(T$3,1,1),Dados!$A:$A,INDEX($D:$E,MATCH("G",$D:$D,0),2))/COUNTIFS(Dados!$E:$E,$B162,Dados!$C:$C,INDEX(T$3,1,1),Dados!$A:$A,INDEX($D:$E,MATCH("G",$D:$D,0),2)))</f>
        <v/>
      </c>
      <c r="U162" s="68" t="str">
        <f ca="1">IF(COUNTIFS(Dados!$E:$E,$B162,Dados!$C:$C,INDEX(U$3,1,1),Dados!$A:$A,INDEX($D:$E,MATCH("G",$D:$D,0),2))=0,"",SUMIFS(Dados!$G:$G,Dados!$E:$E,$B162,Dados!$C:$C,INDEX(U$3,1,1),Dados!$A:$A,INDEX($D:$E,MATCH("G",$D:$D,0),2))/COUNTIFS(Dados!$E:$E,$B162,Dados!$C:$C,INDEX(U$3,1,1),Dados!$A:$A,INDEX($D:$E,MATCH("G",$D:$D,0),2)))</f>
        <v/>
      </c>
      <c r="V162" s="68" t="str">
        <f ca="1">IF(COUNTIFS(Dados!$E:$E,$B162,Dados!$C:$C,INDEX(V$3,1,1),Dados!$A:$A,INDEX($D:$E,MATCH("G",$D:$D,0),2))=0,"",SUMIFS(Dados!$G:$G,Dados!$E:$E,$B162,Dados!$C:$C,INDEX(V$3,1,1),Dados!$A:$A,INDEX($D:$E,MATCH("G",$D:$D,0),2))/COUNTIFS(Dados!$E:$E,$B162,Dados!$C:$C,INDEX(V$3,1,1),Dados!$A:$A,INDEX($D:$E,MATCH("G",$D:$D,0),2)))</f>
        <v/>
      </c>
    </row>
    <row r="163" spans="2:22" x14ac:dyDescent="0.25">
      <c r="B163" s="65" t="s">
        <v>1302</v>
      </c>
      <c r="C163" s="72">
        <f>VLOOKUP(B163,B4:C22,2,0)</f>
        <v>13</v>
      </c>
      <c r="D163" s="66" t="str">
        <f ca="1">IF(COUNTIFS(Dados!$E:$E,$B163,Dados!$C:$C,INDEX(D$3,1,1),Dados!$A:$A,INDEX($D:$E,MATCH("G",$D:$D,0),2))=0,"",SUMIFS(Dados!$G:$G,Dados!$E:$E,$B163,Dados!$C:$C,INDEX(D$3,1,1),Dados!$A:$A,INDEX($D:$E,MATCH("G",$D:$D,0),2))/COUNTIFS(Dados!$E:$E,$B163,Dados!$C:$C,INDEX(D$3,1,1),Dados!$A:$A,INDEX($D:$E,MATCH("G",$D:$D,0),2)))</f>
        <v/>
      </c>
      <c r="E163" s="66" t="str">
        <f ca="1">IF(COUNTIFS(Dados!$E:$E,$B163,Dados!$C:$C,INDEX(E$3,1,1),Dados!$A:$A,INDEX($D:$E,MATCH("G",$D:$D,0),2))=0,"",SUMIFS(Dados!$G:$G,Dados!$E:$E,$B163,Dados!$C:$C,INDEX(E$3,1,1),Dados!$A:$A,INDEX($D:$E,MATCH("G",$D:$D,0),2))/COUNTIFS(Dados!$E:$E,$B163,Dados!$C:$C,INDEX(E$3,1,1),Dados!$A:$A,INDEX($D:$E,MATCH("G",$D:$D,0),2)))</f>
        <v/>
      </c>
      <c r="F163" s="66" t="str">
        <f ca="1">IF(COUNTIFS(Dados!$E:$E,$B163,Dados!$C:$C,INDEX(F$3,1,1),Dados!$A:$A,INDEX($D:$E,MATCH("G",$D:$D,0),2))=0,"",SUMIFS(Dados!$G:$G,Dados!$E:$E,$B163,Dados!$C:$C,INDEX(F$3,1,1),Dados!$A:$A,INDEX($D:$E,MATCH("G",$D:$D,0),2))/COUNTIFS(Dados!$E:$E,$B163,Dados!$C:$C,INDEX(F$3,1,1),Dados!$A:$A,INDEX($D:$E,MATCH("G",$D:$D,0),2)))</f>
        <v/>
      </c>
      <c r="G163" s="66" t="str">
        <f ca="1">IF(COUNTIFS(Dados!$E:$E,$B163,Dados!$C:$C,INDEX(G$3,1,1),Dados!$A:$A,INDEX($D:$E,MATCH("G",$D:$D,0),2))=0,"",SUMIFS(Dados!$G:$G,Dados!$E:$E,$B163,Dados!$C:$C,INDEX(G$3,1,1),Dados!$A:$A,INDEX($D:$E,MATCH("G",$D:$D,0),2))/COUNTIFS(Dados!$E:$E,$B163,Dados!$C:$C,INDEX(G$3,1,1),Dados!$A:$A,INDEX($D:$E,MATCH("G",$D:$D,0),2)))</f>
        <v/>
      </c>
      <c r="H163" s="66" t="str">
        <f ca="1">IF(COUNTIFS(Dados!$E:$E,$B163,Dados!$C:$C,INDEX(H$3,1,1),Dados!$A:$A,INDEX($D:$E,MATCH("G",$D:$D,0),2))=0,"",SUMIFS(Dados!$G:$G,Dados!$E:$E,$B163,Dados!$C:$C,INDEX(H$3,1,1),Dados!$A:$A,INDEX($D:$E,MATCH("G",$D:$D,0),2))/COUNTIFS(Dados!$E:$E,$B163,Dados!$C:$C,INDEX(H$3,1,1),Dados!$A:$A,INDEX($D:$E,MATCH("G",$D:$D,0),2)))</f>
        <v/>
      </c>
      <c r="I163" s="66" t="str">
        <f ca="1">IF(COUNTIFS(Dados!$E:$E,$B163,Dados!$C:$C,INDEX(I$3,1,1),Dados!$A:$A,INDEX($D:$E,MATCH("G",$D:$D,0),2))=0,"",SUMIFS(Dados!$G:$G,Dados!$E:$E,$B163,Dados!$C:$C,INDEX(I$3,1,1),Dados!$A:$A,INDEX($D:$E,MATCH("G",$D:$D,0),2))/COUNTIFS(Dados!$E:$E,$B163,Dados!$C:$C,INDEX(I$3,1,1),Dados!$A:$A,INDEX($D:$E,MATCH("G",$D:$D,0),2)))</f>
        <v/>
      </c>
      <c r="J163" s="66" t="str">
        <f ca="1">IF(COUNTIFS(Dados!$E:$E,$B163,Dados!$C:$C,INDEX(J$3,1,1),Dados!$A:$A,INDEX($D:$E,MATCH("G",$D:$D,0),2))=0,"",SUMIFS(Dados!$G:$G,Dados!$E:$E,$B163,Dados!$C:$C,INDEX(J$3,1,1),Dados!$A:$A,INDEX($D:$E,MATCH("G",$D:$D,0),2))/COUNTIFS(Dados!$E:$E,$B163,Dados!$C:$C,INDEX(J$3,1,1),Dados!$A:$A,INDEX($D:$E,MATCH("G",$D:$D,0),2)))</f>
        <v/>
      </c>
      <c r="K163" s="66" t="str">
        <f ca="1">IF(COUNTIFS(Dados!$E:$E,$B163,Dados!$C:$C,INDEX(K$3,1,1),Dados!$A:$A,INDEX($D:$E,MATCH("G",$D:$D,0),2))=0,"",SUMIFS(Dados!$G:$G,Dados!$E:$E,$B163,Dados!$C:$C,INDEX(K$3,1,1),Dados!$A:$A,INDEX($D:$E,MATCH("G",$D:$D,0),2))/COUNTIFS(Dados!$E:$E,$B163,Dados!$C:$C,INDEX(K$3,1,1),Dados!$A:$A,INDEX($D:$E,MATCH("G",$D:$D,0),2)))</f>
        <v/>
      </c>
      <c r="L163" s="66" t="str">
        <f ca="1">IF(COUNTIFS(Dados!$E:$E,$B163,Dados!$C:$C,INDEX(L$3,1,1),Dados!$A:$A,INDEX($D:$E,MATCH("G",$D:$D,0),2))=0,"",SUMIFS(Dados!$G:$G,Dados!$E:$E,$B163,Dados!$C:$C,INDEX(L$3,1,1),Dados!$A:$A,INDEX($D:$E,MATCH("G",$D:$D,0),2))/COUNTIFS(Dados!$E:$E,$B163,Dados!$C:$C,INDEX(L$3,1,1),Dados!$A:$A,INDEX($D:$E,MATCH("G",$D:$D,0),2)))</f>
        <v/>
      </c>
      <c r="M163" s="66" t="str">
        <f ca="1">IF(COUNTIFS(Dados!$E:$E,$B163,Dados!$C:$C,INDEX(M$3,1,1),Dados!$A:$A,INDEX($D:$E,MATCH("G",$D:$D,0),2))=0,"",SUMIFS(Dados!$G:$G,Dados!$E:$E,$B163,Dados!$C:$C,INDEX(M$3,1,1),Dados!$A:$A,INDEX($D:$E,MATCH("G",$D:$D,0),2))/COUNTIFS(Dados!$E:$E,$B163,Dados!$C:$C,INDEX(M$3,1,1),Dados!$A:$A,INDEX($D:$E,MATCH("G",$D:$D,0),2)))</f>
        <v/>
      </c>
      <c r="N163" s="66" t="str">
        <f ca="1">IF(COUNTIFS(Dados!$E:$E,$B163,Dados!$C:$C,INDEX(N$3,1,1),Dados!$A:$A,INDEX($D:$E,MATCH("G",$D:$D,0),2))=0,"",SUMIFS(Dados!$G:$G,Dados!$E:$E,$B163,Dados!$C:$C,INDEX(N$3,1,1),Dados!$A:$A,INDEX($D:$E,MATCH("G",$D:$D,0),2))/COUNTIFS(Dados!$E:$E,$B163,Dados!$C:$C,INDEX(N$3,1,1),Dados!$A:$A,INDEX($D:$E,MATCH("G",$D:$D,0),2)))</f>
        <v/>
      </c>
      <c r="O163" s="66" t="str">
        <f ca="1">IF(COUNTIFS(Dados!$E:$E,$B163,Dados!$C:$C,INDEX(O$3,1,1),Dados!$A:$A,INDEX($D:$E,MATCH("G",$D:$D,0),2))=0,"",SUMIFS(Dados!$G:$G,Dados!$E:$E,$B163,Dados!$C:$C,INDEX(O$3,1,1),Dados!$A:$A,INDEX($D:$E,MATCH("G",$D:$D,0),2))/COUNTIFS(Dados!$E:$E,$B163,Dados!$C:$C,INDEX(O$3,1,1),Dados!$A:$A,INDEX($D:$E,MATCH("G",$D:$D,0),2)))</f>
        <v/>
      </c>
      <c r="P163" s="66" t="str">
        <f ca="1">IF(COUNTIFS(Dados!$E:$E,$B163,Dados!$C:$C,INDEX(P$3,1,1),Dados!$A:$A,INDEX($D:$E,MATCH("G",$D:$D,0),2))=0,"",SUMIFS(Dados!$G:$G,Dados!$E:$E,$B163,Dados!$C:$C,INDEX(P$3,1,1),Dados!$A:$A,INDEX($D:$E,MATCH("G",$D:$D,0),2))/COUNTIFS(Dados!$E:$E,$B163,Dados!$C:$C,INDEX(P$3,1,1),Dados!$A:$A,INDEX($D:$E,MATCH("G",$D:$D,0),2)))</f>
        <v/>
      </c>
      <c r="Q163" s="66" t="str">
        <f ca="1">IF(COUNTIFS(Dados!$E:$E,$B163,Dados!$C:$C,INDEX(Q$3,1,1),Dados!$A:$A,INDEX($D:$E,MATCH("G",$D:$D,0),2))=0,"",SUMIFS(Dados!$G:$G,Dados!$E:$E,$B163,Dados!$C:$C,INDEX(Q$3,1,1),Dados!$A:$A,INDEX($D:$E,MATCH("G",$D:$D,0),2))/COUNTIFS(Dados!$E:$E,$B163,Dados!$C:$C,INDEX(Q$3,1,1),Dados!$A:$A,INDEX($D:$E,MATCH("G",$D:$D,0),2)))</f>
        <v/>
      </c>
      <c r="R163" s="66" t="str">
        <f ca="1">IF(COUNTIFS(Dados!$E:$E,$B163,Dados!$C:$C,INDEX(R$3,1,1),Dados!$A:$A,INDEX($D:$E,MATCH("G",$D:$D,0),2))=0,"",SUMIFS(Dados!$G:$G,Dados!$E:$E,$B163,Dados!$C:$C,INDEX(R$3,1,1),Dados!$A:$A,INDEX($D:$E,MATCH("G",$D:$D,0),2))/COUNTIFS(Dados!$E:$E,$B163,Dados!$C:$C,INDEX(R$3,1,1),Dados!$A:$A,INDEX($D:$E,MATCH("G",$D:$D,0),2)))</f>
        <v/>
      </c>
      <c r="S163" s="66" t="str">
        <f ca="1">IF(COUNTIFS(Dados!$E:$E,$B163,Dados!$C:$C,INDEX(S$3,1,1),Dados!$A:$A,INDEX($D:$E,MATCH("G",$D:$D,0),2))=0,"",SUMIFS(Dados!$G:$G,Dados!$E:$E,$B163,Dados!$C:$C,INDEX(S$3,1,1),Dados!$A:$A,INDEX($D:$E,MATCH("G",$D:$D,0),2))/COUNTIFS(Dados!$E:$E,$B163,Dados!$C:$C,INDEX(S$3,1,1),Dados!$A:$A,INDEX($D:$E,MATCH("G",$D:$D,0),2)))</f>
        <v/>
      </c>
      <c r="T163" s="66" t="str">
        <f ca="1">IF(COUNTIFS(Dados!$E:$E,$B163,Dados!$C:$C,INDEX(T$3,1,1),Dados!$A:$A,INDEX($D:$E,MATCH("G",$D:$D,0),2))=0,"",SUMIFS(Dados!$G:$G,Dados!$E:$E,$B163,Dados!$C:$C,INDEX(T$3,1,1),Dados!$A:$A,INDEX($D:$E,MATCH("G",$D:$D,0),2))/COUNTIFS(Dados!$E:$E,$B163,Dados!$C:$C,INDEX(T$3,1,1),Dados!$A:$A,INDEX($D:$E,MATCH("G",$D:$D,0),2)))</f>
        <v/>
      </c>
      <c r="U163" s="66" t="str">
        <f ca="1">IF(COUNTIFS(Dados!$E:$E,$B163,Dados!$C:$C,INDEX(U$3,1,1),Dados!$A:$A,INDEX($D:$E,MATCH("G",$D:$D,0),2))=0,"",SUMIFS(Dados!$G:$G,Dados!$E:$E,$B163,Dados!$C:$C,INDEX(U$3,1,1),Dados!$A:$A,INDEX($D:$E,MATCH("G",$D:$D,0),2))/COUNTIFS(Dados!$E:$E,$B163,Dados!$C:$C,INDEX(U$3,1,1),Dados!$A:$A,INDEX($D:$E,MATCH("G",$D:$D,0),2)))</f>
        <v/>
      </c>
      <c r="V163" s="66" t="str">
        <f ca="1">IF(COUNTIFS(Dados!$E:$E,$B163,Dados!$C:$C,INDEX(V$3,1,1),Dados!$A:$A,INDEX($D:$E,MATCH("G",$D:$D,0),2))=0,"",SUMIFS(Dados!$G:$G,Dados!$E:$E,$B163,Dados!$C:$C,INDEX(V$3,1,1),Dados!$A:$A,INDEX($D:$E,MATCH("G",$D:$D,0),2))/COUNTIFS(Dados!$E:$E,$B163,Dados!$C:$C,INDEX(V$3,1,1),Dados!$A:$A,INDEX($D:$E,MATCH("G",$D:$D,0),2)))</f>
        <v/>
      </c>
    </row>
    <row r="164" spans="2:22" x14ac:dyDescent="0.25">
      <c r="B164" s="67" t="s">
        <v>1296</v>
      </c>
      <c r="C164" s="71">
        <f>VLOOKUP(B164,B4:C22,2,0)</f>
        <v>14</v>
      </c>
      <c r="D164" s="68" t="str">
        <f ca="1">IF(COUNTIFS(Dados!$E:$E,$B164,Dados!$C:$C,INDEX(D$3,1,1),Dados!$A:$A,INDEX($D:$E,MATCH("G",$D:$D,0),2))=0,"",SUMIFS(Dados!$G:$G,Dados!$E:$E,$B164,Dados!$C:$C,INDEX(D$3,1,1),Dados!$A:$A,INDEX($D:$E,MATCH("G",$D:$D,0),2))/COUNTIFS(Dados!$E:$E,$B164,Dados!$C:$C,INDEX(D$3,1,1),Dados!$A:$A,INDEX($D:$E,MATCH("G",$D:$D,0),2)))</f>
        <v/>
      </c>
      <c r="E164" s="68" t="str">
        <f ca="1">IF(COUNTIFS(Dados!$E:$E,$B164,Dados!$C:$C,INDEX(E$3,1,1),Dados!$A:$A,INDEX($D:$E,MATCH("G",$D:$D,0),2))=0,"",SUMIFS(Dados!$G:$G,Dados!$E:$E,$B164,Dados!$C:$C,INDEX(E$3,1,1),Dados!$A:$A,INDEX($D:$E,MATCH("G",$D:$D,0),2))/COUNTIFS(Dados!$E:$E,$B164,Dados!$C:$C,INDEX(E$3,1,1),Dados!$A:$A,INDEX($D:$E,MATCH("G",$D:$D,0),2)))</f>
        <v/>
      </c>
      <c r="F164" s="68" t="str">
        <f ca="1">IF(COUNTIFS(Dados!$E:$E,$B164,Dados!$C:$C,INDEX(F$3,1,1),Dados!$A:$A,INDEX($D:$E,MATCH("G",$D:$D,0),2))=0,"",SUMIFS(Dados!$G:$G,Dados!$E:$E,$B164,Dados!$C:$C,INDEX(F$3,1,1),Dados!$A:$A,INDEX($D:$E,MATCH("G",$D:$D,0),2))/COUNTIFS(Dados!$E:$E,$B164,Dados!$C:$C,INDEX(F$3,1,1),Dados!$A:$A,INDEX($D:$E,MATCH("G",$D:$D,0),2)))</f>
        <v/>
      </c>
      <c r="G164" s="68" t="str">
        <f ca="1">IF(COUNTIFS(Dados!$E:$E,$B164,Dados!$C:$C,INDEX(G$3,1,1),Dados!$A:$A,INDEX($D:$E,MATCH("G",$D:$D,0),2))=0,"",SUMIFS(Dados!$G:$G,Dados!$E:$E,$B164,Dados!$C:$C,INDEX(G$3,1,1),Dados!$A:$A,INDEX($D:$E,MATCH("G",$D:$D,0),2))/COUNTIFS(Dados!$E:$E,$B164,Dados!$C:$C,INDEX(G$3,1,1),Dados!$A:$A,INDEX($D:$E,MATCH("G",$D:$D,0),2)))</f>
        <v/>
      </c>
      <c r="H164" s="68" t="str">
        <f ca="1">IF(COUNTIFS(Dados!$E:$E,$B164,Dados!$C:$C,INDEX(H$3,1,1),Dados!$A:$A,INDEX($D:$E,MATCH("G",$D:$D,0),2))=0,"",SUMIFS(Dados!$G:$G,Dados!$E:$E,$B164,Dados!$C:$C,INDEX(H$3,1,1),Dados!$A:$A,INDEX($D:$E,MATCH("G",$D:$D,0),2))/COUNTIFS(Dados!$E:$E,$B164,Dados!$C:$C,INDEX(H$3,1,1),Dados!$A:$A,INDEX($D:$E,MATCH("G",$D:$D,0),2)))</f>
        <v/>
      </c>
      <c r="I164" s="68" t="str">
        <f ca="1">IF(COUNTIFS(Dados!$E:$E,$B164,Dados!$C:$C,INDEX(I$3,1,1),Dados!$A:$A,INDEX($D:$E,MATCH("G",$D:$D,0),2))=0,"",SUMIFS(Dados!$G:$G,Dados!$E:$E,$B164,Dados!$C:$C,INDEX(I$3,1,1),Dados!$A:$A,INDEX($D:$E,MATCH("G",$D:$D,0),2))/COUNTIFS(Dados!$E:$E,$B164,Dados!$C:$C,INDEX(I$3,1,1),Dados!$A:$A,INDEX($D:$E,MATCH("G",$D:$D,0),2)))</f>
        <v/>
      </c>
      <c r="J164" s="68" t="str">
        <f ca="1">IF(COUNTIFS(Dados!$E:$E,$B164,Dados!$C:$C,INDEX(J$3,1,1),Dados!$A:$A,INDEX($D:$E,MATCH("G",$D:$D,0),2))=0,"",SUMIFS(Dados!$G:$G,Dados!$E:$E,$B164,Dados!$C:$C,INDEX(J$3,1,1),Dados!$A:$A,INDEX($D:$E,MATCH("G",$D:$D,0),2))/COUNTIFS(Dados!$E:$E,$B164,Dados!$C:$C,INDEX(J$3,1,1),Dados!$A:$A,INDEX($D:$E,MATCH("G",$D:$D,0),2)))</f>
        <v/>
      </c>
      <c r="K164" s="68" t="str">
        <f ca="1">IF(COUNTIFS(Dados!$E:$E,$B164,Dados!$C:$C,INDEX(K$3,1,1),Dados!$A:$A,INDEX($D:$E,MATCH("G",$D:$D,0),2))=0,"",SUMIFS(Dados!$G:$G,Dados!$E:$E,$B164,Dados!$C:$C,INDEX(K$3,1,1),Dados!$A:$A,INDEX($D:$E,MATCH("G",$D:$D,0),2))/COUNTIFS(Dados!$E:$E,$B164,Dados!$C:$C,INDEX(K$3,1,1),Dados!$A:$A,INDEX($D:$E,MATCH("G",$D:$D,0),2)))</f>
        <v/>
      </c>
      <c r="L164" s="68" t="str">
        <f ca="1">IF(COUNTIFS(Dados!$E:$E,$B164,Dados!$C:$C,INDEX(L$3,1,1),Dados!$A:$A,INDEX($D:$E,MATCH("G",$D:$D,0),2))=0,"",SUMIFS(Dados!$G:$G,Dados!$E:$E,$B164,Dados!$C:$C,INDEX(L$3,1,1),Dados!$A:$A,INDEX($D:$E,MATCH("G",$D:$D,0),2))/COUNTIFS(Dados!$E:$E,$B164,Dados!$C:$C,INDEX(L$3,1,1),Dados!$A:$A,INDEX($D:$E,MATCH("G",$D:$D,0),2)))</f>
        <v/>
      </c>
      <c r="M164" s="68" t="str">
        <f ca="1">IF(COUNTIFS(Dados!$E:$E,$B164,Dados!$C:$C,INDEX(M$3,1,1),Dados!$A:$A,INDEX($D:$E,MATCH("G",$D:$D,0),2))=0,"",SUMIFS(Dados!$G:$G,Dados!$E:$E,$B164,Dados!$C:$C,INDEX(M$3,1,1),Dados!$A:$A,INDEX($D:$E,MATCH("G",$D:$D,0),2))/COUNTIFS(Dados!$E:$E,$B164,Dados!$C:$C,INDEX(M$3,1,1),Dados!$A:$A,INDEX($D:$E,MATCH("G",$D:$D,0),2)))</f>
        <v/>
      </c>
      <c r="N164" s="68" t="str">
        <f ca="1">IF(COUNTIFS(Dados!$E:$E,$B164,Dados!$C:$C,INDEX(N$3,1,1),Dados!$A:$A,INDEX($D:$E,MATCH("G",$D:$D,0),2))=0,"",SUMIFS(Dados!$G:$G,Dados!$E:$E,$B164,Dados!$C:$C,INDEX(N$3,1,1),Dados!$A:$A,INDEX($D:$E,MATCH("G",$D:$D,0),2))/COUNTIFS(Dados!$E:$E,$B164,Dados!$C:$C,INDEX(N$3,1,1),Dados!$A:$A,INDEX($D:$E,MATCH("G",$D:$D,0),2)))</f>
        <v/>
      </c>
      <c r="O164" s="68" t="str">
        <f ca="1">IF(COUNTIFS(Dados!$E:$E,$B164,Dados!$C:$C,INDEX(O$3,1,1),Dados!$A:$A,INDEX($D:$E,MATCH("G",$D:$D,0),2))=0,"",SUMIFS(Dados!$G:$G,Dados!$E:$E,$B164,Dados!$C:$C,INDEX(O$3,1,1),Dados!$A:$A,INDEX($D:$E,MATCH("G",$D:$D,0),2))/COUNTIFS(Dados!$E:$E,$B164,Dados!$C:$C,INDEX(O$3,1,1),Dados!$A:$A,INDEX($D:$E,MATCH("G",$D:$D,0),2)))</f>
        <v/>
      </c>
      <c r="P164" s="68" t="str">
        <f ca="1">IF(COUNTIFS(Dados!$E:$E,$B164,Dados!$C:$C,INDEX(P$3,1,1),Dados!$A:$A,INDEX($D:$E,MATCH("G",$D:$D,0),2))=0,"",SUMIFS(Dados!$G:$G,Dados!$E:$E,$B164,Dados!$C:$C,INDEX(P$3,1,1),Dados!$A:$A,INDEX($D:$E,MATCH("G",$D:$D,0),2))/COUNTIFS(Dados!$E:$E,$B164,Dados!$C:$C,INDEX(P$3,1,1),Dados!$A:$A,INDEX($D:$E,MATCH("G",$D:$D,0),2)))</f>
        <v/>
      </c>
      <c r="Q164" s="68" t="str">
        <f ca="1">IF(COUNTIFS(Dados!$E:$E,$B164,Dados!$C:$C,INDEX(Q$3,1,1),Dados!$A:$A,INDEX($D:$E,MATCH("G",$D:$D,0),2))=0,"",SUMIFS(Dados!$G:$G,Dados!$E:$E,$B164,Dados!$C:$C,INDEX(Q$3,1,1),Dados!$A:$A,INDEX($D:$E,MATCH("G",$D:$D,0),2))/COUNTIFS(Dados!$E:$E,$B164,Dados!$C:$C,INDEX(Q$3,1,1),Dados!$A:$A,INDEX($D:$E,MATCH("G",$D:$D,0),2)))</f>
        <v/>
      </c>
      <c r="R164" s="68" t="str">
        <f ca="1">IF(COUNTIFS(Dados!$E:$E,$B164,Dados!$C:$C,INDEX(R$3,1,1),Dados!$A:$A,INDEX($D:$E,MATCH("G",$D:$D,0),2))=0,"",SUMIFS(Dados!$G:$G,Dados!$E:$E,$B164,Dados!$C:$C,INDEX(R$3,1,1),Dados!$A:$A,INDEX($D:$E,MATCH("G",$D:$D,0),2))/COUNTIFS(Dados!$E:$E,$B164,Dados!$C:$C,INDEX(R$3,1,1),Dados!$A:$A,INDEX($D:$E,MATCH("G",$D:$D,0),2)))</f>
        <v/>
      </c>
      <c r="S164" s="68" t="str">
        <f ca="1">IF(COUNTIFS(Dados!$E:$E,$B164,Dados!$C:$C,INDEX(S$3,1,1),Dados!$A:$A,INDEX($D:$E,MATCH("G",$D:$D,0),2))=0,"",SUMIFS(Dados!$G:$G,Dados!$E:$E,$B164,Dados!$C:$C,INDEX(S$3,1,1),Dados!$A:$A,INDEX($D:$E,MATCH("G",$D:$D,0),2))/COUNTIFS(Dados!$E:$E,$B164,Dados!$C:$C,INDEX(S$3,1,1),Dados!$A:$A,INDEX($D:$E,MATCH("G",$D:$D,0),2)))</f>
        <v/>
      </c>
      <c r="T164" s="68" t="str">
        <f ca="1">IF(COUNTIFS(Dados!$E:$E,$B164,Dados!$C:$C,INDEX(T$3,1,1),Dados!$A:$A,INDEX($D:$E,MATCH("G",$D:$D,0),2))=0,"",SUMIFS(Dados!$G:$G,Dados!$E:$E,$B164,Dados!$C:$C,INDEX(T$3,1,1),Dados!$A:$A,INDEX($D:$E,MATCH("G",$D:$D,0),2))/COUNTIFS(Dados!$E:$E,$B164,Dados!$C:$C,INDEX(T$3,1,1),Dados!$A:$A,INDEX($D:$E,MATCH("G",$D:$D,0),2)))</f>
        <v/>
      </c>
      <c r="U164" s="68" t="str">
        <f ca="1">IF(COUNTIFS(Dados!$E:$E,$B164,Dados!$C:$C,INDEX(U$3,1,1),Dados!$A:$A,INDEX($D:$E,MATCH("G",$D:$D,0),2))=0,"",SUMIFS(Dados!$G:$G,Dados!$E:$E,$B164,Dados!$C:$C,INDEX(U$3,1,1),Dados!$A:$A,INDEX($D:$E,MATCH("G",$D:$D,0),2))/COUNTIFS(Dados!$E:$E,$B164,Dados!$C:$C,INDEX(U$3,1,1),Dados!$A:$A,INDEX($D:$E,MATCH("G",$D:$D,0),2)))</f>
        <v/>
      </c>
      <c r="V164" s="68" t="str">
        <f ca="1">IF(COUNTIFS(Dados!$E:$E,$B164,Dados!$C:$C,INDEX(V$3,1,1),Dados!$A:$A,INDEX($D:$E,MATCH("G",$D:$D,0),2))=0,"",SUMIFS(Dados!$G:$G,Dados!$E:$E,$B164,Dados!$C:$C,INDEX(V$3,1,1),Dados!$A:$A,INDEX($D:$E,MATCH("G",$D:$D,0),2))/COUNTIFS(Dados!$E:$E,$B164,Dados!$C:$C,INDEX(V$3,1,1),Dados!$A:$A,INDEX($D:$E,MATCH("G",$D:$D,0),2)))</f>
        <v/>
      </c>
    </row>
    <row r="165" spans="2:22" x14ac:dyDescent="0.25">
      <c r="B165" s="65" t="s">
        <v>33</v>
      </c>
      <c r="C165" s="72">
        <f>VLOOKUP(B165,B4:C22,2,0)</f>
        <v>15</v>
      </c>
      <c r="D165" s="66" t="str">
        <f ca="1">IF(COUNTIFS(Dados!$E:$E,$B165,Dados!$C:$C,INDEX(D$3,1,1),Dados!$A:$A,INDEX($D:$E,MATCH("G",$D:$D,0),2))=0,"",SUMIFS(Dados!$G:$G,Dados!$E:$E,$B165,Dados!$C:$C,INDEX(D$3,1,1),Dados!$A:$A,INDEX($D:$E,MATCH("G",$D:$D,0),2))/COUNTIFS(Dados!$E:$E,$B165,Dados!$C:$C,INDEX(D$3,1,1),Dados!$A:$A,INDEX($D:$E,MATCH("G",$D:$D,0),2)))</f>
        <v/>
      </c>
      <c r="E165" s="66" t="str">
        <f ca="1">IF(COUNTIFS(Dados!$E:$E,$B165,Dados!$C:$C,INDEX(E$3,1,1),Dados!$A:$A,INDEX($D:$E,MATCH("G",$D:$D,0),2))=0,"",SUMIFS(Dados!$G:$G,Dados!$E:$E,$B165,Dados!$C:$C,INDEX(E$3,1,1),Dados!$A:$A,INDEX($D:$E,MATCH("G",$D:$D,0),2))/COUNTIFS(Dados!$E:$E,$B165,Dados!$C:$C,INDEX(E$3,1,1),Dados!$A:$A,INDEX($D:$E,MATCH("G",$D:$D,0),2)))</f>
        <v/>
      </c>
      <c r="F165" s="66" t="str">
        <f ca="1">IF(COUNTIFS(Dados!$E:$E,$B165,Dados!$C:$C,INDEX(F$3,1,1),Dados!$A:$A,INDEX($D:$E,MATCH("G",$D:$D,0),2))=0,"",SUMIFS(Dados!$G:$G,Dados!$E:$E,$B165,Dados!$C:$C,INDEX(F$3,1,1),Dados!$A:$A,INDEX($D:$E,MATCH("G",$D:$D,0),2))/COUNTIFS(Dados!$E:$E,$B165,Dados!$C:$C,INDEX(F$3,1,1),Dados!$A:$A,INDEX($D:$E,MATCH("G",$D:$D,0),2)))</f>
        <v/>
      </c>
      <c r="G165" s="66" t="str">
        <f ca="1">IF(COUNTIFS(Dados!$E:$E,$B165,Dados!$C:$C,INDEX(G$3,1,1),Dados!$A:$A,INDEX($D:$E,MATCH("G",$D:$D,0),2))=0,"",SUMIFS(Dados!$G:$G,Dados!$E:$E,$B165,Dados!$C:$C,INDEX(G$3,1,1),Dados!$A:$A,INDEX($D:$E,MATCH("G",$D:$D,0),2))/COUNTIFS(Dados!$E:$E,$B165,Dados!$C:$C,INDEX(G$3,1,1),Dados!$A:$A,INDEX($D:$E,MATCH("G",$D:$D,0),2)))</f>
        <v/>
      </c>
      <c r="H165" s="66" t="str">
        <f ca="1">IF(COUNTIFS(Dados!$E:$E,$B165,Dados!$C:$C,INDEX(H$3,1,1),Dados!$A:$A,INDEX($D:$E,MATCH("G",$D:$D,0),2))=0,"",SUMIFS(Dados!$G:$G,Dados!$E:$E,$B165,Dados!$C:$C,INDEX(H$3,1,1),Dados!$A:$A,INDEX($D:$E,MATCH("G",$D:$D,0),2))/COUNTIFS(Dados!$E:$E,$B165,Dados!$C:$C,INDEX(H$3,1,1),Dados!$A:$A,INDEX($D:$E,MATCH("G",$D:$D,0),2)))</f>
        <v/>
      </c>
      <c r="I165" s="66" t="str">
        <f ca="1">IF(COUNTIFS(Dados!$E:$E,$B165,Dados!$C:$C,INDEX(I$3,1,1),Dados!$A:$A,INDEX($D:$E,MATCH("G",$D:$D,0),2))=0,"",SUMIFS(Dados!$G:$G,Dados!$E:$E,$B165,Dados!$C:$C,INDEX(I$3,1,1),Dados!$A:$A,INDEX($D:$E,MATCH("G",$D:$D,0),2))/COUNTIFS(Dados!$E:$E,$B165,Dados!$C:$C,INDEX(I$3,1,1),Dados!$A:$A,INDEX($D:$E,MATCH("G",$D:$D,0),2)))</f>
        <v/>
      </c>
      <c r="J165" s="66" t="str">
        <f ca="1">IF(COUNTIFS(Dados!$E:$E,$B165,Dados!$C:$C,INDEX(J$3,1,1),Dados!$A:$A,INDEX($D:$E,MATCH("G",$D:$D,0),2))=0,"",SUMIFS(Dados!$G:$G,Dados!$E:$E,$B165,Dados!$C:$C,INDEX(J$3,1,1),Dados!$A:$A,INDEX($D:$E,MATCH("G",$D:$D,0),2))/COUNTIFS(Dados!$E:$E,$B165,Dados!$C:$C,INDEX(J$3,1,1),Dados!$A:$A,INDEX($D:$E,MATCH("G",$D:$D,0),2)))</f>
        <v/>
      </c>
      <c r="K165" s="66" t="str">
        <f ca="1">IF(COUNTIFS(Dados!$E:$E,$B165,Dados!$C:$C,INDEX(K$3,1,1),Dados!$A:$A,INDEX($D:$E,MATCH("G",$D:$D,0),2))=0,"",SUMIFS(Dados!$G:$G,Dados!$E:$E,$B165,Dados!$C:$C,INDEX(K$3,1,1),Dados!$A:$A,INDEX($D:$E,MATCH("G",$D:$D,0),2))/COUNTIFS(Dados!$E:$E,$B165,Dados!$C:$C,INDEX(K$3,1,1),Dados!$A:$A,INDEX($D:$E,MATCH("G",$D:$D,0),2)))</f>
        <v/>
      </c>
      <c r="L165" s="66" t="str">
        <f ca="1">IF(COUNTIFS(Dados!$E:$E,$B165,Dados!$C:$C,INDEX(L$3,1,1),Dados!$A:$A,INDEX($D:$E,MATCH("G",$D:$D,0),2))=0,"",SUMIFS(Dados!$G:$G,Dados!$E:$E,$B165,Dados!$C:$C,INDEX(L$3,1,1),Dados!$A:$A,INDEX($D:$E,MATCH("G",$D:$D,0),2))/COUNTIFS(Dados!$E:$E,$B165,Dados!$C:$C,INDEX(L$3,1,1),Dados!$A:$A,INDEX($D:$E,MATCH("G",$D:$D,0),2)))</f>
        <v/>
      </c>
      <c r="M165" s="66" t="str">
        <f ca="1">IF(COUNTIFS(Dados!$E:$E,$B165,Dados!$C:$C,INDEX(M$3,1,1),Dados!$A:$A,INDEX($D:$E,MATCH("G",$D:$D,0),2))=0,"",SUMIFS(Dados!$G:$G,Dados!$E:$E,$B165,Dados!$C:$C,INDEX(M$3,1,1),Dados!$A:$A,INDEX($D:$E,MATCH("G",$D:$D,0),2))/COUNTIFS(Dados!$E:$E,$B165,Dados!$C:$C,INDEX(M$3,1,1),Dados!$A:$A,INDEX($D:$E,MATCH("G",$D:$D,0),2)))</f>
        <v/>
      </c>
      <c r="N165" s="66" t="str">
        <f ca="1">IF(COUNTIFS(Dados!$E:$E,$B165,Dados!$C:$C,INDEX(N$3,1,1),Dados!$A:$A,INDEX($D:$E,MATCH("G",$D:$D,0),2))=0,"",SUMIFS(Dados!$G:$G,Dados!$E:$E,$B165,Dados!$C:$C,INDEX(N$3,1,1),Dados!$A:$A,INDEX($D:$E,MATCH("G",$D:$D,0),2))/COUNTIFS(Dados!$E:$E,$B165,Dados!$C:$C,INDEX(N$3,1,1),Dados!$A:$A,INDEX($D:$E,MATCH("G",$D:$D,0),2)))</f>
        <v/>
      </c>
      <c r="O165" s="66" t="str">
        <f ca="1">IF(COUNTIFS(Dados!$E:$E,$B165,Dados!$C:$C,INDEX(O$3,1,1),Dados!$A:$A,INDEX($D:$E,MATCH("G",$D:$D,0),2))=0,"",SUMIFS(Dados!$G:$G,Dados!$E:$E,$B165,Dados!$C:$C,INDEX(O$3,1,1),Dados!$A:$A,INDEX($D:$E,MATCH("G",$D:$D,0),2))/COUNTIFS(Dados!$E:$E,$B165,Dados!$C:$C,INDEX(O$3,1,1),Dados!$A:$A,INDEX($D:$E,MATCH("G",$D:$D,0),2)))</f>
        <v/>
      </c>
      <c r="P165" s="66" t="str">
        <f ca="1">IF(COUNTIFS(Dados!$E:$E,$B165,Dados!$C:$C,INDEX(P$3,1,1),Dados!$A:$A,INDEX($D:$E,MATCH("G",$D:$D,0),2))=0,"",SUMIFS(Dados!$G:$G,Dados!$E:$E,$B165,Dados!$C:$C,INDEX(P$3,1,1),Dados!$A:$A,INDEX($D:$E,MATCH("G",$D:$D,0),2))/COUNTIFS(Dados!$E:$E,$B165,Dados!$C:$C,INDEX(P$3,1,1),Dados!$A:$A,INDEX($D:$E,MATCH("G",$D:$D,0),2)))</f>
        <v/>
      </c>
      <c r="Q165" s="66" t="str">
        <f ca="1">IF(COUNTIFS(Dados!$E:$E,$B165,Dados!$C:$C,INDEX(Q$3,1,1),Dados!$A:$A,INDEX($D:$E,MATCH("G",$D:$D,0),2))=0,"",SUMIFS(Dados!$G:$G,Dados!$E:$E,$B165,Dados!$C:$C,INDEX(Q$3,1,1),Dados!$A:$A,INDEX($D:$E,MATCH("G",$D:$D,0),2))/COUNTIFS(Dados!$E:$E,$B165,Dados!$C:$C,INDEX(Q$3,1,1),Dados!$A:$A,INDEX($D:$E,MATCH("G",$D:$D,0),2)))</f>
        <v/>
      </c>
      <c r="R165" s="66" t="str">
        <f ca="1">IF(COUNTIFS(Dados!$E:$E,$B165,Dados!$C:$C,INDEX(R$3,1,1),Dados!$A:$A,INDEX($D:$E,MATCH("G",$D:$D,0),2))=0,"",SUMIFS(Dados!$G:$G,Dados!$E:$E,$B165,Dados!$C:$C,INDEX(R$3,1,1),Dados!$A:$A,INDEX($D:$E,MATCH("G",$D:$D,0),2))/COUNTIFS(Dados!$E:$E,$B165,Dados!$C:$C,INDEX(R$3,1,1),Dados!$A:$A,INDEX($D:$E,MATCH("G",$D:$D,0),2)))</f>
        <v/>
      </c>
      <c r="S165" s="66" t="str">
        <f ca="1">IF(COUNTIFS(Dados!$E:$E,$B165,Dados!$C:$C,INDEX(S$3,1,1),Dados!$A:$A,INDEX($D:$E,MATCH("G",$D:$D,0),2))=0,"",SUMIFS(Dados!$G:$G,Dados!$E:$E,$B165,Dados!$C:$C,INDEX(S$3,1,1),Dados!$A:$A,INDEX($D:$E,MATCH("G",$D:$D,0),2))/COUNTIFS(Dados!$E:$E,$B165,Dados!$C:$C,INDEX(S$3,1,1),Dados!$A:$A,INDEX($D:$E,MATCH("G",$D:$D,0),2)))</f>
        <v/>
      </c>
      <c r="T165" s="66" t="str">
        <f ca="1">IF(COUNTIFS(Dados!$E:$E,$B165,Dados!$C:$C,INDEX(T$3,1,1),Dados!$A:$A,INDEX($D:$E,MATCH("G",$D:$D,0),2))=0,"",SUMIFS(Dados!$G:$G,Dados!$E:$E,$B165,Dados!$C:$C,INDEX(T$3,1,1),Dados!$A:$A,INDEX($D:$E,MATCH("G",$D:$D,0),2))/COUNTIFS(Dados!$E:$E,$B165,Dados!$C:$C,INDEX(T$3,1,1),Dados!$A:$A,INDEX($D:$E,MATCH("G",$D:$D,0),2)))</f>
        <v/>
      </c>
      <c r="U165" s="66" t="str">
        <f ca="1">IF(COUNTIFS(Dados!$E:$E,$B165,Dados!$C:$C,INDEX(U$3,1,1),Dados!$A:$A,INDEX($D:$E,MATCH("G",$D:$D,0),2))=0,"",SUMIFS(Dados!$G:$G,Dados!$E:$E,$B165,Dados!$C:$C,INDEX(U$3,1,1),Dados!$A:$A,INDEX($D:$E,MATCH("G",$D:$D,0),2))/COUNTIFS(Dados!$E:$E,$B165,Dados!$C:$C,INDEX(U$3,1,1),Dados!$A:$A,INDEX($D:$E,MATCH("G",$D:$D,0),2)))</f>
        <v/>
      </c>
      <c r="V165" s="66" t="str">
        <f ca="1">IF(COUNTIFS(Dados!$E:$E,$B165,Dados!$C:$C,INDEX(V$3,1,1),Dados!$A:$A,INDEX($D:$E,MATCH("G",$D:$D,0),2))=0,"",SUMIFS(Dados!$G:$G,Dados!$E:$E,$B165,Dados!$C:$C,INDEX(V$3,1,1),Dados!$A:$A,INDEX($D:$E,MATCH("G",$D:$D,0),2))/COUNTIFS(Dados!$E:$E,$B165,Dados!$C:$C,INDEX(V$3,1,1),Dados!$A:$A,INDEX($D:$E,MATCH("G",$D:$D,0),2)))</f>
        <v/>
      </c>
    </row>
    <row r="166" spans="2:22" x14ac:dyDescent="0.25">
      <c r="B166" s="67" t="s">
        <v>1299</v>
      </c>
      <c r="C166" s="71">
        <f>VLOOKUP(B166,B4:C22,2,0)</f>
        <v>16</v>
      </c>
      <c r="D166" s="68" t="str">
        <f ca="1">IF(COUNTIFS(Dados!$E:$E,$B166,Dados!$C:$C,INDEX(D$3,1,1),Dados!$A:$A,INDEX($D:$E,MATCH("G",$D:$D,0),2))=0,"",SUMIFS(Dados!$G:$G,Dados!$E:$E,$B166,Dados!$C:$C,INDEX(D$3,1,1),Dados!$A:$A,INDEX($D:$E,MATCH("G",$D:$D,0),2))/COUNTIFS(Dados!$E:$E,$B166,Dados!$C:$C,INDEX(D$3,1,1),Dados!$A:$A,INDEX($D:$E,MATCH("G",$D:$D,0),2)))</f>
        <v/>
      </c>
      <c r="E166" s="68" t="str">
        <f ca="1">IF(COUNTIFS(Dados!$E:$E,$B166,Dados!$C:$C,INDEX(E$3,1,1),Dados!$A:$A,INDEX($D:$E,MATCH("G",$D:$D,0),2))=0,"",SUMIFS(Dados!$G:$G,Dados!$E:$E,$B166,Dados!$C:$C,INDEX(E$3,1,1),Dados!$A:$A,INDEX($D:$E,MATCH("G",$D:$D,0),2))/COUNTIFS(Dados!$E:$E,$B166,Dados!$C:$C,INDEX(E$3,1,1),Dados!$A:$A,INDEX($D:$E,MATCH("G",$D:$D,0),2)))</f>
        <v/>
      </c>
      <c r="F166" s="68" t="str">
        <f ca="1">IF(COUNTIFS(Dados!$E:$E,$B166,Dados!$C:$C,INDEX(F$3,1,1),Dados!$A:$A,INDEX($D:$E,MATCH("G",$D:$D,0),2))=0,"",SUMIFS(Dados!$G:$G,Dados!$E:$E,$B166,Dados!$C:$C,INDEX(F$3,1,1),Dados!$A:$A,INDEX($D:$E,MATCH("G",$D:$D,0),2))/COUNTIFS(Dados!$E:$E,$B166,Dados!$C:$C,INDEX(F$3,1,1),Dados!$A:$A,INDEX($D:$E,MATCH("G",$D:$D,0),2)))</f>
        <v/>
      </c>
      <c r="G166" s="68" t="str">
        <f ca="1">IF(COUNTIFS(Dados!$E:$E,$B166,Dados!$C:$C,INDEX(G$3,1,1),Dados!$A:$A,INDEX($D:$E,MATCH("G",$D:$D,0),2))=0,"",SUMIFS(Dados!$G:$G,Dados!$E:$E,$B166,Dados!$C:$C,INDEX(G$3,1,1),Dados!$A:$A,INDEX($D:$E,MATCH("G",$D:$D,0),2))/COUNTIFS(Dados!$E:$E,$B166,Dados!$C:$C,INDEX(G$3,1,1),Dados!$A:$A,INDEX($D:$E,MATCH("G",$D:$D,0),2)))</f>
        <v/>
      </c>
      <c r="H166" s="68" t="str">
        <f ca="1">IF(COUNTIFS(Dados!$E:$E,$B166,Dados!$C:$C,INDEX(H$3,1,1),Dados!$A:$A,INDEX($D:$E,MATCH("G",$D:$D,0),2))=0,"",SUMIFS(Dados!$G:$G,Dados!$E:$E,$B166,Dados!$C:$C,INDEX(H$3,1,1),Dados!$A:$A,INDEX($D:$E,MATCH("G",$D:$D,0),2))/COUNTIFS(Dados!$E:$E,$B166,Dados!$C:$C,INDEX(H$3,1,1),Dados!$A:$A,INDEX($D:$E,MATCH("G",$D:$D,0),2)))</f>
        <v/>
      </c>
      <c r="I166" s="68" t="str">
        <f ca="1">IF(COUNTIFS(Dados!$E:$E,$B166,Dados!$C:$C,INDEX(I$3,1,1),Dados!$A:$A,INDEX($D:$E,MATCH("G",$D:$D,0),2))=0,"",SUMIFS(Dados!$G:$G,Dados!$E:$E,$B166,Dados!$C:$C,INDEX(I$3,1,1),Dados!$A:$A,INDEX($D:$E,MATCH("G",$D:$D,0),2))/COUNTIFS(Dados!$E:$E,$B166,Dados!$C:$C,INDEX(I$3,1,1),Dados!$A:$A,INDEX($D:$E,MATCH("G",$D:$D,0),2)))</f>
        <v/>
      </c>
      <c r="J166" s="68" t="str">
        <f ca="1">IF(COUNTIFS(Dados!$E:$E,$B166,Dados!$C:$C,INDEX(J$3,1,1),Dados!$A:$A,INDEX($D:$E,MATCH("G",$D:$D,0),2))=0,"",SUMIFS(Dados!$G:$G,Dados!$E:$E,$B166,Dados!$C:$C,INDEX(J$3,1,1),Dados!$A:$A,INDEX($D:$E,MATCH("G",$D:$D,0),2))/COUNTIFS(Dados!$E:$E,$B166,Dados!$C:$C,INDEX(J$3,1,1),Dados!$A:$A,INDEX($D:$E,MATCH("G",$D:$D,0),2)))</f>
        <v/>
      </c>
      <c r="K166" s="68" t="str">
        <f ca="1">IF(COUNTIFS(Dados!$E:$E,$B166,Dados!$C:$C,INDEX(K$3,1,1),Dados!$A:$A,INDEX($D:$E,MATCH("G",$D:$D,0),2))=0,"",SUMIFS(Dados!$G:$G,Dados!$E:$E,$B166,Dados!$C:$C,INDEX(K$3,1,1),Dados!$A:$A,INDEX($D:$E,MATCH("G",$D:$D,0),2))/COUNTIFS(Dados!$E:$E,$B166,Dados!$C:$C,INDEX(K$3,1,1),Dados!$A:$A,INDEX($D:$E,MATCH("G",$D:$D,0),2)))</f>
        <v/>
      </c>
      <c r="L166" s="68" t="str">
        <f ca="1">IF(COUNTIFS(Dados!$E:$E,$B166,Dados!$C:$C,INDEX(L$3,1,1),Dados!$A:$A,INDEX($D:$E,MATCH("G",$D:$D,0),2))=0,"",SUMIFS(Dados!$G:$G,Dados!$E:$E,$B166,Dados!$C:$C,INDEX(L$3,1,1),Dados!$A:$A,INDEX($D:$E,MATCH("G",$D:$D,0),2))/COUNTIFS(Dados!$E:$E,$B166,Dados!$C:$C,INDEX(L$3,1,1),Dados!$A:$A,INDEX($D:$E,MATCH("G",$D:$D,0),2)))</f>
        <v/>
      </c>
      <c r="M166" s="68" t="str">
        <f ca="1">IF(COUNTIFS(Dados!$E:$E,$B166,Dados!$C:$C,INDEX(M$3,1,1),Dados!$A:$A,INDEX($D:$E,MATCH("G",$D:$D,0),2))=0,"",SUMIFS(Dados!$G:$G,Dados!$E:$E,$B166,Dados!$C:$C,INDEX(M$3,1,1),Dados!$A:$A,INDEX($D:$E,MATCH("G",$D:$D,0),2))/COUNTIFS(Dados!$E:$E,$B166,Dados!$C:$C,INDEX(M$3,1,1),Dados!$A:$A,INDEX($D:$E,MATCH("G",$D:$D,0),2)))</f>
        <v/>
      </c>
      <c r="N166" s="68" t="str">
        <f ca="1">IF(COUNTIFS(Dados!$E:$E,$B166,Dados!$C:$C,INDEX(N$3,1,1),Dados!$A:$A,INDEX($D:$E,MATCH("G",$D:$D,0),2))=0,"",SUMIFS(Dados!$G:$G,Dados!$E:$E,$B166,Dados!$C:$C,INDEX(N$3,1,1),Dados!$A:$A,INDEX($D:$E,MATCH("G",$D:$D,0),2))/COUNTIFS(Dados!$E:$E,$B166,Dados!$C:$C,INDEX(N$3,1,1),Dados!$A:$A,INDEX($D:$E,MATCH("G",$D:$D,0),2)))</f>
        <v/>
      </c>
      <c r="O166" s="68" t="str">
        <f ca="1">IF(COUNTIFS(Dados!$E:$E,$B166,Dados!$C:$C,INDEX(O$3,1,1),Dados!$A:$A,INDEX($D:$E,MATCH("G",$D:$D,0),2))=0,"",SUMIFS(Dados!$G:$G,Dados!$E:$E,$B166,Dados!$C:$C,INDEX(O$3,1,1),Dados!$A:$A,INDEX($D:$E,MATCH("G",$D:$D,0),2))/COUNTIFS(Dados!$E:$E,$B166,Dados!$C:$C,INDEX(O$3,1,1),Dados!$A:$A,INDEX($D:$E,MATCH("G",$D:$D,0),2)))</f>
        <v/>
      </c>
      <c r="P166" s="68" t="str">
        <f ca="1">IF(COUNTIFS(Dados!$E:$E,$B166,Dados!$C:$C,INDEX(P$3,1,1),Dados!$A:$A,INDEX($D:$E,MATCH("G",$D:$D,0),2))=0,"",SUMIFS(Dados!$G:$G,Dados!$E:$E,$B166,Dados!$C:$C,INDEX(P$3,1,1),Dados!$A:$A,INDEX($D:$E,MATCH("G",$D:$D,0),2))/COUNTIFS(Dados!$E:$E,$B166,Dados!$C:$C,INDEX(P$3,1,1),Dados!$A:$A,INDEX($D:$E,MATCH("G",$D:$D,0),2)))</f>
        <v/>
      </c>
      <c r="Q166" s="68" t="str">
        <f ca="1">IF(COUNTIFS(Dados!$E:$E,$B166,Dados!$C:$C,INDEX(Q$3,1,1),Dados!$A:$A,INDEX($D:$E,MATCH("G",$D:$D,0),2))=0,"",SUMIFS(Dados!$G:$G,Dados!$E:$E,$B166,Dados!$C:$C,INDEX(Q$3,1,1),Dados!$A:$A,INDEX($D:$E,MATCH("G",$D:$D,0),2))/COUNTIFS(Dados!$E:$E,$B166,Dados!$C:$C,INDEX(Q$3,1,1),Dados!$A:$A,INDEX($D:$E,MATCH("G",$D:$D,0),2)))</f>
        <v/>
      </c>
      <c r="R166" s="68" t="str">
        <f ca="1">IF(COUNTIFS(Dados!$E:$E,$B166,Dados!$C:$C,INDEX(R$3,1,1),Dados!$A:$A,INDEX($D:$E,MATCH("G",$D:$D,0),2))=0,"",SUMIFS(Dados!$G:$G,Dados!$E:$E,$B166,Dados!$C:$C,INDEX(R$3,1,1),Dados!$A:$A,INDEX($D:$E,MATCH("G",$D:$D,0),2))/COUNTIFS(Dados!$E:$E,$B166,Dados!$C:$C,INDEX(R$3,1,1),Dados!$A:$A,INDEX($D:$E,MATCH("G",$D:$D,0),2)))</f>
        <v/>
      </c>
      <c r="S166" s="68" t="str">
        <f ca="1">IF(COUNTIFS(Dados!$E:$E,$B166,Dados!$C:$C,INDEX(S$3,1,1),Dados!$A:$A,INDEX($D:$E,MATCH("G",$D:$D,0),2))=0,"",SUMIFS(Dados!$G:$G,Dados!$E:$E,$B166,Dados!$C:$C,INDEX(S$3,1,1),Dados!$A:$A,INDEX($D:$E,MATCH("G",$D:$D,0),2))/COUNTIFS(Dados!$E:$E,$B166,Dados!$C:$C,INDEX(S$3,1,1),Dados!$A:$A,INDEX($D:$E,MATCH("G",$D:$D,0),2)))</f>
        <v/>
      </c>
      <c r="T166" s="68" t="str">
        <f ca="1">IF(COUNTIFS(Dados!$E:$E,$B166,Dados!$C:$C,INDEX(T$3,1,1),Dados!$A:$A,INDEX($D:$E,MATCH("G",$D:$D,0),2))=0,"",SUMIFS(Dados!$G:$G,Dados!$E:$E,$B166,Dados!$C:$C,INDEX(T$3,1,1),Dados!$A:$A,INDEX($D:$E,MATCH("G",$D:$D,0),2))/COUNTIFS(Dados!$E:$E,$B166,Dados!$C:$C,INDEX(T$3,1,1),Dados!$A:$A,INDEX($D:$E,MATCH("G",$D:$D,0),2)))</f>
        <v/>
      </c>
      <c r="U166" s="68" t="str">
        <f ca="1">IF(COUNTIFS(Dados!$E:$E,$B166,Dados!$C:$C,INDEX(U$3,1,1),Dados!$A:$A,INDEX($D:$E,MATCH("G",$D:$D,0),2))=0,"",SUMIFS(Dados!$G:$G,Dados!$E:$E,$B166,Dados!$C:$C,INDEX(U$3,1,1),Dados!$A:$A,INDEX($D:$E,MATCH("G",$D:$D,0),2))/COUNTIFS(Dados!$E:$E,$B166,Dados!$C:$C,INDEX(U$3,1,1),Dados!$A:$A,INDEX($D:$E,MATCH("G",$D:$D,0),2)))</f>
        <v/>
      </c>
      <c r="V166" s="68" t="str">
        <f ca="1">IF(COUNTIFS(Dados!$E:$E,$B166,Dados!$C:$C,INDEX(V$3,1,1),Dados!$A:$A,INDEX($D:$E,MATCH("G",$D:$D,0),2))=0,"",SUMIFS(Dados!$G:$G,Dados!$E:$E,$B166,Dados!$C:$C,INDEX(V$3,1,1),Dados!$A:$A,INDEX($D:$E,MATCH("G",$D:$D,0),2))/COUNTIFS(Dados!$E:$E,$B166,Dados!$C:$C,INDEX(V$3,1,1),Dados!$A:$A,INDEX($D:$E,MATCH("G",$D:$D,0),2)))</f>
        <v/>
      </c>
    </row>
    <row r="167" spans="2:22" x14ac:dyDescent="0.25">
      <c r="B167" s="65" t="s">
        <v>374</v>
      </c>
      <c r="C167" s="72">
        <f>VLOOKUP(B167,B4:C22,2,0)</f>
        <v>17</v>
      </c>
      <c r="D167" s="66" t="str">
        <f ca="1">IF(COUNTIFS(Dados!$E:$E,$B167,Dados!$C:$C,INDEX(D$3,1,1),Dados!$A:$A,INDEX($D:$E,MATCH("G",$D:$D,0),2))=0,"",SUMIFS(Dados!$G:$G,Dados!$E:$E,$B167,Dados!$C:$C,INDEX(D$3,1,1),Dados!$A:$A,INDEX($D:$E,MATCH("G",$D:$D,0),2))/COUNTIFS(Dados!$E:$E,$B167,Dados!$C:$C,INDEX(D$3,1,1),Dados!$A:$A,INDEX($D:$E,MATCH("G",$D:$D,0),2)))</f>
        <v/>
      </c>
      <c r="E167" s="66" t="str">
        <f ca="1">IF(COUNTIFS(Dados!$E:$E,$B167,Dados!$C:$C,INDEX(E$3,1,1),Dados!$A:$A,INDEX($D:$E,MATCH("G",$D:$D,0),2))=0,"",SUMIFS(Dados!$G:$G,Dados!$E:$E,$B167,Dados!$C:$C,INDEX(E$3,1,1),Dados!$A:$A,INDEX($D:$E,MATCH("G",$D:$D,0),2))/COUNTIFS(Dados!$E:$E,$B167,Dados!$C:$C,INDEX(E$3,1,1),Dados!$A:$A,INDEX($D:$E,MATCH("G",$D:$D,0),2)))</f>
        <v/>
      </c>
      <c r="F167" s="66" t="str">
        <f ca="1">IF(COUNTIFS(Dados!$E:$E,$B167,Dados!$C:$C,INDEX(F$3,1,1),Dados!$A:$A,INDEX($D:$E,MATCH("G",$D:$D,0),2))=0,"",SUMIFS(Dados!$G:$G,Dados!$E:$E,$B167,Dados!$C:$C,INDEX(F$3,1,1),Dados!$A:$A,INDEX($D:$E,MATCH("G",$D:$D,0),2))/COUNTIFS(Dados!$E:$E,$B167,Dados!$C:$C,INDEX(F$3,1,1),Dados!$A:$A,INDEX($D:$E,MATCH("G",$D:$D,0),2)))</f>
        <v/>
      </c>
      <c r="G167" s="66" t="str">
        <f ca="1">IF(COUNTIFS(Dados!$E:$E,$B167,Dados!$C:$C,INDEX(G$3,1,1),Dados!$A:$A,INDEX($D:$E,MATCH("G",$D:$D,0),2))=0,"",SUMIFS(Dados!$G:$G,Dados!$E:$E,$B167,Dados!$C:$C,INDEX(G$3,1,1),Dados!$A:$A,INDEX($D:$E,MATCH("G",$D:$D,0),2))/COUNTIFS(Dados!$E:$E,$B167,Dados!$C:$C,INDEX(G$3,1,1),Dados!$A:$A,INDEX($D:$E,MATCH("G",$D:$D,0),2)))</f>
        <v/>
      </c>
      <c r="H167" s="66" t="str">
        <f ca="1">IF(COUNTIFS(Dados!$E:$E,$B167,Dados!$C:$C,INDEX(H$3,1,1),Dados!$A:$A,INDEX($D:$E,MATCH("G",$D:$D,0),2))=0,"",SUMIFS(Dados!$G:$G,Dados!$E:$E,$B167,Dados!$C:$C,INDEX(H$3,1,1),Dados!$A:$A,INDEX($D:$E,MATCH("G",$D:$D,0),2))/COUNTIFS(Dados!$E:$E,$B167,Dados!$C:$C,INDEX(H$3,1,1),Dados!$A:$A,INDEX($D:$E,MATCH("G",$D:$D,0),2)))</f>
        <v/>
      </c>
      <c r="I167" s="66" t="str">
        <f ca="1">IF(COUNTIFS(Dados!$E:$E,$B167,Dados!$C:$C,INDEX(I$3,1,1),Dados!$A:$A,INDEX($D:$E,MATCH("G",$D:$D,0),2))=0,"",SUMIFS(Dados!$G:$G,Dados!$E:$E,$B167,Dados!$C:$C,INDEX(I$3,1,1),Dados!$A:$A,INDEX($D:$E,MATCH("G",$D:$D,0),2))/COUNTIFS(Dados!$E:$E,$B167,Dados!$C:$C,INDEX(I$3,1,1),Dados!$A:$A,INDEX($D:$E,MATCH("G",$D:$D,0),2)))</f>
        <v/>
      </c>
      <c r="J167" s="66" t="str">
        <f ca="1">IF(COUNTIFS(Dados!$E:$E,$B167,Dados!$C:$C,INDEX(J$3,1,1),Dados!$A:$A,INDEX($D:$E,MATCH("G",$D:$D,0),2))=0,"",SUMIFS(Dados!$G:$G,Dados!$E:$E,$B167,Dados!$C:$C,INDEX(J$3,1,1),Dados!$A:$A,INDEX($D:$E,MATCH("G",$D:$D,0),2))/COUNTIFS(Dados!$E:$E,$B167,Dados!$C:$C,INDEX(J$3,1,1),Dados!$A:$A,INDEX($D:$E,MATCH("G",$D:$D,0),2)))</f>
        <v/>
      </c>
      <c r="K167" s="66" t="str">
        <f ca="1">IF(COUNTIFS(Dados!$E:$E,$B167,Dados!$C:$C,INDEX(K$3,1,1),Dados!$A:$A,INDEX($D:$E,MATCH("G",$D:$D,0),2))=0,"",SUMIFS(Dados!$G:$G,Dados!$E:$E,$B167,Dados!$C:$C,INDEX(K$3,1,1),Dados!$A:$A,INDEX($D:$E,MATCH("G",$D:$D,0),2))/COUNTIFS(Dados!$E:$E,$B167,Dados!$C:$C,INDEX(K$3,1,1),Dados!$A:$A,INDEX($D:$E,MATCH("G",$D:$D,0),2)))</f>
        <v/>
      </c>
      <c r="L167" s="66" t="str">
        <f ca="1">IF(COUNTIFS(Dados!$E:$E,$B167,Dados!$C:$C,INDEX(L$3,1,1),Dados!$A:$A,INDEX($D:$E,MATCH("G",$D:$D,0),2))=0,"",SUMIFS(Dados!$G:$G,Dados!$E:$E,$B167,Dados!$C:$C,INDEX(L$3,1,1),Dados!$A:$A,INDEX($D:$E,MATCH("G",$D:$D,0),2))/COUNTIFS(Dados!$E:$E,$B167,Dados!$C:$C,INDEX(L$3,1,1),Dados!$A:$A,INDEX($D:$E,MATCH("G",$D:$D,0),2)))</f>
        <v/>
      </c>
      <c r="M167" s="66" t="str">
        <f ca="1">IF(COUNTIFS(Dados!$E:$E,$B167,Dados!$C:$C,INDEX(M$3,1,1),Dados!$A:$A,INDEX($D:$E,MATCH("G",$D:$D,0),2))=0,"",SUMIFS(Dados!$G:$G,Dados!$E:$E,$B167,Dados!$C:$C,INDEX(M$3,1,1),Dados!$A:$A,INDEX($D:$E,MATCH("G",$D:$D,0),2))/COUNTIFS(Dados!$E:$E,$B167,Dados!$C:$C,INDEX(M$3,1,1),Dados!$A:$A,INDEX($D:$E,MATCH("G",$D:$D,0),2)))</f>
        <v/>
      </c>
      <c r="N167" s="66" t="str">
        <f ca="1">IF(COUNTIFS(Dados!$E:$E,$B167,Dados!$C:$C,INDEX(N$3,1,1),Dados!$A:$A,INDEX($D:$E,MATCH("G",$D:$D,0),2))=0,"",SUMIFS(Dados!$G:$G,Dados!$E:$E,$B167,Dados!$C:$C,INDEX(N$3,1,1),Dados!$A:$A,INDEX($D:$E,MATCH("G",$D:$D,0),2))/COUNTIFS(Dados!$E:$E,$B167,Dados!$C:$C,INDEX(N$3,1,1),Dados!$A:$A,INDEX($D:$E,MATCH("G",$D:$D,0),2)))</f>
        <v/>
      </c>
      <c r="O167" s="66" t="str">
        <f ca="1">IF(COUNTIFS(Dados!$E:$E,$B167,Dados!$C:$C,INDEX(O$3,1,1),Dados!$A:$A,INDEX($D:$E,MATCH("G",$D:$D,0),2))=0,"",SUMIFS(Dados!$G:$G,Dados!$E:$E,$B167,Dados!$C:$C,INDEX(O$3,1,1),Dados!$A:$A,INDEX($D:$E,MATCH("G",$D:$D,0),2))/COUNTIFS(Dados!$E:$E,$B167,Dados!$C:$C,INDEX(O$3,1,1),Dados!$A:$A,INDEX($D:$E,MATCH("G",$D:$D,0),2)))</f>
        <v/>
      </c>
      <c r="P167" s="66" t="str">
        <f ca="1">IF(COUNTIFS(Dados!$E:$E,$B167,Dados!$C:$C,INDEX(P$3,1,1),Dados!$A:$A,INDEX($D:$E,MATCH("G",$D:$D,0),2))=0,"",SUMIFS(Dados!$G:$G,Dados!$E:$E,$B167,Dados!$C:$C,INDEX(P$3,1,1),Dados!$A:$A,INDEX($D:$E,MATCH("G",$D:$D,0),2))/COUNTIFS(Dados!$E:$E,$B167,Dados!$C:$C,INDEX(P$3,1,1),Dados!$A:$A,INDEX($D:$E,MATCH("G",$D:$D,0),2)))</f>
        <v/>
      </c>
      <c r="Q167" s="66" t="str">
        <f ca="1">IF(COUNTIFS(Dados!$E:$E,$B167,Dados!$C:$C,INDEX(Q$3,1,1),Dados!$A:$A,INDEX($D:$E,MATCH("G",$D:$D,0),2))=0,"",SUMIFS(Dados!$G:$G,Dados!$E:$E,$B167,Dados!$C:$C,INDEX(Q$3,1,1),Dados!$A:$A,INDEX($D:$E,MATCH("G",$D:$D,0),2))/COUNTIFS(Dados!$E:$E,$B167,Dados!$C:$C,INDEX(Q$3,1,1),Dados!$A:$A,INDEX($D:$E,MATCH("G",$D:$D,0),2)))</f>
        <v/>
      </c>
      <c r="R167" s="66" t="str">
        <f ca="1">IF(COUNTIFS(Dados!$E:$E,$B167,Dados!$C:$C,INDEX(R$3,1,1),Dados!$A:$A,INDEX($D:$E,MATCH("G",$D:$D,0),2))=0,"",SUMIFS(Dados!$G:$G,Dados!$E:$E,$B167,Dados!$C:$C,INDEX(R$3,1,1),Dados!$A:$A,INDEX($D:$E,MATCH("G",$D:$D,0),2))/COUNTIFS(Dados!$E:$E,$B167,Dados!$C:$C,INDEX(R$3,1,1),Dados!$A:$A,INDEX($D:$E,MATCH("G",$D:$D,0),2)))</f>
        <v/>
      </c>
      <c r="S167" s="66" t="str">
        <f ca="1">IF(COUNTIFS(Dados!$E:$E,$B167,Dados!$C:$C,INDEX(S$3,1,1),Dados!$A:$A,INDEX($D:$E,MATCH("G",$D:$D,0),2))=0,"",SUMIFS(Dados!$G:$G,Dados!$E:$E,$B167,Dados!$C:$C,INDEX(S$3,1,1),Dados!$A:$A,INDEX($D:$E,MATCH("G",$D:$D,0),2))/COUNTIFS(Dados!$E:$E,$B167,Dados!$C:$C,INDEX(S$3,1,1),Dados!$A:$A,INDEX($D:$E,MATCH("G",$D:$D,0),2)))</f>
        <v/>
      </c>
      <c r="T167" s="66" t="str">
        <f ca="1">IF(COUNTIFS(Dados!$E:$E,$B167,Dados!$C:$C,INDEX(T$3,1,1),Dados!$A:$A,INDEX($D:$E,MATCH("G",$D:$D,0),2))=0,"",SUMIFS(Dados!$G:$G,Dados!$E:$E,$B167,Dados!$C:$C,INDEX(T$3,1,1),Dados!$A:$A,INDEX($D:$E,MATCH("G",$D:$D,0),2))/COUNTIFS(Dados!$E:$E,$B167,Dados!$C:$C,INDEX(T$3,1,1),Dados!$A:$A,INDEX($D:$E,MATCH("G",$D:$D,0),2)))</f>
        <v/>
      </c>
      <c r="U167" s="66" t="str">
        <f ca="1">IF(COUNTIFS(Dados!$E:$E,$B167,Dados!$C:$C,INDEX(U$3,1,1),Dados!$A:$A,INDEX($D:$E,MATCH("G",$D:$D,0),2))=0,"",SUMIFS(Dados!$G:$G,Dados!$E:$E,$B167,Dados!$C:$C,INDEX(U$3,1,1),Dados!$A:$A,INDEX($D:$E,MATCH("G",$D:$D,0),2))/COUNTIFS(Dados!$E:$E,$B167,Dados!$C:$C,INDEX(U$3,1,1),Dados!$A:$A,INDEX($D:$E,MATCH("G",$D:$D,0),2)))</f>
        <v/>
      </c>
      <c r="V167" s="66" t="str">
        <f ca="1">IF(COUNTIFS(Dados!$E:$E,$B167,Dados!$C:$C,INDEX(V$3,1,1),Dados!$A:$A,INDEX($D:$E,MATCH("G",$D:$D,0),2))=0,"",SUMIFS(Dados!$G:$G,Dados!$E:$E,$B167,Dados!$C:$C,INDEX(V$3,1,1),Dados!$A:$A,INDEX($D:$E,MATCH("G",$D:$D,0),2))/COUNTIFS(Dados!$E:$E,$B167,Dados!$C:$C,INDEX(V$3,1,1),Dados!$A:$A,INDEX($D:$E,MATCH("G",$D:$D,0),2)))</f>
        <v/>
      </c>
    </row>
    <row r="168" spans="2:22" x14ac:dyDescent="0.25">
      <c r="B168" s="67" t="s">
        <v>375</v>
      </c>
      <c r="C168" s="71">
        <f>VLOOKUP(B168,B4:C22,2,0)</f>
        <v>18</v>
      </c>
      <c r="D168" s="68" t="str">
        <f ca="1">IF(COUNTIFS(Dados!$E:$E,$B168,Dados!$C:$C,INDEX(D$3,1,1),Dados!$A:$A,INDEX($D:$E,MATCH("G",$D:$D,0),2))=0,"",SUMIFS(Dados!$G:$G,Dados!$E:$E,$B168,Dados!$C:$C,INDEX(D$3,1,1),Dados!$A:$A,INDEX($D:$E,MATCH("G",$D:$D,0),2))/COUNTIFS(Dados!$E:$E,$B168,Dados!$C:$C,INDEX(D$3,1,1),Dados!$A:$A,INDEX($D:$E,MATCH("G",$D:$D,0),2)))</f>
        <v/>
      </c>
      <c r="E168" s="68" t="str">
        <f ca="1">IF(COUNTIFS(Dados!$E:$E,$B168,Dados!$C:$C,INDEX(E$3,1,1),Dados!$A:$A,INDEX($D:$E,MATCH("G",$D:$D,0),2))=0,"",SUMIFS(Dados!$G:$G,Dados!$E:$E,$B168,Dados!$C:$C,INDEX(E$3,1,1),Dados!$A:$A,INDEX($D:$E,MATCH("G",$D:$D,0),2))/COUNTIFS(Dados!$E:$E,$B168,Dados!$C:$C,INDEX(E$3,1,1),Dados!$A:$A,INDEX($D:$E,MATCH("G",$D:$D,0),2)))</f>
        <v/>
      </c>
      <c r="F168" s="68" t="str">
        <f ca="1">IF(COUNTIFS(Dados!$E:$E,$B168,Dados!$C:$C,INDEX(F$3,1,1),Dados!$A:$A,INDEX($D:$E,MATCH("G",$D:$D,0),2))=0,"",SUMIFS(Dados!$G:$G,Dados!$E:$E,$B168,Dados!$C:$C,INDEX(F$3,1,1),Dados!$A:$A,INDEX($D:$E,MATCH("G",$D:$D,0),2))/COUNTIFS(Dados!$E:$E,$B168,Dados!$C:$C,INDEX(F$3,1,1),Dados!$A:$A,INDEX($D:$E,MATCH("G",$D:$D,0),2)))</f>
        <v/>
      </c>
      <c r="G168" s="68" t="str">
        <f ca="1">IF(COUNTIFS(Dados!$E:$E,$B168,Dados!$C:$C,INDEX(G$3,1,1),Dados!$A:$A,INDEX($D:$E,MATCH("G",$D:$D,0),2))=0,"",SUMIFS(Dados!$G:$G,Dados!$E:$E,$B168,Dados!$C:$C,INDEX(G$3,1,1),Dados!$A:$A,INDEX($D:$E,MATCH("G",$D:$D,0),2))/COUNTIFS(Dados!$E:$E,$B168,Dados!$C:$C,INDEX(G$3,1,1),Dados!$A:$A,INDEX($D:$E,MATCH("G",$D:$D,0),2)))</f>
        <v/>
      </c>
      <c r="H168" s="68" t="str">
        <f ca="1">IF(COUNTIFS(Dados!$E:$E,$B168,Dados!$C:$C,INDEX(H$3,1,1),Dados!$A:$A,INDEX($D:$E,MATCH("G",$D:$D,0),2))=0,"",SUMIFS(Dados!$G:$G,Dados!$E:$E,$B168,Dados!$C:$C,INDEX(H$3,1,1),Dados!$A:$A,INDEX($D:$E,MATCH("G",$D:$D,0),2))/COUNTIFS(Dados!$E:$E,$B168,Dados!$C:$C,INDEX(H$3,1,1),Dados!$A:$A,INDEX($D:$E,MATCH("G",$D:$D,0),2)))</f>
        <v/>
      </c>
      <c r="I168" s="68" t="str">
        <f ca="1">IF(COUNTIFS(Dados!$E:$E,$B168,Dados!$C:$C,INDEX(I$3,1,1),Dados!$A:$A,INDEX($D:$E,MATCH("G",$D:$D,0),2))=0,"",SUMIFS(Dados!$G:$G,Dados!$E:$E,$B168,Dados!$C:$C,INDEX(I$3,1,1),Dados!$A:$A,INDEX($D:$E,MATCH("G",$D:$D,0),2))/COUNTIFS(Dados!$E:$E,$B168,Dados!$C:$C,INDEX(I$3,1,1),Dados!$A:$A,INDEX($D:$E,MATCH("G",$D:$D,0),2)))</f>
        <v/>
      </c>
      <c r="J168" s="68" t="str">
        <f ca="1">IF(COUNTIFS(Dados!$E:$E,$B168,Dados!$C:$C,INDEX(J$3,1,1),Dados!$A:$A,INDEX($D:$E,MATCH("G",$D:$D,0),2))=0,"",SUMIFS(Dados!$G:$G,Dados!$E:$E,$B168,Dados!$C:$C,INDEX(J$3,1,1),Dados!$A:$A,INDEX($D:$E,MATCH("G",$D:$D,0),2))/COUNTIFS(Dados!$E:$E,$B168,Dados!$C:$C,INDEX(J$3,1,1),Dados!$A:$A,INDEX($D:$E,MATCH("G",$D:$D,0),2)))</f>
        <v/>
      </c>
      <c r="K168" s="68" t="str">
        <f ca="1">IF(COUNTIFS(Dados!$E:$E,$B168,Dados!$C:$C,INDEX(K$3,1,1),Dados!$A:$A,INDEX($D:$E,MATCH("G",$D:$D,0),2))=0,"",SUMIFS(Dados!$G:$G,Dados!$E:$E,$B168,Dados!$C:$C,INDEX(K$3,1,1),Dados!$A:$A,INDEX($D:$E,MATCH("G",$D:$D,0),2))/COUNTIFS(Dados!$E:$E,$B168,Dados!$C:$C,INDEX(K$3,1,1),Dados!$A:$A,INDEX($D:$E,MATCH("G",$D:$D,0),2)))</f>
        <v/>
      </c>
      <c r="L168" s="68" t="str">
        <f ca="1">IF(COUNTIFS(Dados!$E:$E,$B168,Dados!$C:$C,INDEX(L$3,1,1),Dados!$A:$A,INDEX($D:$E,MATCH("G",$D:$D,0),2))=0,"",SUMIFS(Dados!$G:$G,Dados!$E:$E,$B168,Dados!$C:$C,INDEX(L$3,1,1),Dados!$A:$A,INDEX($D:$E,MATCH("G",$D:$D,0),2))/COUNTIFS(Dados!$E:$E,$B168,Dados!$C:$C,INDEX(L$3,1,1),Dados!$A:$A,INDEX($D:$E,MATCH("G",$D:$D,0),2)))</f>
        <v/>
      </c>
      <c r="M168" s="68" t="str">
        <f ca="1">IF(COUNTIFS(Dados!$E:$E,$B168,Dados!$C:$C,INDEX(M$3,1,1),Dados!$A:$A,INDEX($D:$E,MATCH("G",$D:$D,0),2))=0,"",SUMIFS(Dados!$G:$G,Dados!$E:$E,$B168,Dados!$C:$C,INDEX(M$3,1,1),Dados!$A:$A,INDEX($D:$E,MATCH("G",$D:$D,0),2))/COUNTIFS(Dados!$E:$E,$B168,Dados!$C:$C,INDEX(M$3,1,1),Dados!$A:$A,INDEX($D:$E,MATCH("G",$D:$D,0),2)))</f>
        <v/>
      </c>
      <c r="N168" s="68" t="str">
        <f ca="1">IF(COUNTIFS(Dados!$E:$E,$B168,Dados!$C:$C,INDEX(N$3,1,1),Dados!$A:$A,INDEX($D:$E,MATCH("G",$D:$D,0),2))=0,"",SUMIFS(Dados!$G:$G,Dados!$E:$E,$B168,Dados!$C:$C,INDEX(N$3,1,1),Dados!$A:$A,INDEX($D:$E,MATCH("G",$D:$D,0),2))/COUNTIFS(Dados!$E:$E,$B168,Dados!$C:$C,INDEX(N$3,1,1),Dados!$A:$A,INDEX($D:$E,MATCH("G",$D:$D,0),2)))</f>
        <v/>
      </c>
      <c r="O168" s="68" t="str">
        <f ca="1">IF(COUNTIFS(Dados!$E:$E,$B168,Dados!$C:$C,INDEX(O$3,1,1),Dados!$A:$A,INDEX($D:$E,MATCH("G",$D:$D,0),2))=0,"",SUMIFS(Dados!$G:$G,Dados!$E:$E,$B168,Dados!$C:$C,INDEX(O$3,1,1),Dados!$A:$A,INDEX($D:$E,MATCH("G",$D:$D,0),2))/COUNTIFS(Dados!$E:$E,$B168,Dados!$C:$C,INDEX(O$3,1,1),Dados!$A:$A,INDEX($D:$E,MATCH("G",$D:$D,0),2)))</f>
        <v/>
      </c>
      <c r="P168" s="68" t="str">
        <f ca="1">IF(COUNTIFS(Dados!$E:$E,$B168,Dados!$C:$C,INDEX(P$3,1,1),Dados!$A:$A,INDEX($D:$E,MATCH("G",$D:$D,0),2))=0,"",SUMIFS(Dados!$G:$G,Dados!$E:$E,$B168,Dados!$C:$C,INDEX(P$3,1,1),Dados!$A:$A,INDEX($D:$E,MATCH("G",$D:$D,0),2))/COUNTIFS(Dados!$E:$E,$B168,Dados!$C:$C,INDEX(P$3,1,1),Dados!$A:$A,INDEX($D:$E,MATCH("G",$D:$D,0),2)))</f>
        <v/>
      </c>
      <c r="Q168" s="68" t="str">
        <f ca="1">IF(COUNTIFS(Dados!$E:$E,$B168,Dados!$C:$C,INDEX(Q$3,1,1),Dados!$A:$A,INDEX($D:$E,MATCH("G",$D:$D,0),2))=0,"",SUMIFS(Dados!$G:$G,Dados!$E:$E,$B168,Dados!$C:$C,INDEX(Q$3,1,1),Dados!$A:$A,INDEX($D:$E,MATCH("G",$D:$D,0),2))/COUNTIFS(Dados!$E:$E,$B168,Dados!$C:$C,INDEX(Q$3,1,1),Dados!$A:$A,INDEX($D:$E,MATCH("G",$D:$D,0),2)))</f>
        <v/>
      </c>
      <c r="R168" s="68" t="str">
        <f ca="1">IF(COUNTIFS(Dados!$E:$E,$B168,Dados!$C:$C,INDEX(R$3,1,1),Dados!$A:$A,INDEX($D:$E,MATCH("G",$D:$D,0),2))=0,"",SUMIFS(Dados!$G:$G,Dados!$E:$E,$B168,Dados!$C:$C,INDEX(R$3,1,1),Dados!$A:$A,INDEX($D:$E,MATCH("G",$D:$D,0),2))/COUNTIFS(Dados!$E:$E,$B168,Dados!$C:$C,INDEX(R$3,1,1),Dados!$A:$A,INDEX($D:$E,MATCH("G",$D:$D,0),2)))</f>
        <v/>
      </c>
      <c r="S168" s="68" t="str">
        <f ca="1">IF(COUNTIFS(Dados!$E:$E,$B168,Dados!$C:$C,INDEX(S$3,1,1),Dados!$A:$A,INDEX($D:$E,MATCH("G",$D:$D,0),2))=0,"",SUMIFS(Dados!$G:$G,Dados!$E:$E,$B168,Dados!$C:$C,INDEX(S$3,1,1),Dados!$A:$A,INDEX($D:$E,MATCH("G",$D:$D,0),2))/COUNTIFS(Dados!$E:$E,$B168,Dados!$C:$C,INDEX(S$3,1,1),Dados!$A:$A,INDEX($D:$E,MATCH("G",$D:$D,0),2)))</f>
        <v/>
      </c>
      <c r="T168" s="68" t="str">
        <f ca="1">IF(COUNTIFS(Dados!$E:$E,$B168,Dados!$C:$C,INDEX(T$3,1,1),Dados!$A:$A,INDEX($D:$E,MATCH("G",$D:$D,0),2))=0,"",SUMIFS(Dados!$G:$G,Dados!$E:$E,$B168,Dados!$C:$C,INDEX(T$3,1,1),Dados!$A:$A,INDEX($D:$E,MATCH("G",$D:$D,0),2))/COUNTIFS(Dados!$E:$E,$B168,Dados!$C:$C,INDEX(T$3,1,1),Dados!$A:$A,INDEX($D:$E,MATCH("G",$D:$D,0),2)))</f>
        <v/>
      </c>
      <c r="U168" s="68" t="str">
        <f ca="1">IF(COUNTIFS(Dados!$E:$E,$B168,Dados!$C:$C,INDEX(U$3,1,1),Dados!$A:$A,INDEX($D:$E,MATCH("G",$D:$D,0),2))=0,"",SUMIFS(Dados!$G:$G,Dados!$E:$E,$B168,Dados!$C:$C,INDEX(U$3,1,1),Dados!$A:$A,INDEX($D:$E,MATCH("G",$D:$D,0),2))/COUNTIFS(Dados!$E:$E,$B168,Dados!$C:$C,INDEX(U$3,1,1),Dados!$A:$A,INDEX($D:$E,MATCH("G",$D:$D,0),2)))</f>
        <v/>
      </c>
      <c r="V168" s="68" t="str">
        <f ca="1">IF(COUNTIFS(Dados!$E:$E,$B168,Dados!$C:$C,INDEX(V$3,1,1),Dados!$A:$A,INDEX($D:$E,MATCH("G",$D:$D,0),2))=0,"",SUMIFS(Dados!$G:$G,Dados!$E:$E,$B168,Dados!$C:$C,INDEX(V$3,1,1),Dados!$A:$A,INDEX($D:$E,MATCH("G",$D:$D,0),2))/COUNTIFS(Dados!$E:$E,$B168,Dados!$C:$C,INDEX(V$3,1,1),Dados!$A:$A,INDEX($D:$E,MATCH("G",$D:$D,0),2)))</f>
        <v/>
      </c>
    </row>
    <row r="169" spans="2:22" x14ac:dyDescent="0.25">
      <c r="B169" s="65" t="s">
        <v>1300</v>
      </c>
      <c r="C169" s="72">
        <f>VLOOKUP(B169,B4:C22,2,0)</f>
        <v>19</v>
      </c>
      <c r="D169" s="66" t="str">
        <f ca="1">IF(COUNTIFS(Dados!$E:$E,$B169,Dados!$C:$C,INDEX(D$3,1,1),Dados!$A:$A,INDEX($D:$E,MATCH("G",$D:$D,0),2))=0,"",SUMIFS(Dados!$G:$G,Dados!$E:$E,$B169,Dados!$C:$C,INDEX(D$3,1,1),Dados!$A:$A,INDEX($D:$E,MATCH("G",$D:$D,0),2))/COUNTIFS(Dados!$E:$E,$B169,Dados!$C:$C,INDEX(D$3,1,1),Dados!$A:$A,INDEX($D:$E,MATCH("G",$D:$D,0),2)))</f>
        <v/>
      </c>
      <c r="E169" s="66" t="str">
        <f ca="1">IF(COUNTIFS(Dados!$E:$E,$B169,Dados!$C:$C,INDEX(E$3,1,1),Dados!$A:$A,INDEX($D:$E,MATCH("G",$D:$D,0),2))=0,"",SUMIFS(Dados!$G:$G,Dados!$E:$E,$B169,Dados!$C:$C,INDEX(E$3,1,1),Dados!$A:$A,INDEX($D:$E,MATCH("G",$D:$D,0),2))/COUNTIFS(Dados!$E:$E,$B169,Dados!$C:$C,INDEX(E$3,1,1),Dados!$A:$A,INDEX($D:$E,MATCH("G",$D:$D,0),2)))</f>
        <v/>
      </c>
      <c r="F169" s="66" t="str">
        <f ca="1">IF(COUNTIFS(Dados!$E:$E,$B169,Dados!$C:$C,INDEX(F$3,1,1),Dados!$A:$A,INDEX($D:$E,MATCH("G",$D:$D,0),2))=0,"",SUMIFS(Dados!$G:$G,Dados!$E:$E,$B169,Dados!$C:$C,INDEX(F$3,1,1),Dados!$A:$A,INDEX($D:$E,MATCH("G",$D:$D,0),2))/COUNTIFS(Dados!$E:$E,$B169,Dados!$C:$C,INDEX(F$3,1,1),Dados!$A:$A,INDEX($D:$E,MATCH("G",$D:$D,0),2)))</f>
        <v/>
      </c>
      <c r="G169" s="66" t="str">
        <f ca="1">IF(COUNTIFS(Dados!$E:$E,$B169,Dados!$C:$C,INDEX(G$3,1,1),Dados!$A:$A,INDEX($D:$E,MATCH("G",$D:$D,0),2))=0,"",SUMIFS(Dados!$G:$G,Dados!$E:$E,$B169,Dados!$C:$C,INDEX(G$3,1,1),Dados!$A:$A,INDEX($D:$E,MATCH("G",$D:$D,0),2))/COUNTIFS(Dados!$E:$E,$B169,Dados!$C:$C,INDEX(G$3,1,1),Dados!$A:$A,INDEX($D:$E,MATCH("G",$D:$D,0),2)))</f>
        <v/>
      </c>
      <c r="H169" s="66" t="str">
        <f ca="1">IF(COUNTIFS(Dados!$E:$E,$B169,Dados!$C:$C,INDEX(H$3,1,1),Dados!$A:$A,INDEX($D:$E,MATCH("G",$D:$D,0),2))=0,"",SUMIFS(Dados!$G:$G,Dados!$E:$E,$B169,Dados!$C:$C,INDEX(H$3,1,1),Dados!$A:$A,INDEX($D:$E,MATCH("G",$D:$D,0),2))/COUNTIFS(Dados!$E:$E,$B169,Dados!$C:$C,INDEX(H$3,1,1),Dados!$A:$A,INDEX($D:$E,MATCH("G",$D:$D,0),2)))</f>
        <v/>
      </c>
      <c r="I169" s="66" t="str">
        <f ca="1">IF(COUNTIFS(Dados!$E:$E,$B169,Dados!$C:$C,INDEX(I$3,1,1),Dados!$A:$A,INDEX($D:$E,MATCH("G",$D:$D,0),2))=0,"",SUMIFS(Dados!$G:$G,Dados!$E:$E,$B169,Dados!$C:$C,INDEX(I$3,1,1),Dados!$A:$A,INDEX($D:$E,MATCH("G",$D:$D,0),2))/COUNTIFS(Dados!$E:$E,$B169,Dados!$C:$C,INDEX(I$3,1,1),Dados!$A:$A,INDEX($D:$E,MATCH("G",$D:$D,0),2)))</f>
        <v/>
      </c>
      <c r="J169" s="66" t="str">
        <f ca="1">IF(COUNTIFS(Dados!$E:$E,$B169,Dados!$C:$C,INDEX(J$3,1,1),Dados!$A:$A,INDEX($D:$E,MATCH("G",$D:$D,0),2))=0,"",SUMIFS(Dados!$G:$G,Dados!$E:$E,$B169,Dados!$C:$C,INDEX(J$3,1,1),Dados!$A:$A,INDEX($D:$E,MATCH("G",$D:$D,0),2))/COUNTIFS(Dados!$E:$E,$B169,Dados!$C:$C,INDEX(J$3,1,1),Dados!$A:$A,INDEX($D:$E,MATCH("G",$D:$D,0),2)))</f>
        <v/>
      </c>
      <c r="K169" s="66" t="str">
        <f ca="1">IF(COUNTIFS(Dados!$E:$E,$B169,Dados!$C:$C,INDEX(K$3,1,1),Dados!$A:$A,INDEX($D:$E,MATCH("G",$D:$D,0),2))=0,"",SUMIFS(Dados!$G:$G,Dados!$E:$E,$B169,Dados!$C:$C,INDEX(K$3,1,1),Dados!$A:$A,INDEX($D:$E,MATCH("G",$D:$D,0),2))/COUNTIFS(Dados!$E:$E,$B169,Dados!$C:$C,INDEX(K$3,1,1),Dados!$A:$A,INDEX($D:$E,MATCH("G",$D:$D,0),2)))</f>
        <v/>
      </c>
      <c r="L169" s="66" t="str">
        <f ca="1">IF(COUNTIFS(Dados!$E:$E,$B169,Dados!$C:$C,INDEX(L$3,1,1),Dados!$A:$A,INDEX($D:$E,MATCH("G",$D:$D,0),2))=0,"",SUMIFS(Dados!$G:$G,Dados!$E:$E,$B169,Dados!$C:$C,INDEX(L$3,1,1),Dados!$A:$A,INDEX($D:$E,MATCH("G",$D:$D,0),2))/COUNTIFS(Dados!$E:$E,$B169,Dados!$C:$C,INDEX(L$3,1,1),Dados!$A:$A,INDEX($D:$E,MATCH("G",$D:$D,0),2)))</f>
        <v/>
      </c>
      <c r="M169" s="66" t="str">
        <f ca="1">IF(COUNTIFS(Dados!$E:$E,$B169,Dados!$C:$C,INDEX(M$3,1,1),Dados!$A:$A,INDEX($D:$E,MATCH("G",$D:$D,0),2))=0,"",SUMIFS(Dados!$G:$G,Dados!$E:$E,$B169,Dados!$C:$C,INDEX(M$3,1,1),Dados!$A:$A,INDEX($D:$E,MATCH("G",$D:$D,0),2))/COUNTIFS(Dados!$E:$E,$B169,Dados!$C:$C,INDEX(M$3,1,1),Dados!$A:$A,INDEX($D:$E,MATCH("G",$D:$D,0),2)))</f>
        <v/>
      </c>
      <c r="N169" s="66" t="str">
        <f ca="1">IF(COUNTIFS(Dados!$E:$E,$B169,Dados!$C:$C,INDEX(N$3,1,1),Dados!$A:$A,INDEX($D:$E,MATCH("G",$D:$D,0),2))=0,"",SUMIFS(Dados!$G:$G,Dados!$E:$E,$B169,Dados!$C:$C,INDEX(N$3,1,1),Dados!$A:$A,INDEX($D:$E,MATCH("G",$D:$D,0),2))/COUNTIFS(Dados!$E:$E,$B169,Dados!$C:$C,INDEX(N$3,1,1),Dados!$A:$A,INDEX($D:$E,MATCH("G",$D:$D,0),2)))</f>
        <v/>
      </c>
      <c r="O169" s="66" t="str">
        <f ca="1">IF(COUNTIFS(Dados!$E:$E,$B169,Dados!$C:$C,INDEX(O$3,1,1),Dados!$A:$A,INDEX($D:$E,MATCH("G",$D:$D,0),2))=0,"",SUMIFS(Dados!$G:$G,Dados!$E:$E,$B169,Dados!$C:$C,INDEX(O$3,1,1),Dados!$A:$A,INDEX($D:$E,MATCH("G",$D:$D,0),2))/COUNTIFS(Dados!$E:$E,$B169,Dados!$C:$C,INDEX(O$3,1,1),Dados!$A:$A,INDEX($D:$E,MATCH("G",$D:$D,0),2)))</f>
        <v/>
      </c>
      <c r="P169" s="66" t="str">
        <f ca="1">IF(COUNTIFS(Dados!$E:$E,$B169,Dados!$C:$C,INDEX(P$3,1,1),Dados!$A:$A,INDEX($D:$E,MATCH("G",$D:$D,0),2))=0,"",SUMIFS(Dados!$G:$G,Dados!$E:$E,$B169,Dados!$C:$C,INDEX(P$3,1,1),Dados!$A:$A,INDEX($D:$E,MATCH("G",$D:$D,0),2))/COUNTIFS(Dados!$E:$E,$B169,Dados!$C:$C,INDEX(P$3,1,1),Dados!$A:$A,INDEX($D:$E,MATCH("G",$D:$D,0),2)))</f>
        <v/>
      </c>
      <c r="Q169" s="66" t="str">
        <f ca="1">IF(COUNTIFS(Dados!$E:$E,$B169,Dados!$C:$C,INDEX(Q$3,1,1),Dados!$A:$A,INDEX($D:$E,MATCH("G",$D:$D,0),2))=0,"",SUMIFS(Dados!$G:$G,Dados!$E:$E,$B169,Dados!$C:$C,INDEX(Q$3,1,1),Dados!$A:$A,INDEX($D:$E,MATCH("G",$D:$D,0),2))/COUNTIFS(Dados!$E:$E,$B169,Dados!$C:$C,INDEX(Q$3,1,1),Dados!$A:$A,INDEX($D:$E,MATCH("G",$D:$D,0),2)))</f>
        <v/>
      </c>
      <c r="R169" s="66" t="str">
        <f ca="1">IF(COUNTIFS(Dados!$E:$E,$B169,Dados!$C:$C,INDEX(R$3,1,1),Dados!$A:$A,INDEX($D:$E,MATCH("G",$D:$D,0),2))=0,"",SUMIFS(Dados!$G:$G,Dados!$E:$E,$B169,Dados!$C:$C,INDEX(R$3,1,1),Dados!$A:$A,INDEX($D:$E,MATCH("G",$D:$D,0),2))/COUNTIFS(Dados!$E:$E,$B169,Dados!$C:$C,INDEX(R$3,1,1),Dados!$A:$A,INDEX($D:$E,MATCH("G",$D:$D,0),2)))</f>
        <v/>
      </c>
      <c r="S169" s="66" t="str">
        <f ca="1">IF(COUNTIFS(Dados!$E:$E,$B169,Dados!$C:$C,INDEX(S$3,1,1),Dados!$A:$A,INDEX($D:$E,MATCH("G",$D:$D,0),2))=0,"",SUMIFS(Dados!$G:$G,Dados!$E:$E,$B169,Dados!$C:$C,INDEX(S$3,1,1),Dados!$A:$A,INDEX($D:$E,MATCH("G",$D:$D,0),2))/COUNTIFS(Dados!$E:$E,$B169,Dados!$C:$C,INDEX(S$3,1,1),Dados!$A:$A,INDEX($D:$E,MATCH("G",$D:$D,0),2)))</f>
        <v/>
      </c>
      <c r="T169" s="66" t="str">
        <f ca="1">IF(COUNTIFS(Dados!$E:$E,$B169,Dados!$C:$C,INDEX(T$3,1,1),Dados!$A:$A,INDEX($D:$E,MATCH("G",$D:$D,0),2))=0,"",SUMIFS(Dados!$G:$G,Dados!$E:$E,$B169,Dados!$C:$C,INDEX(T$3,1,1),Dados!$A:$A,INDEX($D:$E,MATCH("G",$D:$D,0),2))/COUNTIFS(Dados!$E:$E,$B169,Dados!$C:$C,INDEX(T$3,1,1),Dados!$A:$A,INDEX($D:$E,MATCH("G",$D:$D,0),2)))</f>
        <v/>
      </c>
      <c r="U169" s="66" t="str">
        <f ca="1">IF(COUNTIFS(Dados!$E:$E,$B169,Dados!$C:$C,INDEX(U$3,1,1),Dados!$A:$A,INDEX($D:$E,MATCH("G",$D:$D,0),2))=0,"",SUMIFS(Dados!$G:$G,Dados!$E:$E,$B169,Dados!$C:$C,INDEX(U$3,1,1),Dados!$A:$A,INDEX($D:$E,MATCH("G",$D:$D,0),2))/COUNTIFS(Dados!$E:$E,$B169,Dados!$C:$C,INDEX(U$3,1,1),Dados!$A:$A,INDEX($D:$E,MATCH("G",$D:$D,0),2)))</f>
        <v/>
      </c>
      <c r="V169" s="66" t="str">
        <f ca="1">IF(COUNTIFS(Dados!$E:$E,$B169,Dados!$C:$C,INDEX(V$3,1,1),Dados!$A:$A,INDEX($D:$E,MATCH("G",$D:$D,0),2))=0,"",SUMIFS(Dados!$G:$G,Dados!$E:$E,$B169,Dados!$C:$C,INDEX(V$3,1,1),Dados!$A:$A,INDEX($D:$E,MATCH("G",$D:$D,0),2))/COUNTIFS(Dados!$E:$E,$B169,Dados!$C:$C,INDEX(V$3,1,1),Dados!$A:$A,INDEX($D:$E,MATCH("G",$D:$D,0),2)))</f>
        <v/>
      </c>
    </row>
    <row r="170" spans="2:22" x14ac:dyDescent="0.25">
      <c r="B170" s="63" t="s">
        <v>983</v>
      </c>
      <c r="C170" s="63"/>
      <c r="D170" s="63" t="s">
        <v>1280</v>
      </c>
      <c r="E170" s="73">
        <v>35</v>
      </c>
    </row>
    <row r="171" spans="2:22" x14ac:dyDescent="0.25">
      <c r="B171" s="69" t="s">
        <v>974</v>
      </c>
      <c r="C171" s="70" t="s">
        <v>1291</v>
      </c>
      <c r="D171" s="61">
        <v>1978</v>
      </c>
      <c r="E171" s="61">
        <v>1982</v>
      </c>
      <c r="F171" s="61">
        <v>1991</v>
      </c>
      <c r="G171" s="61">
        <v>1996</v>
      </c>
      <c r="H171" s="61">
        <v>1997</v>
      </c>
      <c r="I171" s="61">
        <v>1998</v>
      </c>
      <c r="J171" s="61">
        <v>1999</v>
      </c>
      <c r="K171" s="61">
        <v>2000</v>
      </c>
      <c r="L171" s="61">
        <v>2001</v>
      </c>
      <c r="M171" s="61">
        <v>2002</v>
      </c>
      <c r="N171" s="61">
        <v>2003</v>
      </c>
      <c r="O171" s="61">
        <v>2004</v>
      </c>
      <c r="P171" s="61">
        <v>2005</v>
      </c>
      <c r="Q171" s="61">
        <v>2006</v>
      </c>
      <c r="R171" s="61">
        <v>2007</v>
      </c>
      <c r="S171" s="61">
        <v>2008</v>
      </c>
      <c r="T171" s="61">
        <v>2010</v>
      </c>
      <c r="U171" s="61">
        <v>2011</v>
      </c>
      <c r="V171" s="61">
        <v>2012</v>
      </c>
    </row>
    <row r="172" spans="2:22" x14ac:dyDescent="0.25">
      <c r="B172" s="67" t="s">
        <v>107</v>
      </c>
      <c r="C172" s="71">
        <f>VLOOKUP(B172,B4:C22,2,0)</f>
        <v>1</v>
      </c>
      <c r="D172" s="68" t="str">
        <f ca="1">IF(COUNTIFS(Dados!$E:$E,$B172,Dados!$C:$C,INDEX(D$3,1,1),Dados!$A:$A,INDEX($D:$E,MATCH("J",$D:$D,0),2))=0,"",SUMIFS(Dados!$G:$G,Dados!$E:$E,$B172,Dados!$C:$C,INDEX(D$3,1,1),Dados!$A:$A,INDEX($D:$E,MATCH("J",$D:$D,0),2))/COUNTIFS(Dados!$E:$E,$B172,Dados!$C:$C,INDEX(D$3,1,1),Dados!$A:$A,INDEX($D:$E,MATCH("J",$D:$D,0),2)))</f>
        <v/>
      </c>
      <c r="E172" s="68" t="str">
        <f ca="1">IF(COUNTIFS(Dados!$E:$E,$B172,Dados!$C:$C,INDEX(E$3,1,1),Dados!$A:$A,INDEX($D:$E,MATCH("J",$D:$D,0),2))=0,"",SUMIFS(Dados!$G:$G,Dados!$E:$E,$B172,Dados!$C:$C,INDEX(E$3,1,1),Dados!$A:$A,INDEX($D:$E,MATCH("J",$D:$D,0),2))/COUNTIFS(Dados!$E:$E,$B172,Dados!$C:$C,INDEX(E$3,1,1),Dados!$A:$A,INDEX($D:$E,MATCH("J",$D:$D,0),2)))</f>
        <v/>
      </c>
      <c r="F172" s="68" t="str">
        <f ca="1">IF(COUNTIFS(Dados!$E:$E,$B172,Dados!$C:$C,INDEX(F$3,1,1),Dados!$A:$A,INDEX($D:$E,MATCH("J",$D:$D,0),2))=0,"",SUMIFS(Dados!$G:$G,Dados!$E:$E,$B172,Dados!$C:$C,INDEX(F$3,1,1),Dados!$A:$A,INDEX($D:$E,MATCH("J",$D:$D,0),2))/COUNTIFS(Dados!$E:$E,$B172,Dados!$C:$C,INDEX(F$3,1,1),Dados!$A:$A,INDEX($D:$E,MATCH("J",$D:$D,0),2)))</f>
        <v/>
      </c>
      <c r="G172" s="68" t="str">
        <f ca="1">IF(COUNTIFS(Dados!$E:$E,$B172,Dados!$C:$C,INDEX(G$3,1,1),Dados!$A:$A,INDEX($D:$E,MATCH("J",$D:$D,0),2))=0,"",SUMIFS(Dados!$G:$G,Dados!$E:$E,$B172,Dados!$C:$C,INDEX(G$3,1,1),Dados!$A:$A,INDEX($D:$E,MATCH("J",$D:$D,0),2))/COUNTIFS(Dados!$E:$E,$B172,Dados!$C:$C,INDEX(G$3,1,1),Dados!$A:$A,INDEX($D:$E,MATCH("J",$D:$D,0),2)))</f>
        <v/>
      </c>
      <c r="H172" s="68" t="str">
        <f ca="1">IF(COUNTIFS(Dados!$E:$E,$B172,Dados!$C:$C,INDEX(H$3,1,1),Dados!$A:$A,INDEX($D:$E,MATCH("J",$D:$D,0),2))=0,"",SUMIFS(Dados!$G:$G,Dados!$E:$E,$B172,Dados!$C:$C,INDEX(H$3,1,1),Dados!$A:$A,INDEX($D:$E,MATCH("J",$D:$D,0),2))/COUNTIFS(Dados!$E:$E,$B172,Dados!$C:$C,INDEX(H$3,1,1),Dados!$A:$A,INDEX($D:$E,MATCH("J",$D:$D,0),2)))</f>
        <v/>
      </c>
      <c r="I172" s="68" t="str">
        <f ca="1">IF(COUNTIFS(Dados!$E:$E,$B172,Dados!$C:$C,INDEX(I$3,1,1),Dados!$A:$A,INDEX($D:$E,MATCH("J",$D:$D,0),2))=0,"",SUMIFS(Dados!$G:$G,Dados!$E:$E,$B172,Dados!$C:$C,INDEX(I$3,1,1),Dados!$A:$A,INDEX($D:$E,MATCH("J",$D:$D,0),2))/COUNTIFS(Dados!$E:$E,$B172,Dados!$C:$C,INDEX(I$3,1,1),Dados!$A:$A,INDEX($D:$E,MATCH("J",$D:$D,0),2)))</f>
        <v/>
      </c>
      <c r="J172" s="68" t="str">
        <f ca="1">IF(COUNTIFS(Dados!$E:$E,$B172,Dados!$C:$C,INDEX(J$3,1,1),Dados!$A:$A,INDEX($D:$E,MATCH("J",$D:$D,0),2))=0,"",SUMIFS(Dados!$G:$G,Dados!$E:$E,$B172,Dados!$C:$C,INDEX(J$3,1,1),Dados!$A:$A,INDEX($D:$E,MATCH("J",$D:$D,0),2))/COUNTIFS(Dados!$E:$E,$B172,Dados!$C:$C,INDEX(J$3,1,1),Dados!$A:$A,INDEX($D:$E,MATCH("J",$D:$D,0),2)))</f>
        <v/>
      </c>
      <c r="K172" s="68" t="str">
        <f ca="1">IF(COUNTIFS(Dados!$E:$E,$B172,Dados!$C:$C,INDEX(K$3,1,1),Dados!$A:$A,INDEX($D:$E,MATCH("J",$D:$D,0),2))=0,"",SUMIFS(Dados!$G:$G,Dados!$E:$E,$B172,Dados!$C:$C,INDEX(K$3,1,1),Dados!$A:$A,INDEX($D:$E,MATCH("J",$D:$D,0),2))/COUNTIFS(Dados!$E:$E,$B172,Dados!$C:$C,INDEX(K$3,1,1),Dados!$A:$A,INDEX($D:$E,MATCH("J",$D:$D,0),2)))</f>
        <v/>
      </c>
      <c r="L172" s="68" t="str">
        <f ca="1">IF(COUNTIFS(Dados!$E:$E,$B172,Dados!$C:$C,INDEX(L$3,1,1),Dados!$A:$A,INDEX($D:$E,MATCH("J",$D:$D,0),2))=0,"",SUMIFS(Dados!$G:$G,Dados!$E:$E,$B172,Dados!$C:$C,INDEX(L$3,1,1),Dados!$A:$A,INDEX($D:$E,MATCH("J",$D:$D,0),2))/COUNTIFS(Dados!$E:$E,$B172,Dados!$C:$C,INDEX(L$3,1,1),Dados!$A:$A,INDEX($D:$E,MATCH("J",$D:$D,0),2)))</f>
        <v/>
      </c>
      <c r="M172" s="68" t="str">
        <f ca="1">IF(COUNTIFS(Dados!$E:$E,$B172,Dados!$C:$C,INDEX(M$3,1,1),Dados!$A:$A,INDEX($D:$E,MATCH("J",$D:$D,0),2))=0,"",SUMIFS(Dados!$G:$G,Dados!$E:$E,$B172,Dados!$C:$C,INDEX(M$3,1,1),Dados!$A:$A,INDEX($D:$E,MATCH("J",$D:$D,0),2))/COUNTIFS(Dados!$E:$E,$B172,Dados!$C:$C,INDEX(M$3,1,1),Dados!$A:$A,INDEX($D:$E,MATCH("J",$D:$D,0),2)))</f>
        <v/>
      </c>
      <c r="N172" s="68" t="str">
        <f ca="1">IF(COUNTIFS(Dados!$E:$E,$B172,Dados!$C:$C,INDEX(N$3,1,1),Dados!$A:$A,INDEX($D:$E,MATCH("J",$D:$D,0),2))=0,"",SUMIFS(Dados!$G:$G,Dados!$E:$E,$B172,Dados!$C:$C,INDEX(N$3,1,1),Dados!$A:$A,INDEX($D:$E,MATCH("J",$D:$D,0),2))/COUNTIFS(Dados!$E:$E,$B172,Dados!$C:$C,INDEX(N$3,1,1),Dados!$A:$A,INDEX($D:$E,MATCH("J",$D:$D,0),2)))</f>
        <v/>
      </c>
      <c r="O172" s="68" t="str">
        <f ca="1">IF(COUNTIFS(Dados!$E:$E,$B172,Dados!$C:$C,INDEX(O$3,1,1),Dados!$A:$A,INDEX($D:$E,MATCH("J",$D:$D,0),2))=0,"",SUMIFS(Dados!$G:$G,Dados!$E:$E,$B172,Dados!$C:$C,INDEX(O$3,1,1),Dados!$A:$A,INDEX($D:$E,MATCH("J",$D:$D,0),2))/COUNTIFS(Dados!$E:$E,$B172,Dados!$C:$C,INDEX(O$3,1,1),Dados!$A:$A,INDEX($D:$E,MATCH("J",$D:$D,0),2)))</f>
        <v/>
      </c>
      <c r="P172" s="68" t="str">
        <f ca="1">IF(COUNTIFS(Dados!$E:$E,$B172,Dados!$C:$C,INDEX(P$3,1,1),Dados!$A:$A,INDEX($D:$E,MATCH("J",$D:$D,0),2))=0,"",SUMIFS(Dados!$G:$G,Dados!$E:$E,$B172,Dados!$C:$C,INDEX(P$3,1,1),Dados!$A:$A,INDEX($D:$E,MATCH("J",$D:$D,0),2))/COUNTIFS(Dados!$E:$E,$B172,Dados!$C:$C,INDEX(P$3,1,1),Dados!$A:$A,INDEX($D:$E,MATCH("J",$D:$D,0),2)))</f>
        <v/>
      </c>
      <c r="Q172" s="68" t="str">
        <f ca="1">IF(COUNTIFS(Dados!$E:$E,$B172,Dados!$C:$C,INDEX(Q$3,1,1),Dados!$A:$A,INDEX($D:$E,MATCH("J",$D:$D,0),2))=0,"",SUMIFS(Dados!$G:$G,Dados!$E:$E,$B172,Dados!$C:$C,INDEX(Q$3,1,1),Dados!$A:$A,INDEX($D:$E,MATCH("J",$D:$D,0),2))/COUNTIFS(Dados!$E:$E,$B172,Dados!$C:$C,INDEX(Q$3,1,1),Dados!$A:$A,INDEX($D:$E,MATCH("J",$D:$D,0),2)))</f>
        <v/>
      </c>
      <c r="R172" s="68" t="str">
        <f ca="1">IF(COUNTIFS(Dados!$E:$E,$B172,Dados!$C:$C,INDEX(R$3,1,1),Dados!$A:$A,INDEX($D:$E,MATCH("J",$D:$D,0),2))=0,"",SUMIFS(Dados!$G:$G,Dados!$E:$E,$B172,Dados!$C:$C,INDEX(R$3,1,1),Dados!$A:$A,INDEX($D:$E,MATCH("J",$D:$D,0),2))/COUNTIFS(Dados!$E:$E,$B172,Dados!$C:$C,INDEX(R$3,1,1),Dados!$A:$A,INDEX($D:$E,MATCH("J",$D:$D,0),2)))</f>
        <v/>
      </c>
      <c r="S172" s="68" t="str">
        <f ca="1">IF(COUNTIFS(Dados!$E:$E,$B172,Dados!$C:$C,INDEX(S$3,1,1),Dados!$A:$A,INDEX($D:$E,MATCH("J",$D:$D,0),2))=0,"",SUMIFS(Dados!$G:$G,Dados!$E:$E,$B172,Dados!$C:$C,INDEX(S$3,1,1),Dados!$A:$A,INDEX($D:$E,MATCH("J",$D:$D,0),2))/COUNTIFS(Dados!$E:$E,$B172,Dados!$C:$C,INDEX(S$3,1,1),Dados!$A:$A,INDEX($D:$E,MATCH("J",$D:$D,0),2)))</f>
        <v/>
      </c>
      <c r="T172" s="68" t="str">
        <f ca="1">IF(COUNTIFS(Dados!$E:$E,$B172,Dados!$C:$C,INDEX(T$3,1,1),Dados!$A:$A,INDEX($D:$E,MATCH("J",$D:$D,0),2))=0,"",SUMIFS(Dados!$G:$G,Dados!$E:$E,$B172,Dados!$C:$C,INDEX(T$3,1,1),Dados!$A:$A,INDEX($D:$E,MATCH("J",$D:$D,0),2))/COUNTIFS(Dados!$E:$E,$B172,Dados!$C:$C,INDEX(T$3,1,1),Dados!$A:$A,INDEX($D:$E,MATCH("J",$D:$D,0),2)))</f>
        <v/>
      </c>
      <c r="U172" s="68" t="str">
        <f ca="1">IF(COUNTIFS(Dados!$E:$E,$B172,Dados!$C:$C,INDEX(U$3,1,1),Dados!$A:$A,INDEX($D:$E,MATCH("J",$D:$D,0),2))=0,"",SUMIFS(Dados!$G:$G,Dados!$E:$E,$B172,Dados!$C:$C,INDEX(U$3,1,1),Dados!$A:$A,INDEX($D:$E,MATCH("J",$D:$D,0),2))/COUNTIFS(Dados!$E:$E,$B172,Dados!$C:$C,INDEX(U$3,1,1),Dados!$A:$A,INDEX($D:$E,MATCH("J",$D:$D,0),2)))</f>
        <v/>
      </c>
      <c r="V172" s="68" t="str">
        <f ca="1">IF(COUNTIFS(Dados!$E:$E,$B172,Dados!$C:$C,INDEX(V$3,1,1),Dados!$A:$A,INDEX($D:$E,MATCH("J",$D:$D,0),2))=0,"",SUMIFS(Dados!$G:$G,Dados!$E:$E,$B172,Dados!$C:$C,INDEX(V$3,1,1),Dados!$A:$A,INDEX($D:$E,MATCH("J",$D:$D,0),2))/COUNTIFS(Dados!$E:$E,$B172,Dados!$C:$C,INDEX(V$3,1,1),Dados!$A:$A,INDEX($D:$E,MATCH("J",$D:$D,0),2)))</f>
        <v/>
      </c>
    </row>
    <row r="173" spans="2:22" x14ac:dyDescent="0.25">
      <c r="B173" s="65" t="s">
        <v>96</v>
      </c>
      <c r="C173" s="72">
        <f>VLOOKUP(B173,B4:C22,2,0)</f>
        <v>2</v>
      </c>
      <c r="D173" s="66" t="str">
        <f ca="1">IF(COUNTIFS(Dados!$E:$E,$B173,Dados!$C:$C,INDEX(D$3,1,1),Dados!$A:$A,INDEX($D:$E,MATCH("J",$D:$D,0),2))=0,"",SUMIFS(Dados!$G:$G,Dados!$E:$E,$B173,Dados!$C:$C,INDEX(D$3,1,1),Dados!$A:$A,INDEX($D:$E,MATCH("J",$D:$D,0),2))/COUNTIFS(Dados!$E:$E,$B173,Dados!$C:$C,INDEX(D$3,1,1),Dados!$A:$A,INDEX($D:$E,MATCH("J",$D:$D,0),2)))</f>
        <v/>
      </c>
      <c r="E173" s="66" t="str">
        <f ca="1">IF(COUNTIFS(Dados!$E:$E,$B173,Dados!$C:$C,INDEX(E$3,1,1),Dados!$A:$A,INDEX($D:$E,MATCH("J",$D:$D,0),2))=0,"",SUMIFS(Dados!$G:$G,Dados!$E:$E,$B173,Dados!$C:$C,INDEX(E$3,1,1),Dados!$A:$A,INDEX($D:$E,MATCH("J",$D:$D,0),2))/COUNTIFS(Dados!$E:$E,$B173,Dados!$C:$C,INDEX(E$3,1,1),Dados!$A:$A,INDEX($D:$E,MATCH("J",$D:$D,0),2)))</f>
        <v/>
      </c>
      <c r="F173" s="66" t="str">
        <f ca="1">IF(COUNTIFS(Dados!$E:$E,$B173,Dados!$C:$C,INDEX(F$3,1,1),Dados!$A:$A,INDEX($D:$E,MATCH("J",$D:$D,0),2))=0,"",SUMIFS(Dados!$G:$G,Dados!$E:$E,$B173,Dados!$C:$C,INDEX(F$3,1,1),Dados!$A:$A,INDEX($D:$E,MATCH("J",$D:$D,0),2))/COUNTIFS(Dados!$E:$E,$B173,Dados!$C:$C,INDEX(F$3,1,1),Dados!$A:$A,INDEX($D:$E,MATCH("J",$D:$D,0),2)))</f>
        <v/>
      </c>
      <c r="G173" s="66" t="str">
        <f ca="1">IF(COUNTIFS(Dados!$E:$E,$B173,Dados!$C:$C,INDEX(G$3,1,1),Dados!$A:$A,INDEX($D:$E,MATCH("J",$D:$D,0),2))=0,"",SUMIFS(Dados!$G:$G,Dados!$E:$E,$B173,Dados!$C:$C,INDEX(G$3,1,1),Dados!$A:$A,INDEX($D:$E,MATCH("J",$D:$D,0),2))/COUNTIFS(Dados!$E:$E,$B173,Dados!$C:$C,INDEX(G$3,1,1),Dados!$A:$A,INDEX($D:$E,MATCH("J",$D:$D,0),2)))</f>
        <v/>
      </c>
      <c r="H173" s="66" t="str">
        <f ca="1">IF(COUNTIFS(Dados!$E:$E,$B173,Dados!$C:$C,INDEX(H$3,1,1),Dados!$A:$A,INDEX($D:$E,MATCH("J",$D:$D,0),2))=0,"",SUMIFS(Dados!$G:$G,Dados!$E:$E,$B173,Dados!$C:$C,INDEX(H$3,1,1),Dados!$A:$A,INDEX($D:$E,MATCH("J",$D:$D,0),2))/COUNTIFS(Dados!$E:$E,$B173,Dados!$C:$C,INDEX(H$3,1,1),Dados!$A:$A,INDEX($D:$E,MATCH("J",$D:$D,0),2)))</f>
        <v/>
      </c>
      <c r="I173" s="66" t="str">
        <f ca="1">IF(COUNTIFS(Dados!$E:$E,$B173,Dados!$C:$C,INDEX(I$3,1,1),Dados!$A:$A,INDEX($D:$E,MATCH("J",$D:$D,0),2))=0,"",SUMIFS(Dados!$G:$G,Dados!$E:$E,$B173,Dados!$C:$C,INDEX(I$3,1,1),Dados!$A:$A,INDEX($D:$E,MATCH("J",$D:$D,0),2))/COUNTIFS(Dados!$E:$E,$B173,Dados!$C:$C,INDEX(I$3,1,1),Dados!$A:$A,INDEX($D:$E,MATCH("J",$D:$D,0),2)))</f>
        <v/>
      </c>
      <c r="J173" s="66" t="str">
        <f ca="1">IF(COUNTIFS(Dados!$E:$E,$B173,Dados!$C:$C,INDEX(J$3,1,1),Dados!$A:$A,INDEX($D:$E,MATCH("J",$D:$D,0),2))=0,"",SUMIFS(Dados!$G:$G,Dados!$E:$E,$B173,Dados!$C:$C,INDEX(J$3,1,1),Dados!$A:$A,INDEX($D:$E,MATCH("J",$D:$D,0),2))/COUNTIFS(Dados!$E:$E,$B173,Dados!$C:$C,INDEX(J$3,1,1),Dados!$A:$A,INDEX($D:$E,MATCH("J",$D:$D,0),2)))</f>
        <v/>
      </c>
      <c r="K173" s="66" t="str">
        <f ca="1">IF(COUNTIFS(Dados!$E:$E,$B173,Dados!$C:$C,INDEX(K$3,1,1),Dados!$A:$A,INDEX($D:$E,MATCH("J",$D:$D,0),2))=0,"",SUMIFS(Dados!$G:$G,Dados!$E:$E,$B173,Dados!$C:$C,INDEX(K$3,1,1),Dados!$A:$A,INDEX($D:$E,MATCH("J",$D:$D,0),2))/COUNTIFS(Dados!$E:$E,$B173,Dados!$C:$C,INDEX(K$3,1,1),Dados!$A:$A,INDEX($D:$E,MATCH("J",$D:$D,0),2)))</f>
        <v/>
      </c>
      <c r="L173" s="66" t="str">
        <f ca="1">IF(COUNTIFS(Dados!$E:$E,$B173,Dados!$C:$C,INDEX(L$3,1,1),Dados!$A:$A,INDEX($D:$E,MATCH("J",$D:$D,0),2))=0,"",SUMIFS(Dados!$G:$G,Dados!$E:$E,$B173,Dados!$C:$C,INDEX(L$3,1,1),Dados!$A:$A,INDEX($D:$E,MATCH("J",$D:$D,0),2))/COUNTIFS(Dados!$E:$E,$B173,Dados!$C:$C,INDEX(L$3,1,1),Dados!$A:$A,INDEX($D:$E,MATCH("J",$D:$D,0),2)))</f>
        <v/>
      </c>
      <c r="M173" s="66" t="str">
        <f ca="1">IF(COUNTIFS(Dados!$E:$E,$B173,Dados!$C:$C,INDEX(M$3,1,1),Dados!$A:$A,INDEX($D:$E,MATCH("J",$D:$D,0),2))=0,"",SUMIFS(Dados!$G:$G,Dados!$E:$E,$B173,Dados!$C:$C,INDEX(M$3,1,1),Dados!$A:$A,INDEX($D:$E,MATCH("J",$D:$D,0),2))/COUNTIFS(Dados!$E:$E,$B173,Dados!$C:$C,INDEX(M$3,1,1),Dados!$A:$A,INDEX($D:$E,MATCH("J",$D:$D,0),2)))</f>
        <v/>
      </c>
      <c r="N173" s="66" t="str">
        <f ca="1">IF(COUNTIFS(Dados!$E:$E,$B173,Dados!$C:$C,INDEX(N$3,1,1),Dados!$A:$A,INDEX($D:$E,MATCH("J",$D:$D,0),2))=0,"",SUMIFS(Dados!$G:$G,Dados!$E:$E,$B173,Dados!$C:$C,INDEX(N$3,1,1),Dados!$A:$A,INDEX($D:$E,MATCH("J",$D:$D,0),2))/COUNTIFS(Dados!$E:$E,$B173,Dados!$C:$C,INDEX(N$3,1,1),Dados!$A:$A,INDEX($D:$E,MATCH("J",$D:$D,0),2)))</f>
        <v/>
      </c>
      <c r="O173" s="66" t="str">
        <f ca="1">IF(COUNTIFS(Dados!$E:$E,$B173,Dados!$C:$C,INDEX(O$3,1,1),Dados!$A:$A,INDEX($D:$E,MATCH("J",$D:$D,0),2))=0,"",SUMIFS(Dados!$G:$G,Dados!$E:$E,$B173,Dados!$C:$C,INDEX(O$3,1,1),Dados!$A:$A,INDEX($D:$E,MATCH("J",$D:$D,0),2))/COUNTIFS(Dados!$E:$E,$B173,Dados!$C:$C,INDEX(O$3,1,1),Dados!$A:$A,INDEX($D:$E,MATCH("J",$D:$D,0),2)))</f>
        <v/>
      </c>
      <c r="P173" s="66" t="str">
        <f ca="1">IF(COUNTIFS(Dados!$E:$E,$B173,Dados!$C:$C,INDEX(P$3,1,1),Dados!$A:$A,INDEX($D:$E,MATCH("J",$D:$D,0),2))=0,"",SUMIFS(Dados!$G:$G,Dados!$E:$E,$B173,Dados!$C:$C,INDEX(P$3,1,1),Dados!$A:$A,INDEX($D:$E,MATCH("J",$D:$D,0),2))/COUNTIFS(Dados!$E:$E,$B173,Dados!$C:$C,INDEX(P$3,1,1),Dados!$A:$A,INDEX($D:$E,MATCH("J",$D:$D,0),2)))</f>
        <v/>
      </c>
      <c r="Q173" s="66" t="str">
        <f ca="1">IF(COUNTIFS(Dados!$E:$E,$B173,Dados!$C:$C,INDEX(Q$3,1,1),Dados!$A:$A,INDEX($D:$E,MATCH("J",$D:$D,0),2))=0,"",SUMIFS(Dados!$G:$G,Dados!$E:$E,$B173,Dados!$C:$C,INDEX(Q$3,1,1),Dados!$A:$A,INDEX($D:$E,MATCH("J",$D:$D,0),2))/COUNTIFS(Dados!$E:$E,$B173,Dados!$C:$C,INDEX(Q$3,1,1),Dados!$A:$A,INDEX($D:$E,MATCH("J",$D:$D,0),2)))</f>
        <v/>
      </c>
      <c r="R173" s="66" t="str">
        <f ca="1">IF(COUNTIFS(Dados!$E:$E,$B173,Dados!$C:$C,INDEX(R$3,1,1),Dados!$A:$A,INDEX($D:$E,MATCH("J",$D:$D,0),2))=0,"",SUMIFS(Dados!$G:$G,Dados!$E:$E,$B173,Dados!$C:$C,INDEX(R$3,1,1),Dados!$A:$A,INDEX($D:$E,MATCH("J",$D:$D,0),2))/COUNTIFS(Dados!$E:$E,$B173,Dados!$C:$C,INDEX(R$3,1,1),Dados!$A:$A,INDEX($D:$E,MATCH("J",$D:$D,0),2)))</f>
        <v/>
      </c>
      <c r="S173" s="66" t="str">
        <f ca="1">IF(COUNTIFS(Dados!$E:$E,$B173,Dados!$C:$C,INDEX(S$3,1,1),Dados!$A:$A,INDEX($D:$E,MATCH("J",$D:$D,0),2))=0,"",SUMIFS(Dados!$G:$G,Dados!$E:$E,$B173,Dados!$C:$C,INDEX(S$3,1,1),Dados!$A:$A,INDEX($D:$E,MATCH("J",$D:$D,0),2))/COUNTIFS(Dados!$E:$E,$B173,Dados!$C:$C,INDEX(S$3,1,1),Dados!$A:$A,INDEX($D:$E,MATCH("J",$D:$D,0),2)))</f>
        <v/>
      </c>
      <c r="T173" s="66" t="str">
        <f ca="1">IF(COUNTIFS(Dados!$E:$E,$B173,Dados!$C:$C,INDEX(T$3,1,1),Dados!$A:$A,INDEX($D:$E,MATCH("J",$D:$D,0),2))=0,"",SUMIFS(Dados!$G:$G,Dados!$E:$E,$B173,Dados!$C:$C,INDEX(T$3,1,1),Dados!$A:$A,INDEX($D:$E,MATCH("J",$D:$D,0),2))/COUNTIFS(Dados!$E:$E,$B173,Dados!$C:$C,INDEX(T$3,1,1),Dados!$A:$A,INDEX($D:$E,MATCH("J",$D:$D,0),2)))</f>
        <v/>
      </c>
      <c r="U173" s="66" t="str">
        <f ca="1">IF(COUNTIFS(Dados!$E:$E,$B173,Dados!$C:$C,INDEX(U$3,1,1),Dados!$A:$A,INDEX($D:$E,MATCH("J",$D:$D,0),2))=0,"",SUMIFS(Dados!$G:$G,Dados!$E:$E,$B173,Dados!$C:$C,INDEX(U$3,1,1),Dados!$A:$A,INDEX($D:$E,MATCH("J",$D:$D,0),2))/COUNTIFS(Dados!$E:$E,$B173,Dados!$C:$C,INDEX(U$3,1,1),Dados!$A:$A,INDEX($D:$E,MATCH("J",$D:$D,0),2)))</f>
        <v/>
      </c>
      <c r="V173" s="66" t="str">
        <f ca="1">IF(COUNTIFS(Dados!$E:$E,$B173,Dados!$C:$C,INDEX(V$3,1,1),Dados!$A:$A,INDEX($D:$E,MATCH("J",$D:$D,0),2))=0,"",SUMIFS(Dados!$G:$G,Dados!$E:$E,$B173,Dados!$C:$C,INDEX(V$3,1,1),Dados!$A:$A,INDEX($D:$E,MATCH("J",$D:$D,0),2))/COUNTIFS(Dados!$E:$E,$B173,Dados!$C:$C,INDEX(V$3,1,1),Dados!$A:$A,INDEX($D:$E,MATCH("J",$D:$D,0),2)))</f>
        <v/>
      </c>
    </row>
    <row r="174" spans="2:22" x14ac:dyDescent="0.25">
      <c r="B174" s="67" t="s">
        <v>1297</v>
      </c>
      <c r="C174" s="71">
        <f>VLOOKUP(B174,B4:C22,2,0)</f>
        <v>3</v>
      </c>
      <c r="D174" s="68" t="str">
        <f ca="1">IF(COUNTIFS(Dados!$E:$E,$B174,Dados!$C:$C,INDEX(D$3,1,1),Dados!$A:$A,INDEX($D:$E,MATCH("J",$D:$D,0),2))=0,"",SUMIFS(Dados!$G:$G,Dados!$E:$E,$B174,Dados!$C:$C,INDEX(D$3,1,1),Dados!$A:$A,INDEX($D:$E,MATCH("J",$D:$D,0),2))/COUNTIFS(Dados!$E:$E,$B174,Dados!$C:$C,INDEX(D$3,1,1),Dados!$A:$A,INDEX($D:$E,MATCH("J",$D:$D,0),2)))</f>
        <v/>
      </c>
      <c r="E174" s="68" t="str">
        <f ca="1">IF(COUNTIFS(Dados!$E:$E,$B174,Dados!$C:$C,INDEX(E$3,1,1),Dados!$A:$A,INDEX($D:$E,MATCH("J",$D:$D,0),2))=0,"",SUMIFS(Dados!$G:$G,Dados!$E:$E,$B174,Dados!$C:$C,INDEX(E$3,1,1),Dados!$A:$A,INDEX($D:$E,MATCH("J",$D:$D,0),2))/COUNTIFS(Dados!$E:$E,$B174,Dados!$C:$C,INDEX(E$3,1,1),Dados!$A:$A,INDEX($D:$E,MATCH("J",$D:$D,0),2)))</f>
        <v/>
      </c>
      <c r="F174" s="68" t="str">
        <f ca="1">IF(COUNTIFS(Dados!$E:$E,$B174,Dados!$C:$C,INDEX(F$3,1,1),Dados!$A:$A,INDEX($D:$E,MATCH("J",$D:$D,0),2))=0,"",SUMIFS(Dados!$G:$G,Dados!$E:$E,$B174,Dados!$C:$C,INDEX(F$3,1,1),Dados!$A:$A,INDEX($D:$E,MATCH("J",$D:$D,0),2))/COUNTIFS(Dados!$E:$E,$B174,Dados!$C:$C,INDEX(F$3,1,1),Dados!$A:$A,INDEX($D:$E,MATCH("J",$D:$D,0),2)))</f>
        <v/>
      </c>
      <c r="G174" s="68" t="str">
        <f ca="1">IF(COUNTIFS(Dados!$E:$E,$B174,Dados!$C:$C,INDEX(G$3,1,1),Dados!$A:$A,INDEX($D:$E,MATCH("J",$D:$D,0),2))=0,"",SUMIFS(Dados!$G:$G,Dados!$E:$E,$B174,Dados!$C:$C,INDEX(G$3,1,1),Dados!$A:$A,INDEX($D:$E,MATCH("J",$D:$D,0),2))/COUNTIFS(Dados!$E:$E,$B174,Dados!$C:$C,INDEX(G$3,1,1),Dados!$A:$A,INDEX($D:$E,MATCH("J",$D:$D,0),2)))</f>
        <v/>
      </c>
      <c r="H174" s="68" t="str">
        <f ca="1">IF(COUNTIFS(Dados!$E:$E,$B174,Dados!$C:$C,INDEX(H$3,1,1),Dados!$A:$A,INDEX($D:$E,MATCH("J",$D:$D,0),2))=0,"",SUMIFS(Dados!$G:$G,Dados!$E:$E,$B174,Dados!$C:$C,INDEX(H$3,1,1),Dados!$A:$A,INDEX($D:$E,MATCH("J",$D:$D,0),2))/COUNTIFS(Dados!$E:$E,$B174,Dados!$C:$C,INDEX(H$3,1,1),Dados!$A:$A,INDEX($D:$E,MATCH("J",$D:$D,0),2)))</f>
        <v/>
      </c>
      <c r="I174" s="68" t="str">
        <f ca="1">IF(COUNTIFS(Dados!$E:$E,$B174,Dados!$C:$C,INDEX(I$3,1,1),Dados!$A:$A,INDEX($D:$E,MATCH("J",$D:$D,0),2))=0,"",SUMIFS(Dados!$G:$G,Dados!$E:$E,$B174,Dados!$C:$C,INDEX(I$3,1,1),Dados!$A:$A,INDEX($D:$E,MATCH("J",$D:$D,0),2))/COUNTIFS(Dados!$E:$E,$B174,Dados!$C:$C,INDEX(I$3,1,1),Dados!$A:$A,INDEX($D:$E,MATCH("J",$D:$D,0),2)))</f>
        <v/>
      </c>
      <c r="J174" s="68" t="str">
        <f ca="1">IF(COUNTIFS(Dados!$E:$E,$B174,Dados!$C:$C,INDEX(J$3,1,1),Dados!$A:$A,INDEX($D:$E,MATCH("J",$D:$D,0),2))=0,"",SUMIFS(Dados!$G:$G,Dados!$E:$E,$B174,Dados!$C:$C,INDEX(J$3,1,1),Dados!$A:$A,INDEX($D:$E,MATCH("J",$D:$D,0),2))/COUNTIFS(Dados!$E:$E,$B174,Dados!$C:$C,INDEX(J$3,1,1),Dados!$A:$A,INDEX($D:$E,MATCH("J",$D:$D,0),2)))</f>
        <v/>
      </c>
      <c r="K174" s="68" t="str">
        <f ca="1">IF(COUNTIFS(Dados!$E:$E,$B174,Dados!$C:$C,INDEX(K$3,1,1),Dados!$A:$A,INDEX($D:$E,MATCH("J",$D:$D,0),2))=0,"",SUMIFS(Dados!$G:$G,Dados!$E:$E,$B174,Dados!$C:$C,INDEX(K$3,1,1),Dados!$A:$A,INDEX($D:$E,MATCH("J",$D:$D,0),2))/COUNTIFS(Dados!$E:$E,$B174,Dados!$C:$C,INDEX(K$3,1,1),Dados!$A:$A,INDEX($D:$E,MATCH("J",$D:$D,0),2)))</f>
        <v/>
      </c>
      <c r="L174" s="68" t="str">
        <f ca="1">IF(COUNTIFS(Dados!$E:$E,$B174,Dados!$C:$C,INDEX(L$3,1,1),Dados!$A:$A,INDEX($D:$E,MATCH("J",$D:$D,0),2))=0,"",SUMIFS(Dados!$G:$G,Dados!$E:$E,$B174,Dados!$C:$C,INDEX(L$3,1,1),Dados!$A:$A,INDEX($D:$E,MATCH("J",$D:$D,0),2))/COUNTIFS(Dados!$E:$E,$B174,Dados!$C:$C,INDEX(L$3,1,1),Dados!$A:$A,INDEX($D:$E,MATCH("J",$D:$D,0),2)))</f>
        <v/>
      </c>
      <c r="M174" s="68" t="str">
        <f ca="1">IF(COUNTIFS(Dados!$E:$E,$B174,Dados!$C:$C,INDEX(M$3,1,1),Dados!$A:$A,INDEX($D:$E,MATCH("J",$D:$D,0),2))=0,"",SUMIFS(Dados!$G:$G,Dados!$E:$E,$B174,Dados!$C:$C,INDEX(M$3,1,1),Dados!$A:$A,INDEX($D:$E,MATCH("J",$D:$D,0),2))/COUNTIFS(Dados!$E:$E,$B174,Dados!$C:$C,INDEX(M$3,1,1),Dados!$A:$A,INDEX($D:$E,MATCH("J",$D:$D,0),2)))</f>
        <v/>
      </c>
      <c r="N174" s="68" t="str">
        <f ca="1">IF(COUNTIFS(Dados!$E:$E,$B174,Dados!$C:$C,INDEX(N$3,1,1),Dados!$A:$A,INDEX($D:$E,MATCH("J",$D:$D,0),2))=0,"",SUMIFS(Dados!$G:$G,Dados!$E:$E,$B174,Dados!$C:$C,INDEX(N$3,1,1),Dados!$A:$A,INDEX($D:$E,MATCH("J",$D:$D,0),2))/COUNTIFS(Dados!$E:$E,$B174,Dados!$C:$C,INDEX(N$3,1,1),Dados!$A:$A,INDEX($D:$E,MATCH("J",$D:$D,0),2)))</f>
        <v/>
      </c>
      <c r="O174" s="68" t="str">
        <f ca="1">IF(COUNTIFS(Dados!$E:$E,$B174,Dados!$C:$C,INDEX(O$3,1,1),Dados!$A:$A,INDEX($D:$E,MATCH("J",$D:$D,0),2))=0,"",SUMIFS(Dados!$G:$G,Dados!$E:$E,$B174,Dados!$C:$C,INDEX(O$3,1,1),Dados!$A:$A,INDEX($D:$E,MATCH("J",$D:$D,0),2))/COUNTIFS(Dados!$E:$E,$B174,Dados!$C:$C,INDEX(O$3,1,1),Dados!$A:$A,INDEX($D:$E,MATCH("J",$D:$D,0),2)))</f>
        <v/>
      </c>
      <c r="P174" s="68" t="str">
        <f ca="1">IF(COUNTIFS(Dados!$E:$E,$B174,Dados!$C:$C,INDEX(P$3,1,1),Dados!$A:$A,INDEX($D:$E,MATCH("J",$D:$D,0),2))=0,"",SUMIFS(Dados!$G:$G,Dados!$E:$E,$B174,Dados!$C:$C,INDEX(P$3,1,1),Dados!$A:$A,INDEX($D:$E,MATCH("J",$D:$D,0),2))/COUNTIFS(Dados!$E:$E,$B174,Dados!$C:$C,INDEX(P$3,1,1),Dados!$A:$A,INDEX($D:$E,MATCH("J",$D:$D,0),2)))</f>
        <v/>
      </c>
      <c r="Q174" s="68" t="str">
        <f ca="1">IF(COUNTIFS(Dados!$E:$E,$B174,Dados!$C:$C,INDEX(Q$3,1,1),Dados!$A:$A,INDEX($D:$E,MATCH("J",$D:$D,0),2))=0,"",SUMIFS(Dados!$G:$G,Dados!$E:$E,$B174,Dados!$C:$C,INDEX(Q$3,1,1),Dados!$A:$A,INDEX($D:$E,MATCH("J",$D:$D,0),2))/COUNTIFS(Dados!$E:$E,$B174,Dados!$C:$C,INDEX(Q$3,1,1),Dados!$A:$A,INDEX($D:$E,MATCH("J",$D:$D,0),2)))</f>
        <v/>
      </c>
      <c r="R174" s="68" t="str">
        <f ca="1">IF(COUNTIFS(Dados!$E:$E,$B174,Dados!$C:$C,INDEX(R$3,1,1),Dados!$A:$A,INDEX($D:$E,MATCH("J",$D:$D,0),2))=0,"",SUMIFS(Dados!$G:$G,Dados!$E:$E,$B174,Dados!$C:$C,INDEX(R$3,1,1),Dados!$A:$A,INDEX($D:$E,MATCH("J",$D:$D,0),2))/COUNTIFS(Dados!$E:$E,$B174,Dados!$C:$C,INDEX(R$3,1,1),Dados!$A:$A,INDEX($D:$E,MATCH("J",$D:$D,0),2)))</f>
        <v/>
      </c>
      <c r="S174" s="68" t="str">
        <f ca="1">IF(COUNTIFS(Dados!$E:$E,$B174,Dados!$C:$C,INDEX(S$3,1,1),Dados!$A:$A,INDEX($D:$E,MATCH("J",$D:$D,0),2))=0,"",SUMIFS(Dados!$G:$G,Dados!$E:$E,$B174,Dados!$C:$C,INDEX(S$3,1,1),Dados!$A:$A,INDEX($D:$E,MATCH("J",$D:$D,0),2))/COUNTIFS(Dados!$E:$E,$B174,Dados!$C:$C,INDEX(S$3,1,1),Dados!$A:$A,INDEX($D:$E,MATCH("J",$D:$D,0),2)))</f>
        <v/>
      </c>
      <c r="T174" s="68" t="str">
        <f ca="1">IF(COUNTIFS(Dados!$E:$E,$B174,Dados!$C:$C,INDEX(T$3,1,1),Dados!$A:$A,INDEX($D:$E,MATCH("J",$D:$D,0),2))=0,"",SUMIFS(Dados!$G:$G,Dados!$E:$E,$B174,Dados!$C:$C,INDEX(T$3,1,1),Dados!$A:$A,INDEX($D:$E,MATCH("J",$D:$D,0),2))/COUNTIFS(Dados!$E:$E,$B174,Dados!$C:$C,INDEX(T$3,1,1),Dados!$A:$A,INDEX($D:$E,MATCH("J",$D:$D,0),2)))</f>
        <v/>
      </c>
      <c r="U174" s="68" t="str">
        <f ca="1">IF(COUNTIFS(Dados!$E:$E,$B174,Dados!$C:$C,INDEX(U$3,1,1),Dados!$A:$A,INDEX($D:$E,MATCH("J",$D:$D,0),2))=0,"",SUMIFS(Dados!$G:$G,Dados!$E:$E,$B174,Dados!$C:$C,INDEX(U$3,1,1),Dados!$A:$A,INDEX($D:$E,MATCH("J",$D:$D,0),2))/COUNTIFS(Dados!$E:$E,$B174,Dados!$C:$C,INDEX(U$3,1,1),Dados!$A:$A,INDEX($D:$E,MATCH("J",$D:$D,0),2)))</f>
        <v/>
      </c>
      <c r="V174" s="68" t="str">
        <f ca="1">IF(COUNTIFS(Dados!$E:$E,$B174,Dados!$C:$C,INDEX(V$3,1,1),Dados!$A:$A,INDEX($D:$E,MATCH("J",$D:$D,0),2))=0,"",SUMIFS(Dados!$G:$G,Dados!$E:$E,$B174,Dados!$C:$C,INDEX(V$3,1,1),Dados!$A:$A,INDEX($D:$E,MATCH("J",$D:$D,0),2))/COUNTIFS(Dados!$E:$E,$B174,Dados!$C:$C,INDEX(V$3,1,1),Dados!$A:$A,INDEX($D:$E,MATCH("J",$D:$D,0),2)))</f>
        <v/>
      </c>
    </row>
    <row r="175" spans="2:22" x14ac:dyDescent="0.25">
      <c r="B175" s="65" t="s">
        <v>1303</v>
      </c>
      <c r="C175" s="72">
        <f>VLOOKUP(B175,B4:C22,2,0)</f>
        <v>4</v>
      </c>
      <c r="D175" s="66" t="str">
        <f ca="1">IF(COUNTIFS(Dados!$E:$E,$B175,Dados!$C:$C,INDEX(D$3,1,1),Dados!$A:$A,INDEX($D:$E,MATCH("J",$D:$D,0),2))=0,"",SUMIFS(Dados!$G:$G,Dados!$E:$E,$B175,Dados!$C:$C,INDEX(D$3,1,1),Dados!$A:$A,INDEX($D:$E,MATCH("J",$D:$D,0),2))/COUNTIFS(Dados!$E:$E,$B175,Dados!$C:$C,INDEX(D$3,1,1),Dados!$A:$A,INDEX($D:$E,MATCH("J",$D:$D,0),2)))</f>
        <v/>
      </c>
      <c r="E175" s="66" t="str">
        <f ca="1">IF(COUNTIFS(Dados!$E:$E,$B175,Dados!$C:$C,INDEX(E$3,1,1),Dados!$A:$A,INDEX($D:$E,MATCH("J",$D:$D,0),2))=0,"",SUMIFS(Dados!$G:$G,Dados!$E:$E,$B175,Dados!$C:$C,INDEX(E$3,1,1),Dados!$A:$A,INDEX($D:$E,MATCH("J",$D:$D,0),2))/COUNTIFS(Dados!$E:$E,$B175,Dados!$C:$C,INDEX(E$3,1,1),Dados!$A:$A,INDEX($D:$E,MATCH("J",$D:$D,0),2)))</f>
        <v/>
      </c>
      <c r="F175" s="66" t="str">
        <f ca="1">IF(COUNTIFS(Dados!$E:$E,$B175,Dados!$C:$C,INDEX(F$3,1,1),Dados!$A:$A,INDEX($D:$E,MATCH("J",$D:$D,0),2))=0,"",SUMIFS(Dados!$G:$G,Dados!$E:$E,$B175,Dados!$C:$C,INDEX(F$3,1,1),Dados!$A:$A,INDEX($D:$E,MATCH("J",$D:$D,0),2))/COUNTIFS(Dados!$E:$E,$B175,Dados!$C:$C,INDEX(F$3,1,1),Dados!$A:$A,INDEX($D:$E,MATCH("J",$D:$D,0),2)))</f>
        <v/>
      </c>
      <c r="G175" s="66" t="str">
        <f ca="1">IF(COUNTIFS(Dados!$E:$E,$B175,Dados!$C:$C,INDEX(G$3,1,1),Dados!$A:$A,INDEX($D:$E,MATCH("J",$D:$D,0),2))=0,"",SUMIFS(Dados!$G:$G,Dados!$E:$E,$B175,Dados!$C:$C,INDEX(G$3,1,1),Dados!$A:$A,INDEX($D:$E,MATCH("J",$D:$D,0),2))/COUNTIFS(Dados!$E:$E,$B175,Dados!$C:$C,INDEX(G$3,1,1),Dados!$A:$A,INDEX($D:$E,MATCH("J",$D:$D,0),2)))</f>
        <v/>
      </c>
      <c r="H175" s="66" t="str">
        <f ca="1">IF(COUNTIFS(Dados!$E:$E,$B175,Dados!$C:$C,INDEX(H$3,1,1),Dados!$A:$A,INDEX($D:$E,MATCH("J",$D:$D,0),2))=0,"",SUMIFS(Dados!$G:$G,Dados!$E:$E,$B175,Dados!$C:$C,INDEX(H$3,1,1),Dados!$A:$A,INDEX($D:$E,MATCH("J",$D:$D,0),2))/COUNTIFS(Dados!$E:$E,$B175,Dados!$C:$C,INDEX(H$3,1,1),Dados!$A:$A,INDEX($D:$E,MATCH("J",$D:$D,0),2)))</f>
        <v/>
      </c>
      <c r="I175" s="66" t="str">
        <f ca="1">IF(COUNTIFS(Dados!$E:$E,$B175,Dados!$C:$C,INDEX(I$3,1,1),Dados!$A:$A,INDEX($D:$E,MATCH("J",$D:$D,0),2))=0,"",SUMIFS(Dados!$G:$G,Dados!$E:$E,$B175,Dados!$C:$C,INDEX(I$3,1,1),Dados!$A:$A,INDEX($D:$E,MATCH("J",$D:$D,0),2))/COUNTIFS(Dados!$E:$E,$B175,Dados!$C:$C,INDEX(I$3,1,1),Dados!$A:$A,INDEX($D:$E,MATCH("J",$D:$D,0),2)))</f>
        <v/>
      </c>
      <c r="J175" s="66" t="str">
        <f ca="1">IF(COUNTIFS(Dados!$E:$E,$B175,Dados!$C:$C,INDEX(J$3,1,1),Dados!$A:$A,INDEX($D:$E,MATCH("J",$D:$D,0),2))=0,"",SUMIFS(Dados!$G:$G,Dados!$E:$E,$B175,Dados!$C:$C,INDEX(J$3,1,1),Dados!$A:$A,INDEX($D:$E,MATCH("J",$D:$D,0),2))/COUNTIFS(Dados!$E:$E,$B175,Dados!$C:$C,INDEX(J$3,1,1),Dados!$A:$A,INDEX($D:$E,MATCH("J",$D:$D,0),2)))</f>
        <v/>
      </c>
      <c r="K175" s="66" t="str">
        <f ca="1">IF(COUNTIFS(Dados!$E:$E,$B175,Dados!$C:$C,INDEX(K$3,1,1),Dados!$A:$A,INDEX($D:$E,MATCH("J",$D:$D,0),2))=0,"",SUMIFS(Dados!$G:$G,Dados!$E:$E,$B175,Dados!$C:$C,INDEX(K$3,1,1),Dados!$A:$A,INDEX($D:$E,MATCH("J",$D:$D,0),2))/COUNTIFS(Dados!$E:$E,$B175,Dados!$C:$C,INDEX(K$3,1,1),Dados!$A:$A,INDEX($D:$E,MATCH("J",$D:$D,0),2)))</f>
        <v/>
      </c>
      <c r="L175" s="66" t="str">
        <f ca="1">IF(COUNTIFS(Dados!$E:$E,$B175,Dados!$C:$C,INDEX(L$3,1,1),Dados!$A:$A,INDEX($D:$E,MATCH("J",$D:$D,0),2))=0,"",SUMIFS(Dados!$G:$G,Dados!$E:$E,$B175,Dados!$C:$C,INDEX(L$3,1,1),Dados!$A:$A,INDEX($D:$E,MATCH("J",$D:$D,0),2))/COUNTIFS(Dados!$E:$E,$B175,Dados!$C:$C,INDEX(L$3,1,1),Dados!$A:$A,INDEX($D:$E,MATCH("J",$D:$D,0),2)))</f>
        <v/>
      </c>
      <c r="M175" s="66" t="str">
        <f ca="1">IF(COUNTIFS(Dados!$E:$E,$B175,Dados!$C:$C,INDEX(M$3,1,1),Dados!$A:$A,INDEX($D:$E,MATCH("J",$D:$D,0),2))=0,"",SUMIFS(Dados!$G:$G,Dados!$E:$E,$B175,Dados!$C:$C,INDEX(M$3,1,1),Dados!$A:$A,INDEX($D:$E,MATCH("J",$D:$D,0),2))/COUNTIFS(Dados!$E:$E,$B175,Dados!$C:$C,INDEX(M$3,1,1),Dados!$A:$A,INDEX($D:$E,MATCH("J",$D:$D,0),2)))</f>
        <v/>
      </c>
      <c r="N175" s="66" t="str">
        <f ca="1">IF(COUNTIFS(Dados!$E:$E,$B175,Dados!$C:$C,INDEX(N$3,1,1),Dados!$A:$A,INDEX($D:$E,MATCH("J",$D:$D,0),2))=0,"",SUMIFS(Dados!$G:$G,Dados!$E:$E,$B175,Dados!$C:$C,INDEX(N$3,1,1),Dados!$A:$A,INDEX($D:$E,MATCH("J",$D:$D,0),2))/COUNTIFS(Dados!$E:$E,$B175,Dados!$C:$C,INDEX(N$3,1,1),Dados!$A:$A,INDEX($D:$E,MATCH("J",$D:$D,0),2)))</f>
        <v/>
      </c>
      <c r="O175" s="66" t="str">
        <f ca="1">IF(COUNTIFS(Dados!$E:$E,$B175,Dados!$C:$C,INDEX(O$3,1,1),Dados!$A:$A,INDEX($D:$E,MATCH("J",$D:$D,0),2))=0,"",SUMIFS(Dados!$G:$G,Dados!$E:$E,$B175,Dados!$C:$C,INDEX(O$3,1,1),Dados!$A:$A,INDEX($D:$E,MATCH("J",$D:$D,0),2))/COUNTIFS(Dados!$E:$E,$B175,Dados!$C:$C,INDEX(O$3,1,1),Dados!$A:$A,INDEX($D:$E,MATCH("J",$D:$D,0),2)))</f>
        <v/>
      </c>
      <c r="P175" s="66" t="str">
        <f ca="1">IF(COUNTIFS(Dados!$E:$E,$B175,Dados!$C:$C,INDEX(P$3,1,1),Dados!$A:$A,INDEX($D:$E,MATCH("J",$D:$D,0),2))=0,"",SUMIFS(Dados!$G:$G,Dados!$E:$E,$B175,Dados!$C:$C,INDEX(P$3,1,1),Dados!$A:$A,INDEX($D:$E,MATCH("J",$D:$D,0),2))/COUNTIFS(Dados!$E:$E,$B175,Dados!$C:$C,INDEX(P$3,1,1),Dados!$A:$A,INDEX($D:$E,MATCH("J",$D:$D,0),2)))</f>
        <v/>
      </c>
      <c r="Q175" s="66" t="str">
        <f ca="1">IF(COUNTIFS(Dados!$E:$E,$B175,Dados!$C:$C,INDEX(Q$3,1,1),Dados!$A:$A,INDEX($D:$E,MATCH("J",$D:$D,0),2))=0,"",SUMIFS(Dados!$G:$G,Dados!$E:$E,$B175,Dados!$C:$C,INDEX(Q$3,1,1),Dados!$A:$A,INDEX($D:$E,MATCH("J",$D:$D,0),2))/COUNTIFS(Dados!$E:$E,$B175,Dados!$C:$C,INDEX(Q$3,1,1),Dados!$A:$A,INDEX($D:$E,MATCH("J",$D:$D,0),2)))</f>
        <v/>
      </c>
      <c r="R175" s="66" t="str">
        <f ca="1">IF(COUNTIFS(Dados!$E:$E,$B175,Dados!$C:$C,INDEX(R$3,1,1),Dados!$A:$A,INDEX($D:$E,MATCH("J",$D:$D,0),2))=0,"",SUMIFS(Dados!$G:$G,Dados!$E:$E,$B175,Dados!$C:$C,INDEX(R$3,1,1),Dados!$A:$A,INDEX($D:$E,MATCH("J",$D:$D,0),2))/COUNTIFS(Dados!$E:$E,$B175,Dados!$C:$C,INDEX(R$3,1,1),Dados!$A:$A,INDEX($D:$E,MATCH("J",$D:$D,0),2)))</f>
        <v/>
      </c>
      <c r="S175" s="66" t="str">
        <f ca="1">IF(COUNTIFS(Dados!$E:$E,$B175,Dados!$C:$C,INDEX(S$3,1,1),Dados!$A:$A,INDEX($D:$E,MATCH("J",$D:$D,0),2))=0,"",SUMIFS(Dados!$G:$G,Dados!$E:$E,$B175,Dados!$C:$C,INDEX(S$3,1,1),Dados!$A:$A,INDEX($D:$E,MATCH("J",$D:$D,0),2))/COUNTIFS(Dados!$E:$E,$B175,Dados!$C:$C,INDEX(S$3,1,1),Dados!$A:$A,INDEX($D:$E,MATCH("J",$D:$D,0),2)))</f>
        <v/>
      </c>
      <c r="T175" s="66" t="str">
        <f ca="1">IF(COUNTIFS(Dados!$E:$E,$B175,Dados!$C:$C,INDEX(T$3,1,1),Dados!$A:$A,INDEX($D:$E,MATCH("J",$D:$D,0),2))=0,"",SUMIFS(Dados!$G:$G,Dados!$E:$E,$B175,Dados!$C:$C,INDEX(T$3,1,1),Dados!$A:$A,INDEX($D:$E,MATCH("J",$D:$D,0),2))/COUNTIFS(Dados!$E:$E,$B175,Dados!$C:$C,INDEX(T$3,1,1),Dados!$A:$A,INDEX($D:$E,MATCH("J",$D:$D,0),2)))</f>
        <v/>
      </c>
      <c r="U175" s="66" t="str">
        <f ca="1">IF(COUNTIFS(Dados!$E:$E,$B175,Dados!$C:$C,INDEX(U$3,1,1),Dados!$A:$A,INDEX($D:$E,MATCH("J",$D:$D,0),2))=0,"",SUMIFS(Dados!$G:$G,Dados!$E:$E,$B175,Dados!$C:$C,INDEX(U$3,1,1),Dados!$A:$A,INDEX($D:$E,MATCH("J",$D:$D,0),2))/COUNTIFS(Dados!$E:$E,$B175,Dados!$C:$C,INDEX(U$3,1,1),Dados!$A:$A,INDEX($D:$E,MATCH("J",$D:$D,0),2)))</f>
        <v/>
      </c>
      <c r="V175" s="66" t="str">
        <f ca="1">IF(COUNTIFS(Dados!$E:$E,$B175,Dados!$C:$C,INDEX(V$3,1,1),Dados!$A:$A,INDEX($D:$E,MATCH("J",$D:$D,0),2))=0,"",SUMIFS(Dados!$G:$G,Dados!$E:$E,$B175,Dados!$C:$C,INDEX(V$3,1,1),Dados!$A:$A,INDEX($D:$E,MATCH("J",$D:$D,0),2))/COUNTIFS(Dados!$E:$E,$B175,Dados!$C:$C,INDEX(V$3,1,1),Dados!$A:$A,INDEX($D:$E,MATCH("J",$D:$D,0),2)))</f>
        <v/>
      </c>
    </row>
    <row r="176" spans="2:22" x14ac:dyDescent="0.25">
      <c r="B176" s="67" t="s">
        <v>1304</v>
      </c>
      <c r="C176" s="71">
        <f>VLOOKUP(B176,B4:C22,2,0)</f>
        <v>5</v>
      </c>
      <c r="D176" s="68" t="str">
        <f ca="1">IF(COUNTIFS(Dados!$E:$E,$B176,Dados!$C:$C,INDEX(D$3,1,1),Dados!$A:$A,INDEX($D:$E,MATCH("J",$D:$D,0),2))=0,"",SUMIFS(Dados!$G:$G,Dados!$E:$E,$B176,Dados!$C:$C,INDEX(D$3,1,1),Dados!$A:$A,INDEX($D:$E,MATCH("J",$D:$D,0),2))/COUNTIFS(Dados!$E:$E,$B176,Dados!$C:$C,INDEX(D$3,1,1),Dados!$A:$A,INDEX($D:$E,MATCH("J",$D:$D,0),2)))</f>
        <v/>
      </c>
      <c r="E176" s="68" t="str">
        <f ca="1">IF(COUNTIFS(Dados!$E:$E,$B176,Dados!$C:$C,INDEX(E$3,1,1),Dados!$A:$A,INDEX($D:$E,MATCH("J",$D:$D,0),2))=0,"",SUMIFS(Dados!$G:$G,Dados!$E:$E,$B176,Dados!$C:$C,INDEX(E$3,1,1),Dados!$A:$A,INDEX($D:$E,MATCH("J",$D:$D,0),2))/COUNTIFS(Dados!$E:$E,$B176,Dados!$C:$C,INDEX(E$3,1,1),Dados!$A:$A,INDEX($D:$E,MATCH("J",$D:$D,0),2)))</f>
        <v/>
      </c>
      <c r="F176" s="68" t="str">
        <f ca="1">IF(COUNTIFS(Dados!$E:$E,$B176,Dados!$C:$C,INDEX(F$3,1,1),Dados!$A:$A,INDEX($D:$E,MATCH("J",$D:$D,0),2))=0,"",SUMIFS(Dados!$G:$G,Dados!$E:$E,$B176,Dados!$C:$C,INDEX(F$3,1,1),Dados!$A:$A,INDEX($D:$E,MATCH("J",$D:$D,0),2))/COUNTIFS(Dados!$E:$E,$B176,Dados!$C:$C,INDEX(F$3,1,1),Dados!$A:$A,INDEX($D:$E,MATCH("J",$D:$D,0),2)))</f>
        <v/>
      </c>
      <c r="G176" s="68" t="str">
        <f ca="1">IF(COUNTIFS(Dados!$E:$E,$B176,Dados!$C:$C,INDEX(G$3,1,1),Dados!$A:$A,INDEX($D:$E,MATCH("J",$D:$D,0),2))=0,"",SUMIFS(Dados!$G:$G,Dados!$E:$E,$B176,Dados!$C:$C,INDEX(G$3,1,1),Dados!$A:$A,INDEX($D:$E,MATCH("J",$D:$D,0),2))/COUNTIFS(Dados!$E:$E,$B176,Dados!$C:$C,INDEX(G$3,1,1),Dados!$A:$A,INDEX($D:$E,MATCH("J",$D:$D,0),2)))</f>
        <v/>
      </c>
      <c r="H176" s="68" t="str">
        <f ca="1">IF(COUNTIFS(Dados!$E:$E,$B176,Dados!$C:$C,INDEX(H$3,1,1),Dados!$A:$A,INDEX($D:$E,MATCH("J",$D:$D,0),2))=0,"",SUMIFS(Dados!$G:$G,Dados!$E:$E,$B176,Dados!$C:$C,INDEX(H$3,1,1),Dados!$A:$A,INDEX($D:$E,MATCH("J",$D:$D,0),2))/COUNTIFS(Dados!$E:$E,$B176,Dados!$C:$C,INDEX(H$3,1,1),Dados!$A:$A,INDEX($D:$E,MATCH("J",$D:$D,0),2)))</f>
        <v/>
      </c>
      <c r="I176" s="68" t="str">
        <f ca="1">IF(COUNTIFS(Dados!$E:$E,$B176,Dados!$C:$C,INDEX(I$3,1,1),Dados!$A:$A,INDEX($D:$E,MATCH("J",$D:$D,0),2))=0,"",SUMIFS(Dados!$G:$G,Dados!$E:$E,$B176,Dados!$C:$C,INDEX(I$3,1,1),Dados!$A:$A,INDEX($D:$E,MATCH("J",$D:$D,0),2))/COUNTIFS(Dados!$E:$E,$B176,Dados!$C:$C,INDEX(I$3,1,1),Dados!$A:$A,INDEX($D:$E,MATCH("J",$D:$D,0),2)))</f>
        <v/>
      </c>
      <c r="J176" s="68" t="str">
        <f ca="1">IF(COUNTIFS(Dados!$E:$E,$B176,Dados!$C:$C,INDEX(J$3,1,1),Dados!$A:$A,INDEX($D:$E,MATCH("J",$D:$D,0),2))=0,"",SUMIFS(Dados!$G:$G,Dados!$E:$E,$B176,Dados!$C:$C,INDEX(J$3,1,1),Dados!$A:$A,INDEX($D:$E,MATCH("J",$D:$D,0),2))/COUNTIFS(Dados!$E:$E,$B176,Dados!$C:$C,INDEX(J$3,1,1),Dados!$A:$A,INDEX($D:$E,MATCH("J",$D:$D,0),2)))</f>
        <v/>
      </c>
      <c r="K176" s="68" t="str">
        <f ca="1">IF(COUNTIFS(Dados!$E:$E,$B176,Dados!$C:$C,INDEX(K$3,1,1),Dados!$A:$A,INDEX($D:$E,MATCH("J",$D:$D,0),2))=0,"",SUMIFS(Dados!$G:$G,Dados!$E:$E,$B176,Dados!$C:$C,INDEX(K$3,1,1),Dados!$A:$A,INDEX($D:$E,MATCH("J",$D:$D,0),2))/COUNTIFS(Dados!$E:$E,$B176,Dados!$C:$C,INDEX(K$3,1,1),Dados!$A:$A,INDEX($D:$E,MATCH("J",$D:$D,0),2)))</f>
        <v/>
      </c>
      <c r="L176" s="68" t="str">
        <f ca="1">IF(COUNTIFS(Dados!$E:$E,$B176,Dados!$C:$C,INDEX(L$3,1,1),Dados!$A:$A,INDEX($D:$E,MATCH("J",$D:$D,0),2))=0,"",SUMIFS(Dados!$G:$G,Dados!$E:$E,$B176,Dados!$C:$C,INDEX(L$3,1,1),Dados!$A:$A,INDEX($D:$E,MATCH("J",$D:$D,0),2))/COUNTIFS(Dados!$E:$E,$B176,Dados!$C:$C,INDEX(L$3,1,1),Dados!$A:$A,INDEX($D:$E,MATCH("J",$D:$D,0),2)))</f>
        <v/>
      </c>
      <c r="M176" s="68" t="str">
        <f ca="1">IF(COUNTIFS(Dados!$E:$E,$B176,Dados!$C:$C,INDEX(M$3,1,1),Dados!$A:$A,INDEX($D:$E,MATCH("J",$D:$D,0),2))=0,"",SUMIFS(Dados!$G:$G,Dados!$E:$E,$B176,Dados!$C:$C,INDEX(M$3,1,1),Dados!$A:$A,INDEX($D:$E,MATCH("J",$D:$D,0),2))/COUNTIFS(Dados!$E:$E,$B176,Dados!$C:$C,INDEX(M$3,1,1),Dados!$A:$A,INDEX($D:$E,MATCH("J",$D:$D,0),2)))</f>
        <v/>
      </c>
      <c r="N176" s="68" t="str">
        <f ca="1">IF(COUNTIFS(Dados!$E:$E,$B176,Dados!$C:$C,INDEX(N$3,1,1),Dados!$A:$A,INDEX($D:$E,MATCH("J",$D:$D,0),2))=0,"",SUMIFS(Dados!$G:$G,Dados!$E:$E,$B176,Dados!$C:$C,INDEX(N$3,1,1),Dados!$A:$A,INDEX($D:$E,MATCH("J",$D:$D,0),2))/COUNTIFS(Dados!$E:$E,$B176,Dados!$C:$C,INDEX(N$3,1,1),Dados!$A:$A,INDEX($D:$E,MATCH("J",$D:$D,0),2)))</f>
        <v/>
      </c>
      <c r="O176" s="68" t="str">
        <f ca="1">IF(COUNTIFS(Dados!$E:$E,$B176,Dados!$C:$C,INDEX(O$3,1,1),Dados!$A:$A,INDEX($D:$E,MATCH("J",$D:$D,0),2))=0,"",SUMIFS(Dados!$G:$G,Dados!$E:$E,$B176,Dados!$C:$C,INDEX(O$3,1,1),Dados!$A:$A,INDEX($D:$E,MATCH("J",$D:$D,0),2))/COUNTIFS(Dados!$E:$E,$B176,Dados!$C:$C,INDEX(O$3,1,1),Dados!$A:$A,INDEX($D:$E,MATCH("J",$D:$D,0),2)))</f>
        <v/>
      </c>
      <c r="P176" s="68" t="str">
        <f ca="1">IF(COUNTIFS(Dados!$E:$E,$B176,Dados!$C:$C,INDEX(P$3,1,1),Dados!$A:$A,INDEX($D:$E,MATCH("J",$D:$D,0),2))=0,"",SUMIFS(Dados!$G:$G,Dados!$E:$E,$B176,Dados!$C:$C,INDEX(P$3,1,1),Dados!$A:$A,INDEX($D:$E,MATCH("J",$D:$D,0),2))/COUNTIFS(Dados!$E:$E,$B176,Dados!$C:$C,INDEX(P$3,1,1),Dados!$A:$A,INDEX($D:$E,MATCH("J",$D:$D,0),2)))</f>
        <v/>
      </c>
      <c r="Q176" s="68" t="str">
        <f ca="1">IF(COUNTIFS(Dados!$E:$E,$B176,Dados!$C:$C,INDEX(Q$3,1,1),Dados!$A:$A,INDEX($D:$E,MATCH("J",$D:$D,0),2))=0,"",SUMIFS(Dados!$G:$G,Dados!$E:$E,$B176,Dados!$C:$C,INDEX(Q$3,1,1),Dados!$A:$A,INDEX($D:$E,MATCH("J",$D:$D,0),2))/COUNTIFS(Dados!$E:$E,$B176,Dados!$C:$C,INDEX(Q$3,1,1),Dados!$A:$A,INDEX($D:$E,MATCH("J",$D:$D,0),2)))</f>
        <v/>
      </c>
      <c r="R176" s="68" t="str">
        <f ca="1">IF(COUNTIFS(Dados!$E:$E,$B176,Dados!$C:$C,INDEX(R$3,1,1),Dados!$A:$A,INDEX($D:$E,MATCH("J",$D:$D,0),2))=0,"",SUMIFS(Dados!$G:$G,Dados!$E:$E,$B176,Dados!$C:$C,INDEX(R$3,1,1),Dados!$A:$A,INDEX($D:$E,MATCH("J",$D:$D,0),2))/COUNTIFS(Dados!$E:$E,$B176,Dados!$C:$C,INDEX(R$3,1,1),Dados!$A:$A,INDEX($D:$E,MATCH("J",$D:$D,0),2)))</f>
        <v/>
      </c>
      <c r="S176" s="68" t="str">
        <f ca="1">IF(COUNTIFS(Dados!$E:$E,$B176,Dados!$C:$C,INDEX(S$3,1,1),Dados!$A:$A,INDEX($D:$E,MATCH("J",$D:$D,0),2))=0,"",SUMIFS(Dados!$G:$G,Dados!$E:$E,$B176,Dados!$C:$C,INDEX(S$3,1,1),Dados!$A:$A,INDEX($D:$E,MATCH("J",$D:$D,0),2))/COUNTIFS(Dados!$E:$E,$B176,Dados!$C:$C,INDEX(S$3,1,1),Dados!$A:$A,INDEX($D:$E,MATCH("J",$D:$D,0),2)))</f>
        <v/>
      </c>
      <c r="T176" s="68" t="str">
        <f ca="1">IF(COUNTIFS(Dados!$E:$E,$B176,Dados!$C:$C,INDEX(T$3,1,1),Dados!$A:$A,INDEX($D:$E,MATCH("J",$D:$D,0),2))=0,"",SUMIFS(Dados!$G:$G,Dados!$E:$E,$B176,Dados!$C:$C,INDEX(T$3,1,1),Dados!$A:$A,INDEX($D:$E,MATCH("J",$D:$D,0),2))/COUNTIFS(Dados!$E:$E,$B176,Dados!$C:$C,INDEX(T$3,1,1),Dados!$A:$A,INDEX($D:$E,MATCH("J",$D:$D,0),2)))</f>
        <v/>
      </c>
      <c r="U176" s="68" t="str">
        <f ca="1">IF(COUNTIFS(Dados!$E:$E,$B176,Dados!$C:$C,INDEX(U$3,1,1),Dados!$A:$A,INDEX($D:$E,MATCH("J",$D:$D,0),2))=0,"",SUMIFS(Dados!$G:$G,Dados!$E:$E,$B176,Dados!$C:$C,INDEX(U$3,1,1),Dados!$A:$A,INDEX($D:$E,MATCH("J",$D:$D,0),2))/COUNTIFS(Dados!$E:$E,$B176,Dados!$C:$C,INDEX(U$3,1,1),Dados!$A:$A,INDEX($D:$E,MATCH("J",$D:$D,0),2)))</f>
        <v/>
      </c>
      <c r="V176" s="68" t="str">
        <f ca="1">IF(COUNTIFS(Dados!$E:$E,$B176,Dados!$C:$C,INDEX(V$3,1,1),Dados!$A:$A,INDEX($D:$E,MATCH("J",$D:$D,0),2))=0,"",SUMIFS(Dados!$G:$G,Dados!$E:$E,$B176,Dados!$C:$C,INDEX(V$3,1,1),Dados!$A:$A,INDEX($D:$E,MATCH("J",$D:$D,0),2))/COUNTIFS(Dados!$E:$E,$B176,Dados!$C:$C,INDEX(V$3,1,1),Dados!$A:$A,INDEX($D:$E,MATCH("J",$D:$D,0),2)))</f>
        <v/>
      </c>
    </row>
    <row r="177" spans="2:22" x14ac:dyDescent="0.25">
      <c r="B177" s="65" t="s">
        <v>1298</v>
      </c>
      <c r="C177" s="72">
        <f>VLOOKUP(B177,B4:C22,2,0)</f>
        <v>6</v>
      </c>
      <c r="D177" s="66" t="str">
        <f ca="1">IF(COUNTIFS(Dados!$E:$E,$B177,Dados!$C:$C,INDEX(D$3,1,1),Dados!$A:$A,INDEX($D:$E,MATCH("J",$D:$D,0),2))=0,"",SUMIFS(Dados!$G:$G,Dados!$E:$E,$B177,Dados!$C:$C,INDEX(D$3,1,1),Dados!$A:$A,INDEX($D:$E,MATCH("J",$D:$D,0),2))/COUNTIFS(Dados!$E:$E,$B177,Dados!$C:$C,INDEX(D$3,1,1),Dados!$A:$A,INDEX($D:$E,MATCH("J",$D:$D,0),2)))</f>
        <v/>
      </c>
      <c r="E177" s="66" t="str">
        <f ca="1">IF(COUNTIFS(Dados!$E:$E,$B177,Dados!$C:$C,INDEX(E$3,1,1),Dados!$A:$A,INDEX($D:$E,MATCH("J",$D:$D,0),2))=0,"",SUMIFS(Dados!$G:$G,Dados!$E:$E,$B177,Dados!$C:$C,INDEX(E$3,1,1),Dados!$A:$A,INDEX($D:$E,MATCH("J",$D:$D,0),2))/COUNTIFS(Dados!$E:$E,$B177,Dados!$C:$C,INDEX(E$3,1,1),Dados!$A:$A,INDEX($D:$E,MATCH("J",$D:$D,0),2)))</f>
        <v/>
      </c>
      <c r="F177" s="66" t="str">
        <f ca="1">IF(COUNTIFS(Dados!$E:$E,$B177,Dados!$C:$C,INDEX(F$3,1,1),Dados!$A:$A,INDEX($D:$E,MATCH("J",$D:$D,0),2))=0,"",SUMIFS(Dados!$G:$G,Dados!$E:$E,$B177,Dados!$C:$C,INDEX(F$3,1,1),Dados!$A:$A,INDEX($D:$E,MATCH("J",$D:$D,0),2))/COUNTIFS(Dados!$E:$E,$B177,Dados!$C:$C,INDEX(F$3,1,1),Dados!$A:$A,INDEX($D:$E,MATCH("J",$D:$D,0),2)))</f>
        <v/>
      </c>
      <c r="G177" s="66" t="str">
        <f ca="1">IF(COUNTIFS(Dados!$E:$E,$B177,Dados!$C:$C,INDEX(G$3,1,1),Dados!$A:$A,INDEX($D:$E,MATCH("J",$D:$D,0),2))=0,"",SUMIFS(Dados!$G:$G,Dados!$E:$E,$B177,Dados!$C:$C,INDEX(G$3,1,1),Dados!$A:$A,INDEX($D:$E,MATCH("J",$D:$D,0),2))/COUNTIFS(Dados!$E:$E,$B177,Dados!$C:$C,INDEX(G$3,1,1),Dados!$A:$A,INDEX($D:$E,MATCH("J",$D:$D,0),2)))</f>
        <v/>
      </c>
      <c r="H177" s="66" t="str">
        <f ca="1">IF(COUNTIFS(Dados!$E:$E,$B177,Dados!$C:$C,INDEX(H$3,1,1),Dados!$A:$A,INDEX($D:$E,MATCH("J",$D:$D,0),2))=0,"",SUMIFS(Dados!$G:$G,Dados!$E:$E,$B177,Dados!$C:$C,INDEX(H$3,1,1),Dados!$A:$A,INDEX($D:$E,MATCH("J",$D:$D,0),2))/COUNTIFS(Dados!$E:$E,$B177,Dados!$C:$C,INDEX(H$3,1,1),Dados!$A:$A,INDEX($D:$E,MATCH("J",$D:$D,0),2)))</f>
        <v/>
      </c>
      <c r="I177" s="66" t="str">
        <f ca="1">IF(COUNTIFS(Dados!$E:$E,$B177,Dados!$C:$C,INDEX(I$3,1,1),Dados!$A:$A,INDEX($D:$E,MATCH("J",$D:$D,0),2))=0,"",SUMIFS(Dados!$G:$G,Dados!$E:$E,$B177,Dados!$C:$C,INDEX(I$3,1,1),Dados!$A:$A,INDEX($D:$E,MATCH("J",$D:$D,0),2))/COUNTIFS(Dados!$E:$E,$B177,Dados!$C:$C,INDEX(I$3,1,1),Dados!$A:$A,INDEX($D:$E,MATCH("J",$D:$D,0),2)))</f>
        <v/>
      </c>
      <c r="J177" s="66" t="str">
        <f ca="1">IF(COUNTIFS(Dados!$E:$E,$B177,Dados!$C:$C,INDEX(J$3,1,1),Dados!$A:$A,INDEX($D:$E,MATCH("J",$D:$D,0),2))=0,"",SUMIFS(Dados!$G:$G,Dados!$E:$E,$B177,Dados!$C:$C,INDEX(J$3,1,1),Dados!$A:$A,INDEX($D:$E,MATCH("J",$D:$D,0),2))/COUNTIFS(Dados!$E:$E,$B177,Dados!$C:$C,INDEX(J$3,1,1),Dados!$A:$A,INDEX($D:$E,MATCH("J",$D:$D,0),2)))</f>
        <v/>
      </c>
      <c r="K177" s="66" t="str">
        <f ca="1">IF(COUNTIFS(Dados!$E:$E,$B177,Dados!$C:$C,INDEX(K$3,1,1),Dados!$A:$A,INDEX($D:$E,MATCH("J",$D:$D,0),2))=0,"",SUMIFS(Dados!$G:$G,Dados!$E:$E,$B177,Dados!$C:$C,INDEX(K$3,1,1),Dados!$A:$A,INDEX($D:$E,MATCH("J",$D:$D,0),2))/COUNTIFS(Dados!$E:$E,$B177,Dados!$C:$C,INDEX(K$3,1,1),Dados!$A:$A,INDEX($D:$E,MATCH("J",$D:$D,0),2)))</f>
        <v/>
      </c>
      <c r="L177" s="66" t="str">
        <f ca="1">IF(COUNTIFS(Dados!$E:$E,$B177,Dados!$C:$C,INDEX(L$3,1,1),Dados!$A:$A,INDEX($D:$E,MATCH("J",$D:$D,0),2))=0,"",SUMIFS(Dados!$G:$G,Dados!$E:$E,$B177,Dados!$C:$C,INDEX(L$3,1,1),Dados!$A:$A,INDEX($D:$E,MATCH("J",$D:$D,0),2))/COUNTIFS(Dados!$E:$E,$B177,Dados!$C:$C,INDEX(L$3,1,1),Dados!$A:$A,INDEX($D:$E,MATCH("J",$D:$D,0),2)))</f>
        <v/>
      </c>
      <c r="M177" s="66" t="str">
        <f ca="1">IF(COUNTIFS(Dados!$E:$E,$B177,Dados!$C:$C,INDEX(M$3,1,1),Dados!$A:$A,INDEX($D:$E,MATCH("J",$D:$D,0),2))=0,"",SUMIFS(Dados!$G:$G,Dados!$E:$E,$B177,Dados!$C:$C,INDEX(M$3,1,1),Dados!$A:$A,INDEX($D:$E,MATCH("J",$D:$D,0),2))/COUNTIFS(Dados!$E:$E,$B177,Dados!$C:$C,INDEX(M$3,1,1),Dados!$A:$A,INDEX($D:$E,MATCH("J",$D:$D,0),2)))</f>
        <v/>
      </c>
      <c r="N177" s="66" t="str">
        <f ca="1">IF(COUNTIFS(Dados!$E:$E,$B177,Dados!$C:$C,INDEX(N$3,1,1),Dados!$A:$A,INDEX($D:$E,MATCH("J",$D:$D,0),2))=0,"",SUMIFS(Dados!$G:$G,Dados!$E:$E,$B177,Dados!$C:$C,INDEX(N$3,1,1),Dados!$A:$A,INDEX($D:$E,MATCH("J",$D:$D,0),2))/COUNTIFS(Dados!$E:$E,$B177,Dados!$C:$C,INDEX(N$3,1,1),Dados!$A:$A,INDEX($D:$E,MATCH("J",$D:$D,0),2)))</f>
        <v/>
      </c>
      <c r="O177" s="66" t="str">
        <f ca="1">IF(COUNTIFS(Dados!$E:$E,$B177,Dados!$C:$C,INDEX(O$3,1,1),Dados!$A:$A,INDEX($D:$E,MATCH("J",$D:$D,0),2))=0,"",SUMIFS(Dados!$G:$G,Dados!$E:$E,$B177,Dados!$C:$C,INDEX(O$3,1,1),Dados!$A:$A,INDEX($D:$E,MATCH("J",$D:$D,0),2))/COUNTIFS(Dados!$E:$E,$B177,Dados!$C:$C,INDEX(O$3,1,1),Dados!$A:$A,INDEX($D:$E,MATCH("J",$D:$D,0),2)))</f>
        <v/>
      </c>
      <c r="P177" s="66" t="str">
        <f ca="1">IF(COUNTIFS(Dados!$E:$E,$B177,Dados!$C:$C,INDEX(P$3,1,1),Dados!$A:$A,INDEX($D:$E,MATCH("J",$D:$D,0),2))=0,"",SUMIFS(Dados!$G:$G,Dados!$E:$E,$B177,Dados!$C:$C,INDEX(P$3,1,1),Dados!$A:$A,INDEX($D:$E,MATCH("J",$D:$D,0),2))/COUNTIFS(Dados!$E:$E,$B177,Dados!$C:$C,INDEX(P$3,1,1),Dados!$A:$A,INDEX($D:$E,MATCH("J",$D:$D,0),2)))</f>
        <v/>
      </c>
      <c r="Q177" s="66" t="str">
        <f ca="1">IF(COUNTIFS(Dados!$E:$E,$B177,Dados!$C:$C,INDEX(Q$3,1,1),Dados!$A:$A,INDEX($D:$E,MATCH("J",$D:$D,0),2))=0,"",SUMIFS(Dados!$G:$G,Dados!$E:$E,$B177,Dados!$C:$C,INDEX(Q$3,1,1),Dados!$A:$A,INDEX($D:$E,MATCH("J",$D:$D,0),2))/COUNTIFS(Dados!$E:$E,$B177,Dados!$C:$C,INDEX(Q$3,1,1),Dados!$A:$A,INDEX($D:$E,MATCH("J",$D:$D,0),2)))</f>
        <v/>
      </c>
      <c r="R177" s="66" t="str">
        <f ca="1">IF(COUNTIFS(Dados!$E:$E,$B177,Dados!$C:$C,INDEX(R$3,1,1),Dados!$A:$A,INDEX($D:$E,MATCH("J",$D:$D,0),2))=0,"",SUMIFS(Dados!$G:$G,Dados!$E:$E,$B177,Dados!$C:$C,INDEX(R$3,1,1),Dados!$A:$A,INDEX($D:$E,MATCH("J",$D:$D,0),2))/COUNTIFS(Dados!$E:$E,$B177,Dados!$C:$C,INDEX(R$3,1,1),Dados!$A:$A,INDEX($D:$E,MATCH("J",$D:$D,0),2)))</f>
        <v/>
      </c>
      <c r="S177" s="66" t="str">
        <f ca="1">IF(COUNTIFS(Dados!$E:$E,$B177,Dados!$C:$C,INDEX(S$3,1,1),Dados!$A:$A,INDEX($D:$E,MATCH("J",$D:$D,0),2))=0,"",SUMIFS(Dados!$G:$G,Dados!$E:$E,$B177,Dados!$C:$C,INDEX(S$3,1,1),Dados!$A:$A,INDEX($D:$E,MATCH("J",$D:$D,0),2))/COUNTIFS(Dados!$E:$E,$B177,Dados!$C:$C,INDEX(S$3,1,1),Dados!$A:$A,INDEX($D:$E,MATCH("J",$D:$D,0),2)))</f>
        <v/>
      </c>
      <c r="T177" s="66" t="str">
        <f ca="1">IF(COUNTIFS(Dados!$E:$E,$B177,Dados!$C:$C,INDEX(T$3,1,1),Dados!$A:$A,INDEX($D:$E,MATCH("J",$D:$D,0),2))=0,"",SUMIFS(Dados!$G:$G,Dados!$E:$E,$B177,Dados!$C:$C,INDEX(T$3,1,1),Dados!$A:$A,INDEX($D:$E,MATCH("J",$D:$D,0),2))/COUNTIFS(Dados!$E:$E,$B177,Dados!$C:$C,INDEX(T$3,1,1),Dados!$A:$A,INDEX($D:$E,MATCH("J",$D:$D,0),2)))</f>
        <v/>
      </c>
      <c r="U177" s="66" t="str">
        <f ca="1">IF(COUNTIFS(Dados!$E:$E,$B177,Dados!$C:$C,INDEX(U$3,1,1),Dados!$A:$A,INDEX($D:$E,MATCH("J",$D:$D,0),2))=0,"",SUMIFS(Dados!$G:$G,Dados!$E:$E,$B177,Dados!$C:$C,INDEX(U$3,1,1),Dados!$A:$A,INDEX($D:$E,MATCH("J",$D:$D,0),2))/COUNTIFS(Dados!$E:$E,$B177,Dados!$C:$C,INDEX(U$3,1,1),Dados!$A:$A,INDEX($D:$E,MATCH("J",$D:$D,0),2)))</f>
        <v/>
      </c>
      <c r="V177" s="66" t="str">
        <f ca="1">IF(COUNTIFS(Dados!$E:$E,$B177,Dados!$C:$C,INDEX(V$3,1,1),Dados!$A:$A,INDEX($D:$E,MATCH("J",$D:$D,0),2))=0,"",SUMIFS(Dados!$G:$G,Dados!$E:$E,$B177,Dados!$C:$C,INDEX(V$3,1,1),Dados!$A:$A,INDEX($D:$E,MATCH("J",$D:$D,0),2))/COUNTIFS(Dados!$E:$E,$B177,Dados!$C:$C,INDEX(V$3,1,1),Dados!$A:$A,INDEX($D:$E,MATCH("J",$D:$D,0),2)))</f>
        <v/>
      </c>
    </row>
    <row r="178" spans="2:22" x14ac:dyDescent="0.25">
      <c r="B178" s="67" t="s">
        <v>65</v>
      </c>
      <c r="C178" s="71">
        <f>VLOOKUP(B178,B4:C22,2,0)</f>
        <v>7</v>
      </c>
      <c r="D178" s="68" t="str">
        <f ca="1">IF(COUNTIFS(Dados!$E:$E,$B178,Dados!$C:$C,INDEX(D$3,1,1),Dados!$A:$A,INDEX($D:$E,MATCH("J",$D:$D,0),2))=0,"",SUMIFS(Dados!$G:$G,Dados!$E:$E,$B178,Dados!$C:$C,INDEX(D$3,1,1),Dados!$A:$A,INDEX($D:$E,MATCH("J",$D:$D,0),2))/COUNTIFS(Dados!$E:$E,$B178,Dados!$C:$C,INDEX(D$3,1,1),Dados!$A:$A,INDEX($D:$E,MATCH("J",$D:$D,0),2)))</f>
        <v/>
      </c>
      <c r="E178" s="68" t="str">
        <f ca="1">IF(COUNTIFS(Dados!$E:$E,$B178,Dados!$C:$C,INDEX(E$3,1,1),Dados!$A:$A,INDEX($D:$E,MATCH("J",$D:$D,0),2))=0,"",SUMIFS(Dados!$G:$G,Dados!$E:$E,$B178,Dados!$C:$C,INDEX(E$3,1,1),Dados!$A:$A,INDEX($D:$E,MATCH("J",$D:$D,0),2))/COUNTIFS(Dados!$E:$E,$B178,Dados!$C:$C,INDEX(E$3,1,1),Dados!$A:$A,INDEX($D:$E,MATCH("J",$D:$D,0),2)))</f>
        <v/>
      </c>
      <c r="F178" s="68" t="str">
        <f ca="1">IF(COUNTIFS(Dados!$E:$E,$B178,Dados!$C:$C,INDEX(F$3,1,1),Dados!$A:$A,INDEX($D:$E,MATCH("J",$D:$D,0),2))=0,"",SUMIFS(Dados!$G:$G,Dados!$E:$E,$B178,Dados!$C:$C,INDEX(F$3,1,1),Dados!$A:$A,INDEX($D:$E,MATCH("J",$D:$D,0),2))/COUNTIFS(Dados!$E:$E,$B178,Dados!$C:$C,INDEX(F$3,1,1),Dados!$A:$A,INDEX($D:$E,MATCH("J",$D:$D,0),2)))</f>
        <v/>
      </c>
      <c r="G178" s="68" t="str">
        <f ca="1">IF(COUNTIFS(Dados!$E:$E,$B178,Dados!$C:$C,INDEX(G$3,1,1),Dados!$A:$A,INDEX($D:$E,MATCH("J",$D:$D,0),2))=0,"",SUMIFS(Dados!$G:$G,Dados!$E:$E,$B178,Dados!$C:$C,INDEX(G$3,1,1),Dados!$A:$A,INDEX($D:$E,MATCH("J",$D:$D,0),2))/COUNTIFS(Dados!$E:$E,$B178,Dados!$C:$C,INDEX(G$3,1,1),Dados!$A:$A,INDEX($D:$E,MATCH("J",$D:$D,0),2)))</f>
        <v/>
      </c>
      <c r="H178" s="68" t="str">
        <f ca="1">IF(COUNTIFS(Dados!$E:$E,$B178,Dados!$C:$C,INDEX(H$3,1,1),Dados!$A:$A,INDEX($D:$E,MATCH("J",$D:$D,0),2))=0,"",SUMIFS(Dados!$G:$G,Dados!$E:$E,$B178,Dados!$C:$C,INDEX(H$3,1,1),Dados!$A:$A,INDEX($D:$E,MATCH("J",$D:$D,0),2))/COUNTIFS(Dados!$E:$E,$B178,Dados!$C:$C,INDEX(H$3,1,1),Dados!$A:$A,INDEX($D:$E,MATCH("J",$D:$D,0),2)))</f>
        <v/>
      </c>
      <c r="I178" s="68" t="str">
        <f ca="1">IF(COUNTIFS(Dados!$E:$E,$B178,Dados!$C:$C,INDEX(I$3,1,1),Dados!$A:$A,INDEX($D:$E,MATCH("J",$D:$D,0),2))=0,"",SUMIFS(Dados!$G:$G,Dados!$E:$E,$B178,Dados!$C:$C,INDEX(I$3,1,1),Dados!$A:$A,INDEX($D:$E,MATCH("J",$D:$D,0),2))/COUNTIFS(Dados!$E:$E,$B178,Dados!$C:$C,INDEX(I$3,1,1),Dados!$A:$A,INDEX($D:$E,MATCH("J",$D:$D,0),2)))</f>
        <v/>
      </c>
      <c r="J178" s="68" t="str">
        <f ca="1">IF(COUNTIFS(Dados!$E:$E,$B178,Dados!$C:$C,INDEX(J$3,1,1),Dados!$A:$A,INDEX($D:$E,MATCH("J",$D:$D,0),2))=0,"",SUMIFS(Dados!$G:$G,Dados!$E:$E,$B178,Dados!$C:$C,INDEX(J$3,1,1),Dados!$A:$A,INDEX($D:$E,MATCH("J",$D:$D,0),2))/COUNTIFS(Dados!$E:$E,$B178,Dados!$C:$C,INDEX(J$3,1,1),Dados!$A:$A,INDEX($D:$E,MATCH("J",$D:$D,0),2)))</f>
        <v/>
      </c>
      <c r="K178" s="68" t="str">
        <f ca="1">IF(COUNTIFS(Dados!$E:$E,$B178,Dados!$C:$C,INDEX(K$3,1,1),Dados!$A:$A,INDEX($D:$E,MATCH("J",$D:$D,0),2))=0,"",SUMIFS(Dados!$G:$G,Dados!$E:$E,$B178,Dados!$C:$C,INDEX(K$3,1,1),Dados!$A:$A,INDEX($D:$E,MATCH("J",$D:$D,0),2))/COUNTIFS(Dados!$E:$E,$B178,Dados!$C:$C,INDEX(K$3,1,1),Dados!$A:$A,INDEX($D:$E,MATCH("J",$D:$D,0),2)))</f>
        <v/>
      </c>
      <c r="L178" s="68" t="str">
        <f ca="1">IF(COUNTIFS(Dados!$E:$E,$B178,Dados!$C:$C,INDEX(L$3,1,1),Dados!$A:$A,INDEX($D:$E,MATCH("J",$D:$D,0),2))=0,"",SUMIFS(Dados!$G:$G,Dados!$E:$E,$B178,Dados!$C:$C,INDEX(L$3,1,1),Dados!$A:$A,INDEX($D:$E,MATCH("J",$D:$D,0),2))/COUNTIFS(Dados!$E:$E,$B178,Dados!$C:$C,INDEX(L$3,1,1),Dados!$A:$A,INDEX($D:$E,MATCH("J",$D:$D,0),2)))</f>
        <v/>
      </c>
      <c r="M178" s="68" t="str">
        <f ca="1">IF(COUNTIFS(Dados!$E:$E,$B178,Dados!$C:$C,INDEX(M$3,1,1),Dados!$A:$A,INDEX($D:$E,MATCH("J",$D:$D,0),2))=0,"",SUMIFS(Dados!$G:$G,Dados!$E:$E,$B178,Dados!$C:$C,INDEX(M$3,1,1),Dados!$A:$A,INDEX($D:$E,MATCH("J",$D:$D,0),2))/COUNTIFS(Dados!$E:$E,$B178,Dados!$C:$C,INDEX(M$3,1,1),Dados!$A:$A,INDEX($D:$E,MATCH("J",$D:$D,0),2)))</f>
        <v/>
      </c>
      <c r="N178" s="68" t="str">
        <f ca="1">IF(COUNTIFS(Dados!$E:$E,$B178,Dados!$C:$C,INDEX(N$3,1,1),Dados!$A:$A,INDEX($D:$E,MATCH("J",$D:$D,0),2))=0,"",SUMIFS(Dados!$G:$G,Dados!$E:$E,$B178,Dados!$C:$C,INDEX(N$3,1,1),Dados!$A:$A,INDEX($D:$E,MATCH("J",$D:$D,0),2))/COUNTIFS(Dados!$E:$E,$B178,Dados!$C:$C,INDEX(N$3,1,1),Dados!$A:$A,INDEX($D:$E,MATCH("J",$D:$D,0),2)))</f>
        <v/>
      </c>
      <c r="O178" s="68" t="str">
        <f ca="1">IF(COUNTIFS(Dados!$E:$E,$B178,Dados!$C:$C,INDEX(O$3,1,1),Dados!$A:$A,INDEX($D:$E,MATCH("J",$D:$D,0),2))=0,"",SUMIFS(Dados!$G:$G,Dados!$E:$E,$B178,Dados!$C:$C,INDEX(O$3,1,1),Dados!$A:$A,INDEX($D:$E,MATCH("J",$D:$D,0),2))/COUNTIFS(Dados!$E:$E,$B178,Dados!$C:$C,INDEX(O$3,1,1),Dados!$A:$A,INDEX($D:$E,MATCH("J",$D:$D,0),2)))</f>
        <v/>
      </c>
      <c r="P178" s="68" t="str">
        <f ca="1">IF(COUNTIFS(Dados!$E:$E,$B178,Dados!$C:$C,INDEX(P$3,1,1),Dados!$A:$A,INDEX($D:$E,MATCH("J",$D:$D,0),2))=0,"",SUMIFS(Dados!$G:$G,Dados!$E:$E,$B178,Dados!$C:$C,INDEX(P$3,1,1),Dados!$A:$A,INDEX($D:$E,MATCH("J",$D:$D,0),2))/COUNTIFS(Dados!$E:$E,$B178,Dados!$C:$C,INDEX(P$3,1,1),Dados!$A:$A,INDEX($D:$E,MATCH("J",$D:$D,0),2)))</f>
        <v/>
      </c>
      <c r="Q178" s="68" t="str">
        <f ca="1">IF(COUNTIFS(Dados!$E:$E,$B178,Dados!$C:$C,INDEX(Q$3,1,1),Dados!$A:$A,INDEX($D:$E,MATCH("J",$D:$D,0),2))=0,"",SUMIFS(Dados!$G:$G,Dados!$E:$E,$B178,Dados!$C:$C,INDEX(Q$3,1,1),Dados!$A:$A,INDEX($D:$E,MATCH("J",$D:$D,0),2))/COUNTIFS(Dados!$E:$E,$B178,Dados!$C:$C,INDEX(Q$3,1,1),Dados!$A:$A,INDEX($D:$E,MATCH("J",$D:$D,0),2)))</f>
        <v/>
      </c>
      <c r="R178" s="68" t="str">
        <f ca="1">IF(COUNTIFS(Dados!$E:$E,$B178,Dados!$C:$C,INDEX(R$3,1,1),Dados!$A:$A,INDEX($D:$E,MATCH("J",$D:$D,0),2))=0,"",SUMIFS(Dados!$G:$G,Dados!$E:$E,$B178,Dados!$C:$C,INDEX(R$3,1,1),Dados!$A:$A,INDEX($D:$E,MATCH("J",$D:$D,0),2))/COUNTIFS(Dados!$E:$E,$B178,Dados!$C:$C,INDEX(R$3,1,1),Dados!$A:$A,INDEX($D:$E,MATCH("J",$D:$D,0),2)))</f>
        <v/>
      </c>
      <c r="S178" s="68" t="str">
        <f ca="1">IF(COUNTIFS(Dados!$E:$E,$B178,Dados!$C:$C,INDEX(S$3,1,1),Dados!$A:$A,INDEX($D:$E,MATCH("J",$D:$D,0),2))=0,"",SUMIFS(Dados!$G:$G,Dados!$E:$E,$B178,Dados!$C:$C,INDEX(S$3,1,1),Dados!$A:$A,INDEX($D:$E,MATCH("J",$D:$D,0),2))/COUNTIFS(Dados!$E:$E,$B178,Dados!$C:$C,INDEX(S$3,1,1),Dados!$A:$A,INDEX($D:$E,MATCH("J",$D:$D,0),2)))</f>
        <v/>
      </c>
      <c r="T178" s="68" t="str">
        <f ca="1">IF(COUNTIFS(Dados!$E:$E,$B178,Dados!$C:$C,INDEX(T$3,1,1),Dados!$A:$A,INDEX($D:$E,MATCH("J",$D:$D,0),2))=0,"",SUMIFS(Dados!$G:$G,Dados!$E:$E,$B178,Dados!$C:$C,INDEX(T$3,1,1),Dados!$A:$A,INDEX($D:$E,MATCH("J",$D:$D,0),2))/COUNTIFS(Dados!$E:$E,$B178,Dados!$C:$C,INDEX(T$3,1,1),Dados!$A:$A,INDEX($D:$E,MATCH("J",$D:$D,0),2)))</f>
        <v/>
      </c>
      <c r="U178" s="68" t="str">
        <f ca="1">IF(COUNTIFS(Dados!$E:$E,$B178,Dados!$C:$C,INDEX(U$3,1,1),Dados!$A:$A,INDEX($D:$E,MATCH("J",$D:$D,0),2))=0,"",SUMIFS(Dados!$G:$G,Dados!$E:$E,$B178,Dados!$C:$C,INDEX(U$3,1,1),Dados!$A:$A,INDEX($D:$E,MATCH("J",$D:$D,0),2))/COUNTIFS(Dados!$E:$E,$B178,Dados!$C:$C,INDEX(U$3,1,1),Dados!$A:$A,INDEX($D:$E,MATCH("J",$D:$D,0),2)))</f>
        <v/>
      </c>
      <c r="V178" s="68" t="str">
        <f ca="1">IF(COUNTIFS(Dados!$E:$E,$B178,Dados!$C:$C,INDEX(V$3,1,1),Dados!$A:$A,INDEX($D:$E,MATCH("J",$D:$D,0),2))=0,"",SUMIFS(Dados!$G:$G,Dados!$E:$E,$B178,Dados!$C:$C,INDEX(V$3,1,1),Dados!$A:$A,INDEX($D:$E,MATCH("J",$D:$D,0),2))/COUNTIFS(Dados!$E:$E,$B178,Dados!$C:$C,INDEX(V$3,1,1),Dados!$A:$A,INDEX($D:$E,MATCH("J",$D:$D,0),2)))</f>
        <v/>
      </c>
    </row>
    <row r="179" spans="2:22" x14ac:dyDescent="0.25">
      <c r="B179" s="65" t="s">
        <v>32</v>
      </c>
      <c r="C179" s="72">
        <f>VLOOKUP(B179,B4:C22,2,0)</f>
        <v>8</v>
      </c>
      <c r="D179" s="66" t="str">
        <f ca="1">IF(COUNTIFS(Dados!$E:$E,$B179,Dados!$C:$C,INDEX(D$3,1,1),Dados!$A:$A,INDEX($D:$E,MATCH("J",$D:$D,0),2))=0,"",SUMIFS(Dados!$G:$G,Dados!$E:$E,$B179,Dados!$C:$C,INDEX(D$3,1,1),Dados!$A:$A,INDEX($D:$E,MATCH("J",$D:$D,0),2))/COUNTIFS(Dados!$E:$E,$B179,Dados!$C:$C,INDEX(D$3,1,1),Dados!$A:$A,INDEX($D:$E,MATCH("J",$D:$D,0),2)))</f>
        <v/>
      </c>
      <c r="E179" s="66" t="str">
        <f ca="1">IF(COUNTIFS(Dados!$E:$E,$B179,Dados!$C:$C,INDEX(E$3,1,1),Dados!$A:$A,INDEX($D:$E,MATCH("J",$D:$D,0),2))=0,"",SUMIFS(Dados!$G:$G,Dados!$E:$E,$B179,Dados!$C:$C,INDEX(E$3,1,1),Dados!$A:$A,INDEX($D:$E,MATCH("J",$D:$D,0),2))/COUNTIFS(Dados!$E:$E,$B179,Dados!$C:$C,INDEX(E$3,1,1),Dados!$A:$A,INDEX($D:$E,MATCH("J",$D:$D,0),2)))</f>
        <v/>
      </c>
      <c r="F179" s="66" t="str">
        <f ca="1">IF(COUNTIFS(Dados!$E:$E,$B179,Dados!$C:$C,INDEX(F$3,1,1),Dados!$A:$A,INDEX($D:$E,MATCH("J",$D:$D,0),2))=0,"",SUMIFS(Dados!$G:$G,Dados!$E:$E,$B179,Dados!$C:$C,INDEX(F$3,1,1),Dados!$A:$A,INDEX($D:$E,MATCH("J",$D:$D,0),2))/COUNTIFS(Dados!$E:$E,$B179,Dados!$C:$C,INDEX(F$3,1,1),Dados!$A:$A,INDEX($D:$E,MATCH("J",$D:$D,0),2)))</f>
        <v/>
      </c>
      <c r="G179" s="66" t="str">
        <f ca="1">IF(COUNTIFS(Dados!$E:$E,$B179,Dados!$C:$C,INDEX(G$3,1,1),Dados!$A:$A,INDEX($D:$E,MATCH("J",$D:$D,0),2))=0,"",SUMIFS(Dados!$G:$G,Dados!$E:$E,$B179,Dados!$C:$C,INDEX(G$3,1,1),Dados!$A:$A,INDEX($D:$E,MATCH("J",$D:$D,0),2))/COUNTIFS(Dados!$E:$E,$B179,Dados!$C:$C,INDEX(G$3,1,1),Dados!$A:$A,INDEX($D:$E,MATCH("J",$D:$D,0),2)))</f>
        <v/>
      </c>
      <c r="H179" s="66" t="str">
        <f ca="1">IF(COUNTIFS(Dados!$E:$E,$B179,Dados!$C:$C,INDEX(H$3,1,1),Dados!$A:$A,INDEX($D:$E,MATCH("J",$D:$D,0),2))=0,"",SUMIFS(Dados!$G:$G,Dados!$E:$E,$B179,Dados!$C:$C,INDEX(H$3,1,1),Dados!$A:$A,INDEX($D:$E,MATCH("J",$D:$D,0),2))/COUNTIFS(Dados!$E:$E,$B179,Dados!$C:$C,INDEX(H$3,1,1),Dados!$A:$A,INDEX($D:$E,MATCH("J",$D:$D,0),2)))</f>
        <v/>
      </c>
      <c r="I179" s="66" t="str">
        <f ca="1">IF(COUNTIFS(Dados!$E:$E,$B179,Dados!$C:$C,INDEX(I$3,1,1),Dados!$A:$A,INDEX($D:$E,MATCH("J",$D:$D,0),2))=0,"",SUMIFS(Dados!$G:$G,Dados!$E:$E,$B179,Dados!$C:$C,INDEX(I$3,1,1),Dados!$A:$A,INDEX($D:$E,MATCH("J",$D:$D,0),2))/COUNTIFS(Dados!$E:$E,$B179,Dados!$C:$C,INDEX(I$3,1,1),Dados!$A:$A,INDEX($D:$E,MATCH("J",$D:$D,0),2)))</f>
        <v/>
      </c>
      <c r="J179" s="66" t="str">
        <f ca="1">IF(COUNTIFS(Dados!$E:$E,$B179,Dados!$C:$C,INDEX(J$3,1,1),Dados!$A:$A,INDEX($D:$E,MATCH("J",$D:$D,0),2))=0,"",SUMIFS(Dados!$G:$G,Dados!$E:$E,$B179,Dados!$C:$C,INDEX(J$3,1,1),Dados!$A:$A,INDEX($D:$E,MATCH("J",$D:$D,0),2))/COUNTIFS(Dados!$E:$E,$B179,Dados!$C:$C,INDEX(J$3,1,1),Dados!$A:$A,INDEX($D:$E,MATCH("J",$D:$D,0),2)))</f>
        <v/>
      </c>
      <c r="K179" s="66" t="str">
        <f ca="1">IF(COUNTIFS(Dados!$E:$E,$B179,Dados!$C:$C,INDEX(K$3,1,1),Dados!$A:$A,INDEX($D:$E,MATCH("J",$D:$D,0),2))=0,"",SUMIFS(Dados!$G:$G,Dados!$E:$E,$B179,Dados!$C:$C,INDEX(K$3,1,1),Dados!$A:$A,INDEX($D:$E,MATCH("J",$D:$D,0),2))/COUNTIFS(Dados!$E:$E,$B179,Dados!$C:$C,INDEX(K$3,1,1),Dados!$A:$A,INDEX($D:$E,MATCH("J",$D:$D,0),2)))</f>
        <v/>
      </c>
      <c r="L179" s="66" t="str">
        <f ca="1">IF(COUNTIFS(Dados!$E:$E,$B179,Dados!$C:$C,INDEX(L$3,1,1),Dados!$A:$A,INDEX($D:$E,MATCH("J",$D:$D,0),2))=0,"",SUMIFS(Dados!$G:$G,Dados!$E:$E,$B179,Dados!$C:$C,INDEX(L$3,1,1),Dados!$A:$A,INDEX($D:$E,MATCH("J",$D:$D,0),2))/COUNTIFS(Dados!$E:$E,$B179,Dados!$C:$C,INDEX(L$3,1,1),Dados!$A:$A,INDEX($D:$E,MATCH("J",$D:$D,0),2)))</f>
        <v/>
      </c>
      <c r="M179" s="66" t="str">
        <f ca="1">IF(COUNTIFS(Dados!$E:$E,$B179,Dados!$C:$C,INDEX(M$3,1,1),Dados!$A:$A,INDEX($D:$E,MATCH("J",$D:$D,0),2))=0,"",SUMIFS(Dados!$G:$G,Dados!$E:$E,$B179,Dados!$C:$C,INDEX(M$3,1,1),Dados!$A:$A,INDEX($D:$E,MATCH("J",$D:$D,0),2))/COUNTIFS(Dados!$E:$E,$B179,Dados!$C:$C,INDEX(M$3,1,1),Dados!$A:$A,INDEX($D:$E,MATCH("J",$D:$D,0),2)))</f>
        <v/>
      </c>
      <c r="N179" s="66" t="str">
        <f ca="1">IF(COUNTIFS(Dados!$E:$E,$B179,Dados!$C:$C,INDEX(N$3,1,1),Dados!$A:$A,INDEX($D:$E,MATCH("J",$D:$D,0),2))=0,"",SUMIFS(Dados!$G:$G,Dados!$E:$E,$B179,Dados!$C:$C,INDEX(N$3,1,1),Dados!$A:$A,INDEX($D:$E,MATCH("J",$D:$D,0),2))/COUNTIFS(Dados!$E:$E,$B179,Dados!$C:$C,INDEX(N$3,1,1),Dados!$A:$A,INDEX($D:$E,MATCH("J",$D:$D,0),2)))</f>
        <v/>
      </c>
      <c r="O179" s="66" t="str">
        <f ca="1">IF(COUNTIFS(Dados!$E:$E,$B179,Dados!$C:$C,INDEX(O$3,1,1),Dados!$A:$A,INDEX($D:$E,MATCH("J",$D:$D,0),2))=0,"",SUMIFS(Dados!$G:$G,Dados!$E:$E,$B179,Dados!$C:$C,INDEX(O$3,1,1),Dados!$A:$A,INDEX($D:$E,MATCH("J",$D:$D,0),2))/COUNTIFS(Dados!$E:$E,$B179,Dados!$C:$C,INDEX(O$3,1,1),Dados!$A:$A,INDEX($D:$E,MATCH("J",$D:$D,0),2)))</f>
        <v/>
      </c>
      <c r="P179" s="66" t="str">
        <f ca="1">IF(COUNTIFS(Dados!$E:$E,$B179,Dados!$C:$C,INDEX(P$3,1,1),Dados!$A:$A,INDEX($D:$E,MATCH("J",$D:$D,0),2))=0,"",SUMIFS(Dados!$G:$G,Dados!$E:$E,$B179,Dados!$C:$C,INDEX(P$3,1,1),Dados!$A:$A,INDEX($D:$E,MATCH("J",$D:$D,0),2))/COUNTIFS(Dados!$E:$E,$B179,Dados!$C:$C,INDEX(P$3,1,1),Dados!$A:$A,INDEX($D:$E,MATCH("J",$D:$D,0),2)))</f>
        <v/>
      </c>
      <c r="Q179" s="66" t="str">
        <f ca="1">IF(COUNTIFS(Dados!$E:$E,$B179,Dados!$C:$C,INDEX(Q$3,1,1),Dados!$A:$A,INDEX($D:$E,MATCH("J",$D:$D,0),2))=0,"",SUMIFS(Dados!$G:$G,Dados!$E:$E,$B179,Dados!$C:$C,INDEX(Q$3,1,1),Dados!$A:$A,INDEX($D:$E,MATCH("J",$D:$D,0),2))/COUNTIFS(Dados!$E:$E,$B179,Dados!$C:$C,INDEX(Q$3,1,1),Dados!$A:$A,INDEX($D:$E,MATCH("J",$D:$D,0),2)))</f>
        <v/>
      </c>
      <c r="R179" s="66" t="str">
        <f ca="1">IF(COUNTIFS(Dados!$E:$E,$B179,Dados!$C:$C,INDEX(R$3,1,1),Dados!$A:$A,INDEX($D:$E,MATCH("J",$D:$D,0),2))=0,"",SUMIFS(Dados!$G:$G,Dados!$E:$E,$B179,Dados!$C:$C,INDEX(R$3,1,1),Dados!$A:$A,INDEX($D:$E,MATCH("J",$D:$D,0),2))/COUNTIFS(Dados!$E:$E,$B179,Dados!$C:$C,INDEX(R$3,1,1),Dados!$A:$A,INDEX($D:$E,MATCH("J",$D:$D,0),2)))</f>
        <v/>
      </c>
      <c r="S179" s="66" t="str">
        <f ca="1">IF(COUNTIFS(Dados!$E:$E,$B179,Dados!$C:$C,INDEX(S$3,1,1),Dados!$A:$A,INDEX($D:$E,MATCH("J",$D:$D,0),2))=0,"",SUMIFS(Dados!$G:$G,Dados!$E:$E,$B179,Dados!$C:$C,INDEX(S$3,1,1),Dados!$A:$A,INDEX($D:$E,MATCH("J",$D:$D,0),2))/COUNTIFS(Dados!$E:$E,$B179,Dados!$C:$C,INDEX(S$3,1,1),Dados!$A:$A,INDEX($D:$E,MATCH("J",$D:$D,0),2)))</f>
        <v/>
      </c>
      <c r="T179" s="66" t="str">
        <f ca="1">IF(COUNTIFS(Dados!$E:$E,$B179,Dados!$C:$C,INDEX(T$3,1,1),Dados!$A:$A,INDEX($D:$E,MATCH("J",$D:$D,0),2))=0,"",SUMIFS(Dados!$G:$G,Dados!$E:$E,$B179,Dados!$C:$C,INDEX(T$3,1,1),Dados!$A:$A,INDEX($D:$E,MATCH("J",$D:$D,0),2))/COUNTIFS(Dados!$E:$E,$B179,Dados!$C:$C,INDEX(T$3,1,1),Dados!$A:$A,INDEX($D:$E,MATCH("J",$D:$D,0),2)))</f>
        <v/>
      </c>
      <c r="U179" s="66" t="str">
        <f ca="1">IF(COUNTIFS(Dados!$E:$E,$B179,Dados!$C:$C,INDEX(U$3,1,1),Dados!$A:$A,INDEX($D:$E,MATCH("J",$D:$D,0),2))=0,"",SUMIFS(Dados!$G:$G,Dados!$E:$E,$B179,Dados!$C:$C,INDEX(U$3,1,1),Dados!$A:$A,INDEX($D:$E,MATCH("J",$D:$D,0),2))/COUNTIFS(Dados!$E:$E,$B179,Dados!$C:$C,INDEX(U$3,1,1),Dados!$A:$A,INDEX($D:$E,MATCH("J",$D:$D,0),2)))</f>
        <v/>
      </c>
      <c r="V179" s="66" t="str">
        <f ca="1">IF(COUNTIFS(Dados!$E:$E,$B179,Dados!$C:$C,INDEX(V$3,1,1),Dados!$A:$A,INDEX($D:$E,MATCH("J",$D:$D,0),2))=0,"",SUMIFS(Dados!$G:$G,Dados!$E:$E,$B179,Dados!$C:$C,INDEX(V$3,1,1),Dados!$A:$A,INDEX($D:$E,MATCH("J",$D:$D,0),2))/COUNTIFS(Dados!$E:$E,$B179,Dados!$C:$C,INDEX(V$3,1,1),Dados!$A:$A,INDEX($D:$E,MATCH("J",$D:$D,0),2)))</f>
        <v/>
      </c>
    </row>
    <row r="180" spans="2:22" x14ac:dyDescent="0.25">
      <c r="B180" s="67" t="s">
        <v>44</v>
      </c>
      <c r="C180" s="71">
        <f>VLOOKUP(B180,B4:C22,2,0)</f>
        <v>9</v>
      </c>
      <c r="D180" s="68" t="str">
        <f ca="1">IF(COUNTIFS(Dados!$E:$E,$B180,Dados!$C:$C,INDEX(D$3,1,1),Dados!$A:$A,INDEX($D:$E,MATCH("J",$D:$D,0),2))=0,"",SUMIFS(Dados!$G:$G,Dados!$E:$E,$B180,Dados!$C:$C,INDEX(D$3,1,1),Dados!$A:$A,INDEX($D:$E,MATCH("J",$D:$D,0),2))/COUNTIFS(Dados!$E:$E,$B180,Dados!$C:$C,INDEX(D$3,1,1),Dados!$A:$A,INDEX($D:$E,MATCH("J",$D:$D,0),2)))</f>
        <v/>
      </c>
      <c r="E180" s="68" t="str">
        <f ca="1">IF(COUNTIFS(Dados!$E:$E,$B180,Dados!$C:$C,INDEX(E$3,1,1),Dados!$A:$A,INDEX($D:$E,MATCH("J",$D:$D,0),2))=0,"",SUMIFS(Dados!$G:$G,Dados!$E:$E,$B180,Dados!$C:$C,INDEX(E$3,1,1),Dados!$A:$A,INDEX($D:$E,MATCH("J",$D:$D,0),2))/COUNTIFS(Dados!$E:$E,$B180,Dados!$C:$C,INDEX(E$3,1,1),Dados!$A:$A,INDEX($D:$E,MATCH("J",$D:$D,0),2)))</f>
        <v/>
      </c>
      <c r="F180" s="68" t="str">
        <f ca="1">IF(COUNTIFS(Dados!$E:$E,$B180,Dados!$C:$C,INDEX(F$3,1,1),Dados!$A:$A,INDEX($D:$E,MATCH("J",$D:$D,0),2))=0,"",SUMIFS(Dados!$G:$G,Dados!$E:$E,$B180,Dados!$C:$C,INDEX(F$3,1,1),Dados!$A:$A,INDEX($D:$E,MATCH("J",$D:$D,0),2))/COUNTIFS(Dados!$E:$E,$B180,Dados!$C:$C,INDEX(F$3,1,1),Dados!$A:$A,INDEX($D:$E,MATCH("J",$D:$D,0),2)))</f>
        <v/>
      </c>
      <c r="G180" s="68" t="str">
        <f ca="1">IF(COUNTIFS(Dados!$E:$E,$B180,Dados!$C:$C,INDEX(G$3,1,1),Dados!$A:$A,INDEX($D:$E,MATCH("J",$D:$D,0),2))=0,"",SUMIFS(Dados!$G:$G,Dados!$E:$E,$B180,Dados!$C:$C,INDEX(G$3,1,1),Dados!$A:$A,INDEX($D:$E,MATCH("J",$D:$D,0),2))/COUNTIFS(Dados!$E:$E,$B180,Dados!$C:$C,INDEX(G$3,1,1),Dados!$A:$A,INDEX($D:$E,MATCH("J",$D:$D,0),2)))</f>
        <v/>
      </c>
      <c r="H180" s="68" t="str">
        <f ca="1">IF(COUNTIFS(Dados!$E:$E,$B180,Dados!$C:$C,INDEX(H$3,1,1),Dados!$A:$A,INDEX($D:$E,MATCH("J",$D:$D,0),2))=0,"",SUMIFS(Dados!$G:$G,Dados!$E:$E,$B180,Dados!$C:$C,INDEX(H$3,1,1),Dados!$A:$A,INDEX($D:$E,MATCH("J",$D:$D,0),2))/COUNTIFS(Dados!$E:$E,$B180,Dados!$C:$C,INDEX(H$3,1,1),Dados!$A:$A,INDEX($D:$E,MATCH("J",$D:$D,0),2)))</f>
        <v/>
      </c>
      <c r="I180" s="68" t="str">
        <f ca="1">IF(COUNTIFS(Dados!$E:$E,$B180,Dados!$C:$C,INDEX(I$3,1,1),Dados!$A:$A,INDEX($D:$E,MATCH("J",$D:$D,0),2))=0,"",SUMIFS(Dados!$G:$G,Dados!$E:$E,$B180,Dados!$C:$C,INDEX(I$3,1,1),Dados!$A:$A,INDEX($D:$E,MATCH("J",$D:$D,0),2))/COUNTIFS(Dados!$E:$E,$B180,Dados!$C:$C,INDEX(I$3,1,1),Dados!$A:$A,INDEX($D:$E,MATCH("J",$D:$D,0),2)))</f>
        <v/>
      </c>
      <c r="J180" s="68" t="str">
        <f ca="1">IF(COUNTIFS(Dados!$E:$E,$B180,Dados!$C:$C,INDEX(J$3,1,1),Dados!$A:$A,INDEX($D:$E,MATCH("J",$D:$D,0),2))=0,"",SUMIFS(Dados!$G:$G,Dados!$E:$E,$B180,Dados!$C:$C,INDEX(J$3,1,1),Dados!$A:$A,INDEX($D:$E,MATCH("J",$D:$D,0),2))/COUNTIFS(Dados!$E:$E,$B180,Dados!$C:$C,INDEX(J$3,1,1),Dados!$A:$A,INDEX($D:$E,MATCH("J",$D:$D,0),2)))</f>
        <v/>
      </c>
      <c r="K180" s="68" t="str">
        <f ca="1">IF(COUNTIFS(Dados!$E:$E,$B180,Dados!$C:$C,INDEX(K$3,1,1),Dados!$A:$A,INDEX($D:$E,MATCH("J",$D:$D,0),2))=0,"",SUMIFS(Dados!$G:$G,Dados!$E:$E,$B180,Dados!$C:$C,INDEX(K$3,1,1),Dados!$A:$A,INDEX($D:$E,MATCH("J",$D:$D,0),2))/COUNTIFS(Dados!$E:$E,$B180,Dados!$C:$C,INDEX(K$3,1,1),Dados!$A:$A,INDEX($D:$E,MATCH("J",$D:$D,0),2)))</f>
        <v/>
      </c>
      <c r="L180" s="68" t="str">
        <f ca="1">IF(COUNTIFS(Dados!$E:$E,$B180,Dados!$C:$C,INDEX(L$3,1,1),Dados!$A:$A,INDEX($D:$E,MATCH("J",$D:$D,0),2))=0,"",SUMIFS(Dados!$G:$G,Dados!$E:$E,$B180,Dados!$C:$C,INDEX(L$3,1,1),Dados!$A:$A,INDEX($D:$E,MATCH("J",$D:$D,0),2))/COUNTIFS(Dados!$E:$E,$B180,Dados!$C:$C,INDEX(L$3,1,1),Dados!$A:$A,INDEX($D:$E,MATCH("J",$D:$D,0),2)))</f>
        <v/>
      </c>
      <c r="M180" s="68" t="str">
        <f ca="1">IF(COUNTIFS(Dados!$E:$E,$B180,Dados!$C:$C,INDEX(M$3,1,1),Dados!$A:$A,INDEX($D:$E,MATCH("J",$D:$D,0),2))=0,"",SUMIFS(Dados!$G:$G,Dados!$E:$E,$B180,Dados!$C:$C,INDEX(M$3,1,1),Dados!$A:$A,INDEX($D:$E,MATCH("J",$D:$D,0),2))/COUNTIFS(Dados!$E:$E,$B180,Dados!$C:$C,INDEX(M$3,1,1),Dados!$A:$A,INDEX($D:$E,MATCH("J",$D:$D,0),2)))</f>
        <v/>
      </c>
      <c r="N180" s="68" t="str">
        <f ca="1">IF(COUNTIFS(Dados!$E:$E,$B180,Dados!$C:$C,INDEX(N$3,1,1),Dados!$A:$A,INDEX($D:$E,MATCH("J",$D:$D,0),2))=0,"",SUMIFS(Dados!$G:$G,Dados!$E:$E,$B180,Dados!$C:$C,INDEX(N$3,1,1),Dados!$A:$A,INDEX($D:$E,MATCH("J",$D:$D,0),2))/COUNTIFS(Dados!$E:$E,$B180,Dados!$C:$C,INDEX(N$3,1,1),Dados!$A:$A,INDEX($D:$E,MATCH("J",$D:$D,0),2)))</f>
        <v/>
      </c>
      <c r="O180" s="68" t="str">
        <f ca="1">IF(COUNTIFS(Dados!$E:$E,$B180,Dados!$C:$C,INDEX(O$3,1,1),Dados!$A:$A,INDEX($D:$E,MATCH("J",$D:$D,0),2))=0,"",SUMIFS(Dados!$G:$G,Dados!$E:$E,$B180,Dados!$C:$C,INDEX(O$3,1,1),Dados!$A:$A,INDEX($D:$E,MATCH("J",$D:$D,0),2))/COUNTIFS(Dados!$E:$E,$B180,Dados!$C:$C,INDEX(O$3,1,1),Dados!$A:$A,INDEX($D:$E,MATCH("J",$D:$D,0),2)))</f>
        <v/>
      </c>
      <c r="P180" s="68" t="str">
        <f ca="1">IF(COUNTIFS(Dados!$E:$E,$B180,Dados!$C:$C,INDEX(P$3,1,1),Dados!$A:$A,INDEX($D:$E,MATCH("J",$D:$D,0),2))=0,"",SUMIFS(Dados!$G:$G,Dados!$E:$E,$B180,Dados!$C:$C,INDEX(P$3,1,1),Dados!$A:$A,INDEX($D:$E,MATCH("J",$D:$D,0),2))/COUNTIFS(Dados!$E:$E,$B180,Dados!$C:$C,INDEX(P$3,1,1),Dados!$A:$A,INDEX($D:$E,MATCH("J",$D:$D,0),2)))</f>
        <v/>
      </c>
      <c r="Q180" s="68" t="str">
        <f ca="1">IF(COUNTIFS(Dados!$E:$E,$B180,Dados!$C:$C,INDEX(Q$3,1,1),Dados!$A:$A,INDEX($D:$E,MATCH("J",$D:$D,0),2))=0,"",SUMIFS(Dados!$G:$G,Dados!$E:$E,$B180,Dados!$C:$C,INDEX(Q$3,1,1),Dados!$A:$A,INDEX($D:$E,MATCH("J",$D:$D,0),2))/COUNTIFS(Dados!$E:$E,$B180,Dados!$C:$C,INDEX(Q$3,1,1),Dados!$A:$A,INDEX($D:$E,MATCH("J",$D:$D,0),2)))</f>
        <v/>
      </c>
      <c r="R180" s="68" t="str">
        <f ca="1">IF(COUNTIFS(Dados!$E:$E,$B180,Dados!$C:$C,INDEX(R$3,1,1),Dados!$A:$A,INDEX($D:$E,MATCH("J",$D:$D,0),2))=0,"",SUMIFS(Dados!$G:$G,Dados!$E:$E,$B180,Dados!$C:$C,INDEX(R$3,1,1),Dados!$A:$A,INDEX($D:$E,MATCH("J",$D:$D,0),2))/COUNTIFS(Dados!$E:$E,$B180,Dados!$C:$C,INDEX(R$3,1,1),Dados!$A:$A,INDEX($D:$E,MATCH("J",$D:$D,0),2)))</f>
        <v/>
      </c>
      <c r="S180" s="68" t="str">
        <f ca="1">IF(COUNTIFS(Dados!$E:$E,$B180,Dados!$C:$C,INDEX(S$3,1,1),Dados!$A:$A,INDEX($D:$E,MATCH("J",$D:$D,0),2))=0,"",SUMIFS(Dados!$G:$G,Dados!$E:$E,$B180,Dados!$C:$C,INDEX(S$3,1,1),Dados!$A:$A,INDEX($D:$E,MATCH("J",$D:$D,0),2))/COUNTIFS(Dados!$E:$E,$B180,Dados!$C:$C,INDEX(S$3,1,1),Dados!$A:$A,INDEX($D:$E,MATCH("J",$D:$D,0),2)))</f>
        <v/>
      </c>
      <c r="T180" s="68" t="str">
        <f ca="1">IF(COUNTIFS(Dados!$E:$E,$B180,Dados!$C:$C,INDEX(T$3,1,1),Dados!$A:$A,INDEX($D:$E,MATCH("J",$D:$D,0),2))=0,"",SUMIFS(Dados!$G:$G,Dados!$E:$E,$B180,Dados!$C:$C,INDEX(T$3,1,1),Dados!$A:$A,INDEX($D:$E,MATCH("J",$D:$D,0),2))/COUNTIFS(Dados!$E:$E,$B180,Dados!$C:$C,INDEX(T$3,1,1),Dados!$A:$A,INDEX($D:$E,MATCH("J",$D:$D,0),2)))</f>
        <v/>
      </c>
      <c r="U180" s="68" t="str">
        <f ca="1">IF(COUNTIFS(Dados!$E:$E,$B180,Dados!$C:$C,INDEX(U$3,1,1),Dados!$A:$A,INDEX($D:$E,MATCH("J",$D:$D,0),2))=0,"",SUMIFS(Dados!$G:$G,Dados!$E:$E,$B180,Dados!$C:$C,INDEX(U$3,1,1),Dados!$A:$A,INDEX($D:$E,MATCH("J",$D:$D,0),2))/COUNTIFS(Dados!$E:$E,$B180,Dados!$C:$C,INDEX(U$3,1,1),Dados!$A:$A,INDEX($D:$E,MATCH("J",$D:$D,0),2)))</f>
        <v/>
      </c>
      <c r="V180" s="68" t="str">
        <f ca="1">IF(COUNTIFS(Dados!$E:$E,$B180,Dados!$C:$C,INDEX(V$3,1,1),Dados!$A:$A,INDEX($D:$E,MATCH("J",$D:$D,0),2))=0,"",SUMIFS(Dados!$G:$G,Dados!$E:$E,$B180,Dados!$C:$C,INDEX(V$3,1,1),Dados!$A:$A,INDEX($D:$E,MATCH("J",$D:$D,0),2))/COUNTIFS(Dados!$E:$E,$B180,Dados!$C:$C,INDEX(V$3,1,1),Dados!$A:$A,INDEX($D:$E,MATCH("J",$D:$D,0),2)))</f>
        <v/>
      </c>
    </row>
    <row r="181" spans="2:22" x14ac:dyDescent="0.25">
      <c r="B181" s="65" t="s">
        <v>147</v>
      </c>
      <c r="C181" s="72">
        <f>VLOOKUP(B181,B4:C22,2,0)</f>
        <v>10</v>
      </c>
      <c r="D181" s="66" t="str">
        <f ca="1">IF(COUNTIFS(Dados!$E:$E,$B181,Dados!$C:$C,INDEX(D$3,1,1),Dados!$A:$A,INDEX($D:$E,MATCH("J",$D:$D,0),2))=0,"",SUMIFS(Dados!$G:$G,Dados!$E:$E,$B181,Dados!$C:$C,INDEX(D$3,1,1),Dados!$A:$A,INDEX($D:$E,MATCH("J",$D:$D,0),2))/COUNTIFS(Dados!$E:$E,$B181,Dados!$C:$C,INDEX(D$3,1,1),Dados!$A:$A,INDEX($D:$E,MATCH("J",$D:$D,0),2)))</f>
        <v/>
      </c>
      <c r="E181" s="66" t="str">
        <f ca="1">IF(COUNTIFS(Dados!$E:$E,$B181,Dados!$C:$C,INDEX(E$3,1,1),Dados!$A:$A,INDEX($D:$E,MATCH("J",$D:$D,0),2))=0,"",SUMIFS(Dados!$G:$G,Dados!$E:$E,$B181,Dados!$C:$C,INDEX(E$3,1,1),Dados!$A:$A,INDEX($D:$E,MATCH("J",$D:$D,0),2))/COUNTIFS(Dados!$E:$E,$B181,Dados!$C:$C,INDEX(E$3,1,1),Dados!$A:$A,INDEX($D:$E,MATCH("J",$D:$D,0),2)))</f>
        <v/>
      </c>
      <c r="F181" s="66" t="str">
        <f ca="1">IF(COUNTIFS(Dados!$E:$E,$B181,Dados!$C:$C,INDEX(F$3,1,1),Dados!$A:$A,INDEX($D:$E,MATCH("J",$D:$D,0),2))=0,"",SUMIFS(Dados!$G:$G,Dados!$E:$E,$B181,Dados!$C:$C,INDEX(F$3,1,1),Dados!$A:$A,INDEX($D:$E,MATCH("J",$D:$D,0),2))/COUNTIFS(Dados!$E:$E,$B181,Dados!$C:$C,INDEX(F$3,1,1),Dados!$A:$A,INDEX($D:$E,MATCH("J",$D:$D,0),2)))</f>
        <v/>
      </c>
      <c r="G181" s="66" t="str">
        <f ca="1">IF(COUNTIFS(Dados!$E:$E,$B181,Dados!$C:$C,INDEX(G$3,1,1),Dados!$A:$A,INDEX($D:$E,MATCH("J",$D:$D,0),2))=0,"",SUMIFS(Dados!$G:$G,Dados!$E:$E,$B181,Dados!$C:$C,INDEX(G$3,1,1),Dados!$A:$A,INDEX($D:$E,MATCH("J",$D:$D,0),2))/COUNTIFS(Dados!$E:$E,$B181,Dados!$C:$C,INDEX(G$3,1,1),Dados!$A:$A,INDEX($D:$E,MATCH("J",$D:$D,0),2)))</f>
        <v/>
      </c>
      <c r="H181" s="66" t="str">
        <f ca="1">IF(COUNTIFS(Dados!$E:$E,$B181,Dados!$C:$C,INDEX(H$3,1,1),Dados!$A:$A,INDEX($D:$E,MATCH("J",$D:$D,0),2))=0,"",SUMIFS(Dados!$G:$G,Dados!$E:$E,$B181,Dados!$C:$C,INDEX(H$3,1,1),Dados!$A:$A,INDEX($D:$E,MATCH("J",$D:$D,0),2))/COUNTIFS(Dados!$E:$E,$B181,Dados!$C:$C,INDEX(H$3,1,1),Dados!$A:$A,INDEX($D:$E,MATCH("J",$D:$D,0),2)))</f>
        <v/>
      </c>
      <c r="I181" s="66" t="str">
        <f ca="1">IF(COUNTIFS(Dados!$E:$E,$B181,Dados!$C:$C,INDEX(I$3,1,1),Dados!$A:$A,INDEX($D:$E,MATCH("J",$D:$D,0),2))=0,"",SUMIFS(Dados!$G:$G,Dados!$E:$E,$B181,Dados!$C:$C,INDEX(I$3,1,1),Dados!$A:$A,INDEX($D:$E,MATCH("J",$D:$D,0),2))/COUNTIFS(Dados!$E:$E,$B181,Dados!$C:$C,INDEX(I$3,1,1),Dados!$A:$A,INDEX($D:$E,MATCH("J",$D:$D,0),2)))</f>
        <v/>
      </c>
      <c r="J181" s="66" t="str">
        <f ca="1">IF(COUNTIFS(Dados!$E:$E,$B181,Dados!$C:$C,INDEX(J$3,1,1),Dados!$A:$A,INDEX($D:$E,MATCH("J",$D:$D,0),2))=0,"",SUMIFS(Dados!$G:$G,Dados!$E:$E,$B181,Dados!$C:$C,INDEX(J$3,1,1),Dados!$A:$A,INDEX($D:$E,MATCH("J",$D:$D,0),2))/COUNTIFS(Dados!$E:$E,$B181,Dados!$C:$C,INDEX(J$3,1,1),Dados!$A:$A,INDEX($D:$E,MATCH("J",$D:$D,0),2)))</f>
        <v/>
      </c>
      <c r="K181" s="66" t="str">
        <f ca="1">IF(COUNTIFS(Dados!$E:$E,$B181,Dados!$C:$C,INDEX(K$3,1,1),Dados!$A:$A,INDEX($D:$E,MATCH("J",$D:$D,0),2))=0,"",SUMIFS(Dados!$G:$G,Dados!$E:$E,$B181,Dados!$C:$C,INDEX(K$3,1,1),Dados!$A:$A,INDEX($D:$E,MATCH("J",$D:$D,0),2))/COUNTIFS(Dados!$E:$E,$B181,Dados!$C:$C,INDEX(K$3,1,1),Dados!$A:$A,INDEX($D:$E,MATCH("J",$D:$D,0),2)))</f>
        <v/>
      </c>
      <c r="L181" s="66" t="str">
        <f ca="1">IF(COUNTIFS(Dados!$E:$E,$B181,Dados!$C:$C,INDEX(L$3,1,1),Dados!$A:$A,INDEX($D:$E,MATCH("J",$D:$D,0),2))=0,"",SUMIFS(Dados!$G:$G,Dados!$E:$E,$B181,Dados!$C:$C,INDEX(L$3,1,1),Dados!$A:$A,INDEX($D:$E,MATCH("J",$D:$D,0),2))/COUNTIFS(Dados!$E:$E,$B181,Dados!$C:$C,INDEX(L$3,1,1),Dados!$A:$A,INDEX($D:$E,MATCH("J",$D:$D,0),2)))</f>
        <v/>
      </c>
      <c r="M181" s="66" t="str">
        <f ca="1">IF(COUNTIFS(Dados!$E:$E,$B181,Dados!$C:$C,INDEX(M$3,1,1),Dados!$A:$A,INDEX($D:$E,MATCH("J",$D:$D,0),2))=0,"",SUMIFS(Dados!$G:$G,Dados!$E:$E,$B181,Dados!$C:$C,INDEX(M$3,1,1),Dados!$A:$A,INDEX($D:$E,MATCH("J",$D:$D,0),2))/COUNTIFS(Dados!$E:$E,$B181,Dados!$C:$C,INDEX(M$3,1,1),Dados!$A:$A,INDEX($D:$E,MATCH("J",$D:$D,0),2)))</f>
        <v/>
      </c>
      <c r="N181" s="66" t="str">
        <f ca="1">IF(COUNTIFS(Dados!$E:$E,$B181,Dados!$C:$C,INDEX(N$3,1,1),Dados!$A:$A,INDEX($D:$E,MATCH("J",$D:$D,0),2))=0,"",SUMIFS(Dados!$G:$G,Dados!$E:$E,$B181,Dados!$C:$C,INDEX(N$3,1,1),Dados!$A:$A,INDEX($D:$E,MATCH("J",$D:$D,0),2))/COUNTIFS(Dados!$E:$E,$B181,Dados!$C:$C,INDEX(N$3,1,1),Dados!$A:$A,INDEX($D:$E,MATCH("J",$D:$D,0),2)))</f>
        <v/>
      </c>
      <c r="O181" s="66" t="str">
        <f ca="1">IF(COUNTIFS(Dados!$E:$E,$B181,Dados!$C:$C,INDEX(O$3,1,1),Dados!$A:$A,INDEX($D:$E,MATCH("J",$D:$D,0),2))=0,"",SUMIFS(Dados!$G:$G,Dados!$E:$E,$B181,Dados!$C:$C,INDEX(O$3,1,1),Dados!$A:$A,INDEX($D:$E,MATCH("J",$D:$D,0),2))/COUNTIFS(Dados!$E:$E,$B181,Dados!$C:$C,INDEX(O$3,1,1),Dados!$A:$A,INDEX($D:$E,MATCH("J",$D:$D,0),2)))</f>
        <v/>
      </c>
      <c r="P181" s="66" t="str">
        <f ca="1">IF(COUNTIFS(Dados!$E:$E,$B181,Dados!$C:$C,INDEX(P$3,1,1),Dados!$A:$A,INDEX($D:$E,MATCH("J",$D:$D,0),2))=0,"",SUMIFS(Dados!$G:$G,Dados!$E:$E,$B181,Dados!$C:$C,INDEX(P$3,1,1),Dados!$A:$A,INDEX($D:$E,MATCH("J",$D:$D,0),2))/COUNTIFS(Dados!$E:$E,$B181,Dados!$C:$C,INDEX(P$3,1,1),Dados!$A:$A,INDEX($D:$E,MATCH("J",$D:$D,0),2)))</f>
        <v/>
      </c>
      <c r="Q181" s="66" t="str">
        <f ca="1">IF(COUNTIFS(Dados!$E:$E,$B181,Dados!$C:$C,INDEX(Q$3,1,1),Dados!$A:$A,INDEX($D:$E,MATCH("J",$D:$D,0),2))=0,"",SUMIFS(Dados!$G:$G,Dados!$E:$E,$B181,Dados!$C:$C,INDEX(Q$3,1,1),Dados!$A:$A,INDEX($D:$E,MATCH("J",$D:$D,0),2))/COUNTIFS(Dados!$E:$E,$B181,Dados!$C:$C,INDEX(Q$3,1,1),Dados!$A:$A,INDEX($D:$E,MATCH("J",$D:$D,0),2)))</f>
        <v/>
      </c>
      <c r="R181" s="66" t="str">
        <f ca="1">IF(COUNTIFS(Dados!$E:$E,$B181,Dados!$C:$C,INDEX(R$3,1,1),Dados!$A:$A,INDEX($D:$E,MATCH("J",$D:$D,0),2))=0,"",SUMIFS(Dados!$G:$G,Dados!$E:$E,$B181,Dados!$C:$C,INDEX(R$3,1,1),Dados!$A:$A,INDEX($D:$E,MATCH("J",$D:$D,0),2))/COUNTIFS(Dados!$E:$E,$B181,Dados!$C:$C,INDEX(R$3,1,1),Dados!$A:$A,INDEX($D:$E,MATCH("J",$D:$D,0),2)))</f>
        <v/>
      </c>
      <c r="S181" s="66" t="str">
        <f ca="1">IF(COUNTIFS(Dados!$E:$E,$B181,Dados!$C:$C,INDEX(S$3,1,1),Dados!$A:$A,INDEX($D:$E,MATCH("J",$D:$D,0),2))=0,"",SUMIFS(Dados!$G:$G,Dados!$E:$E,$B181,Dados!$C:$C,INDEX(S$3,1,1),Dados!$A:$A,INDEX($D:$E,MATCH("J",$D:$D,0),2))/COUNTIFS(Dados!$E:$E,$B181,Dados!$C:$C,INDEX(S$3,1,1),Dados!$A:$A,INDEX($D:$E,MATCH("J",$D:$D,0),2)))</f>
        <v/>
      </c>
      <c r="T181" s="66" t="str">
        <f ca="1">IF(COUNTIFS(Dados!$E:$E,$B181,Dados!$C:$C,INDEX(T$3,1,1),Dados!$A:$A,INDEX($D:$E,MATCH("J",$D:$D,0),2))=0,"",SUMIFS(Dados!$G:$G,Dados!$E:$E,$B181,Dados!$C:$C,INDEX(T$3,1,1),Dados!$A:$A,INDEX($D:$E,MATCH("J",$D:$D,0),2))/COUNTIFS(Dados!$E:$E,$B181,Dados!$C:$C,INDEX(T$3,1,1),Dados!$A:$A,INDEX($D:$E,MATCH("J",$D:$D,0),2)))</f>
        <v/>
      </c>
      <c r="U181" s="66" t="str">
        <f ca="1">IF(COUNTIFS(Dados!$E:$E,$B181,Dados!$C:$C,INDEX(U$3,1,1),Dados!$A:$A,INDEX($D:$E,MATCH("J",$D:$D,0),2))=0,"",SUMIFS(Dados!$G:$G,Dados!$E:$E,$B181,Dados!$C:$C,INDEX(U$3,1,1),Dados!$A:$A,INDEX($D:$E,MATCH("J",$D:$D,0),2))/COUNTIFS(Dados!$E:$E,$B181,Dados!$C:$C,INDEX(U$3,1,1),Dados!$A:$A,INDEX($D:$E,MATCH("J",$D:$D,0),2)))</f>
        <v/>
      </c>
      <c r="V181" s="66" t="str">
        <f ca="1">IF(COUNTIFS(Dados!$E:$E,$B181,Dados!$C:$C,INDEX(V$3,1,1),Dados!$A:$A,INDEX($D:$E,MATCH("J",$D:$D,0),2))=0,"",SUMIFS(Dados!$G:$G,Dados!$E:$E,$B181,Dados!$C:$C,INDEX(V$3,1,1),Dados!$A:$A,INDEX($D:$E,MATCH("J",$D:$D,0),2))/COUNTIFS(Dados!$E:$E,$B181,Dados!$C:$C,INDEX(V$3,1,1),Dados!$A:$A,INDEX($D:$E,MATCH("J",$D:$D,0),2)))</f>
        <v/>
      </c>
    </row>
    <row r="182" spans="2:22" x14ac:dyDescent="0.25">
      <c r="B182" s="67" t="s">
        <v>898</v>
      </c>
      <c r="C182" s="71">
        <f>VLOOKUP(B182,B4:C22,2,0)</f>
        <v>11</v>
      </c>
      <c r="D182" s="68" t="str">
        <f ca="1">IF(COUNTIFS(Dados!$E:$E,$B182,Dados!$C:$C,INDEX(D$3,1,1),Dados!$A:$A,INDEX($D:$E,MATCH("J",$D:$D,0),2))=0,"",SUMIFS(Dados!$G:$G,Dados!$E:$E,$B182,Dados!$C:$C,INDEX(D$3,1,1),Dados!$A:$A,INDEX($D:$E,MATCH("J",$D:$D,0),2))/COUNTIFS(Dados!$E:$E,$B182,Dados!$C:$C,INDEX(D$3,1,1),Dados!$A:$A,INDEX($D:$E,MATCH("J",$D:$D,0),2)))</f>
        <v/>
      </c>
      <c r="E182" s="68" t="str">
        <f ca="1">IF(COUNTIFS(Dados!$E:$E,$B182,Dados!$C:$C,INDEX(E$3,1,1),Dados!$A:$A,INDEX($D:$E,MATCH("J",$D:$D,0),2))=0,"",SUMIFS(Dados!$G:$G,Dados!$E:$E,$B182,Dados!$C:$C,INDEX(E$3,1,1),Dados!$A:$A,INDEX($D:$E,MATCH("J",$D:$D,0),2))/COUNTIFS(Dados!$E:$E,$B182,Dados!$C:$C,INDEX(E$3,1,1),Dados!$A:$A,INDEX($D:$E,MATCH("J",$D:$D,0),2)))</f>
        <v/>
      </c>
      <c r="F182" s="68" t="str">
        <f ca="1">IF(COUNTIFS(Dados!$E:$E,$B182,Dados!$C:$C,INDEX(F$3,1,1),Dados!$A:$A,INDEX($D:$E,MATCH("J",$D:$D,0),2))=0,"",SUMIFS(Dados!$G:$G,Dados!$E:$E,$B182,Dados!$C:$C,INDEX(F$3,1,1),Dados!$A:$A,INDEX($D:$E,MATCH("J",$D:$D,0),2))/COUNTIFS(Dados!$E:$E,$B182,Dados!$C:$C,INDEX(F$3,1,1),Dados!$A:$A,INDEX($D:$E,MATCH("J",$D:$D,0),2)))</f>
        <v/>
      </c>
      <c r="G182" s="68" t="str">
        <f ca="1">IF(COUNTIFS(Dados!$E:$E,$B182,Dados!$C:$C,INDEX(G$3,1,1),Dados!$A:$A,INDEX($D:$E,MATCH("J",$D:$D,0),2))=0,"",SUMIFS(Dados!$G:$G,Dados!$E:$E,$B182,Dados!$C:$C,INDEX(G$3,1,1),Dados!$A:$A,INDEX($D:$E,MATCH("J",$D:$D,0),2))/COUNTIFS(Dados!$E:$E,$B182,Dados!$C:$C,INDEX(G$3,1,1),Dados!$A:$A,INDEX($D:$E,MATCH("J",$D:$D,0),2)))</f>
        <v/>
      </c>
      <c r="H182" s="68" t="str">
        <f ca="1">IF(COUNTIFS(Dados!$E:$E,$B182,Dados!$C:$C,INDEX(H$3,1,1),Dados!$A:$A,INDEX($D:$E,MATCH("J",$D:$D,0),2))=0,"",SUMIFS(Dados!$G:$G,Dados!$E:$E,$B182,Dados!$C:$C,INDEX(H$3,1,1),Dados!$A:$A,INDEX($D:$E,MATCH("J",$D:$D,0),2))/COUNTIFS(Dados!$E:$E,$B182,Dados!$C:$C,INDEX(H$3,1,1),Dados!$A:$A,INDEX($D:$E,MATCH("J",$D:$D,0),2)))</f>
        <v/>
      </c>
      <c r="I182" s="68" t="str">
        <f ca="1">IF(COUNTIFS(Dados!$E:$E,$B182,Dados!$C:$C,INDEX(I$3,1,1),Dados!$A:$A,INDEX($D:$E,MATCH("J",$D:$D,0),2))=0,"",SUMIFS(Dados!$G:$G,Dados!$E:$E,$B182,Dados!$C:$C,INDEX(I$3,1,1),Dados!$A:$A,INDEX($D:$E,MATCH("J",$D:$D,0),2))/COUNTIFS(Dados!$E:$E,$B182,Dados!$C:$C,INDEX(I$3,1,1),Dados!$A:$A,INDEX($D:$E,MATCH("J",$D:$D,0),2)))</f>
        <v/>
      </c>
      <c r="J182" s="68" t="str">
        <f ca="1">IF(COUNTIFS(Dados!$E:$E,$B182,Dados!$C:$C,INDEX(J$3,1,1),Dados!$A:$A,INDEX($D:$E,MATCH("J",$D:$D,0),2))=0,"",SUMIFS(Dados!$G:$G,Dados!$E:$E,$B182,Dados!$C:$C,INDEX(J$3,1,1),Dados!$A:$A,INDEX($D:$E,MATCH("J",$D:$D,0),2))/COUNTIFS(Dados!$E:$E,$B182,Dados!$C:$C,INDEX(J$3,1,1),Dados!$A:$A,INDEX($D:$E,MATCH("J",$D:$D,0),2)))</f>
        <v/>
      </c>
      <c r="K182" s="68" t="str">
        <f ca="1">IF(COUNTIFS(Dados!$E:$E,$B182,Dados!$C:$C,INDEX(K$3,1,1),Dados!$A:$A,INDEX($D:$E,MATCH("J",$D:$D,0),2))=0,"",SUMIFS(Dados!$G:$G,Dados!$E:$E,$B182,Dados!$C:$C,INDEX(K$3,1,1),Dados!$A:$A,INDEX($D:$E,MATCH("J",$D:$D,0),2))/COUNTIFS(Dados!$E:$E,$B182,Dados!$C:$C,INDEX(K$3,1,1),Dados!$A:$A,INDEX($D:$E,MATCH("J",$D:$D,0),2)))</f>
        <v/>
      </c>
      <c r="L182" s="68" t="str">
        <f ca="1">IF(COUNTIFS(Dados!$E:$E,$B182,Dados!$C:$C,INDEX(L$3,1,1),Dados!$A:$A,INDEX($D:$E,MATCH("J",$D:$D,0),2))=0,"",SUMIFS(Dados!$G:$G,Dados!$E:$E,$B182,Dados!$C:$C,INDEX(L$3,1,1),Dados!$A:$A,INDEX($D:$E,MATCH("J",$D:$D,0),2))/COUNTIFS(Dados!$E:$E,$B182,Dados!$C:$C,INDEX(L$3,1,1),Dados!$A:$A,INDEX($D:$E,MATCH("J",$D:$D,0),2)))</f>
        <v/>
      </c>
      <c r="M182" s="68" t="str">
        <f ca="1">IF(COUNTIFS(Dados!$E:$E,$B182,Dados!$C:$C,INDEX(M$3,1,1),Dados!$A:$A,INDEX($D:$E,MATCH("J",$D:$D,0),2))=0,"",SUMIFS(Dados!$G:$G,Dados!$E:$E,$B182,Dados!$C:$C,INDEX(M$3,1,1),Dados!$A:$A,INDEX($D:$E,MATCH("J",$D:$D,0),2))/COUNTIFS(Dados!$E:$E,$B182,Dados!$C:$C,INDEX(M$3,1,1),Dados!$A:$A,INDEX($D:$E,MATCH("J",$D:$D,0),2)))</f>
        <v/>
      </c>
      <c r="N182" s="68" t="str">
        <f ca="1">IF(COUNTIFS(Dados!$E:$E,$B182,Dados!$C:$C,INDEX(N$3,1,1),Dados!$A:$A,INDEX($D:$E,MATCH("J",$D:$D,0),2))=0,"",SUMIFS(Dados!$G:$G,Dados!$E:$E,$B182,Dados!$C:$C,INDEX(N$3,1,1),Dados!$A:$A,INDEX($D:$E,MATCH("J",$D:$D,0),2))/COUNTIFS(Dados!$E:$E,$B182,Dados!$C:$C,INDEX(N$3,1,1),Dados!$A:$A,INDEX($D:$E,MATCH("J",$D:$D,0),2)))</f>
        <v/>
      </c>
      <c r="O182" s="68" t="str">
        <f ca="1">IF(COUNTIFS(Dados!$E:$E,$B182,Dados!$C:$C,INDEX(O$3,1,1),Dados!$A:$A,INDEX($D:$E,MATCH("J",$D:$D,0),2))=0,"",SUMIFS(Dados!$G:$G,Dados!$E:$E,$B182,Dados!$C:$C,INDEX(O$3,1,1),Dados!$A:$A,INDEX($D:$E,MATCH("J",$D:$D,0),2))/COUNTIFS(Dados!$E:$E,$B182,Dados!$C:$C,INDEX(O$3,1,1),Dados!$A:$A,INDEX($D:$E,MATCH("J",$D:$D,0),2)))</f>
        <v/>
      </c>
      <c r="P182" s="68" t="str">
        <f ca="1">IF(COUNTIFS(Dados!$E:$E,$B182,Dados!$C:$C,INDEX(P$3,1,1),Dados!$A:$A,INDEX($D:$E,MATCH("J",$D:$D,0),2))=0,"",SUMIFS(Dados!$G:$G,Dados!$E:$E,$B182,Dados!$C:$C,INDEX(P$3,1,1),Dados!$A:$A,INDEX($D:$E,MATCH("J",$D:$D,0),2))/COUNTIFS(Dados!$E:$E,$B182,Dados!$C:$C,INDEX(P$3,1,1),Dados!$A:$A,INDEX($D:$E,MATCH("J",$D:$D,0),2)))</f>
        <v/>
      </c>
      <c r="Q182" s="68" t="str">
        <f ca="1">IF(COUNTIFS(Dados!$E:$E,$B182,Dados!$C:$C,INDEX(Q$3,1,1),Dados!$A:$A,INDEX($D:$E,MATCH("J",$D:$D,0),2))=0,"",SUMIFS(Dados!$G:$G,Dados!$E:$E,$B182,Dados!$C:$C,INDEX(Q$3,1,1),Dados!$A:$A,INDEX($D:$E,MATCH("J",$D:$D,0),2))/COUNTIFS(Dados!$E:$E,$B182,Dados!$C:$C,INDEX(Q$3,1,1),Dados!$A:$A,INDEX($D:$E,MATCH("J",$D:$D,0),2)))</f>
        <v/>
      </c>
      <c r="R182" s="68" t="str">
        <f ca="1">IF(COUNTIFS(Dados!$E:$E,$B182,Dados!$C:$C,INDEX(R$3,1,1),Dados!$A:$A,INDEX($D:$E,MATCH("J",$D:$D,0),2))=0,"",SUMIFS(Dados!$G:$G,Dados!$E:$E,$B182,Dados!$C:$C,INDEX(R$3,1,1),Dados!$A:$A,INDEX($D:$E,MATCH("J",$D:$D,0),2))/COUNTIFS(Dados!$E:$E,$B182,Dados!$C:$C,INDEX(R$3,1,1),Dados!$A:$A,INDEX($D:$E,MATCH("J",$D:$D,0),2)))</f>
        <v/>
      </c>
      <c r="S182" s="68" t="str">
        <f ca="1">IF(COUNTIFS(Dados!$E:$E,$B182,Dados!$C:$C,INDEX(S$3,1,1),Dados!$A:$A,INDEX($D:$E,MATCH("J",$D:$D,0),2))=0,"",SUMIFS(Dados!$G:$G,Dados!$E:$E,$B182,Dados!$C:$C,INDEX(S$3,1,1),Dados!$A:$A,INDEX($D:$E,MATCH("J",$D:$D,0),2))/COUNTIFS(Dados!$E:$E,$B182,Dados!$C:$C,INDEX(S$3,1,1),Dados!$A:$A,INDEX($D:$E,MATCH("J",$D:$D,0),2)))</f>
        <v/>
      </c>
      <c r="T182" s="68" t="str">
        <f ca="1">IF(COUNTIFS(Dados!$E:$E,$B182,Dados!$C:$C,INDEX(T$3,1,1),Dados!$A:$A,INDEX($D:$E,MATCH("J",$D:$D,0),2))=0,"",SUMIFS(Dados!$G:$G,Dados!$E:$E,$B182,Dados!$C:$C,INDEX(T$3,1,1),Dados!$A:$A,INDEX($D:$E,MATCH("J",$D:$D,0),2))/COUNTIFS(Dados!$E:$E,$B182,Dados!$C:$C,INDEX(T$3,1,1),Dados!$A:$A,INDEX($D:$E,MATCH("J",$D:$D,0),2)))</f>
        <v/>
      </c>
      <c r="U182" s="68" t="str">
        <f ca="1">IF(COUNTIFS(Dados!$E:$E,$B182,Dados!$C:$C,INDEX(U$3,1,1),Dados!$A:$A,INDEX($D:$E,MATCH("J",$D:$D,0),2))=0,"",SUMIFS(Dados!$G:$G,Dados!$E:$E,$B182,Dados!$C:$C,INDEX(U$3,1,1),Dados!$A:$A,INDEX($D:$E,MATCH("J",$D:$D,0),2))/COUNTIFS(Dados!$E:$E,$B182,Dados!$C:$C,INDEX(U$3,1,1),Dados!$A:$A,INDEX($D:$E,MATCH("J",$D:$D,0),2)))</f>
        <v/>
      </c>
      <c r="V182" s="68" t="str">
        <f ca="1">IF(COUNTIFS(Dados!$E:$E,$B182,Dados!$C:$C,INDEX(V$3,1,1),Dados!$A:$A,INDEX($D:$E,MATCH("J",$D:$D,0),2))=0,"",SUMIFS(Dados!$G:$G,Dados!$E:$E,$B182,Dados!$C:$C,INDEX(V$3,1,1),Dados!$A:$A,INDEX($D:$E,MATCH("J",$D:$D,0),2))/COUNTIFS(Dados!$E:$E,$B182,Dados!$C:$C,INDEX(V$3,1,1),Dados!$A:$A,INDEX($D:$E,MATCH("J",$D:$D,0),2)))</f>
        <v/>
      </c>
    </row>
    <row r="183" spans="2:22" x14ac:dyDescent="0.25">
      <c r="B183" s="65" t="s">
        <v>1301</v>
      </c>
      <c r="C183" s="72">
        <f>VLOOKUP(B183,B4:C22,2,0)</f>
        <v>12</v>
      </c>
      <c r="D183" s="66" t="str">
        <f ca="1">IF(COUNTIFS(Dados!$E:$E,$B183,Dados!$C:$C,INDEX(D$3,1,1),Dados!$A:$A,INDEX($D:$E,MATCH("J",$D:$D,0),2))=0,"",SUMIFS(Dados!$G:$G,Dados!$E:$E,$B183,Dados!$C:$C,INDEX(D$3,1,1),Dados!$A:$A,INDEX($D:$E,MATCH("J",$D:$D,0),2))/COUNTIFS(Dados!$E:$E,$B183,Dados!$C:$C,INDEX(D$3,1,1),Dados!$A:$A,INDEX($D:$E,MATCH("J",$D:$D,0),2)))</f>
        <v/>
      </c>
      <c r="E183" s="66" t="str">
        <f ca="1">IF(COUNTIFS(Dados!$E:$E,$B183,Dados!$C:$C,INDEX(E$3,1,1),Dados!$A:$A,INDEX($D:$E,MATCH("J",$D:$D,0),2))=0,"",SUMIFS(Dados!$G:$G,Dados!$E:$E,$B183,Dados!$C:$C,INDEX(E$3,1,1),Dados!$A:$A,INDEX($D:$E,MATCH("J",$D:$D,0),2))/COUNTIFS(Dados!$E:$E,$B183,Dados!$C:$C,INDEX(E$3,1,1),Dados!$A:$A,INDEX($D:$E,MATCH("J",$D:$D,0),2)))</f>
        <v/>
      </c>
      <c r="F183" s="66" t="str">
        <f ca="1">IF(COUNTIFS(Dados!$E:$E,$B183,Dados!$C:$C,INDEX(F$3,1,1),Dados!$A:$A,INDEX($D:$E,MATCH("J",$D:$D,0),2))=0,"",SUMIFS(Dados!$G:$G,Dados!$E:$E,$B183,Dados!$C:$C,INDEX(F$3,1,1),Dados!$A:$A,INDEX($D:$E,MATCH("J",$D:$D,0),2))/COUNTIFS(Dados!$E:$E,$B183,Dados!$C:$C,INDEX(F$3,1,1),Dados!$A:$A,INDEX($D:$E,MATCH("J",$D:$D,0),2)))</f>
        <v/>
      </c>
      <c r="G183" s="66" t="str">
        <f ca="1">IF(COUNTIFS(Dados!$E:$E,$B183,Dados!$C:$C,INDEX(G$3,1,1),Dados!$A:$A,INDEX($D:$E,MATCH("J",$D:$D,0),2))=0,"",SUMIFS(Dados!$G:$G,Dados!$E:$E,$B183,Dados!$C:$C,INDEX(G$3,1,1),Dados!$A:$A,INDEX($D:$E,MATCH("J",$D:$D,0),2))/COUNTIFS(Dados!$E:$E,$B183,Dados!$C:$C,INDEX(G$3,1,1),Dados!$A:$A,INDEX($D:$E,MATCH("J",$D:$D,0),2)))</f>
        <v/>
      </c>
      <c r="H183" s="66" t="str">
        <f ca="1">IF(COUNTIFS(Dados!$E:$E,$B183,Dados!$C:$C,INDEX(H$3,1,1),Dados!$A:$A,INDEX($D:$E,MATCH("J",$D:$D,0),2))=0,"",SUMIFS(Dados!$G:$G,Dados!$E:$E,$B183,Dados!$C:$C,INDEX(H$3,1,1),Dados!$A:$A,INDEX($D:$E,MATCH("J",$D:$D,0),2))/COUNTIFS(Dados!$E:$E,$B183,Dados!$C:$C,INDEX(H$3,1,1),Dados!$A:$A,INDEX($D:$E,MATCH("J",$D:$D,0),2)))</f>
        <v/>
      </c>
      <c r="I183" s="66" t="str">
        <f ca="1">IF(COUNTIFS(Dados!$E:$E,$B183,Dados!$C:$C,INDEX(I$3,1,1),Dados!$A:$A,INDEX($D:$E,MATCH("J",$D:$D,0),2))=0,"",SUMIFS(Dados!$G:$G,Dados!$E:$E,$B183,Dados!$C:$C,INDEX(I$3,1,1),Dados!$A:$A,INDEX($D:$E,MATCH("J",$D:$D,0),2))/COUNTIFS(Dados!$E:$E,$B183,Dados!$C:$C,INDEX(I$3,1,1),Dados!$A:$A,INDEX($D:$E,MATCH("J",$D:$D,0),2)))</f>
        <v/>
      </c>
      <c r="J183" s="66" t="str">
        <f ca="1">IF(COUNTIFS(Dados!$E:$E,$B183,Dados!$C:$C,INDEX(J$3,1,1),Dados!$A:$A,INDEX($D:$E,MATCH("J",$D:$D,0),2))=0,"",SUMIFS(Dados!$G:$G,Dados!$E:$E,$B183,Dados!$C:$C,INDEX(J$3,1,1),Dados!$A:$A,INDEX($D:$E,MATCH("J",$D:$D,0),2))/COUNTIFS(Dados!$E:$E,$B183,Dados!$C:$C,INDEX(J$3,1,1),Dados!$A:$A,INDEX($D:$E,MATCH("J",$D:$D,0),2)))</f>
        <v/>
      </c>
      <c r="K183" s="66" t="str">
        <f ca="1">IF(COUNTIFS(Dados!$E:$E,$B183,Dados!$C:$C,INDEX(K$3,1,1),Dados!$A:$A,INDEX($D:$E,MATCH("J",$D:$D,0),2))=0,"",SUMIFS(Dados!$G:$G,Dados!$E:$E,$B183,Dados!$C:$C,INDEX(K$3,1,1),Dados!$A:$A,INDEX($D:$E,MATCH("J",$D:$D,0),2))/COUNTIFS(Dados!$E:$E,$B183,Dados!$C:$C,INDEX(K$3,1,1),Dados!$A:$A,INDEX($D:$E,MATCH("J",$D:$D,0),2)))</f>
        <v/>
      </c>
      <c r="L183" s="66" t="str">
        <f ca="1">IF(COUNTIFS(Dados!$E:$E,$B183,Dados!$C:$C,INDEX(L$3,1,1),Dados!$A:$A,INDEX($D:$E,MATCH("J",$D:$D,0),2))=0,"",SUMIFS(Dados!$G:$G,Dados!$E:$E,$B183,Dados!$C:$C,INDEX(L$3,1,1),Dados!$A:$A,INDEX($D:$E,MATCH("J",$D:$D,0),2))/COUNTIFS(Dados!$E:$E,$B183,Dados!$C:$C,INDEX(L$3,1,1),Dados!$A:$A,INDEX($D:$E,MATCH("J",$D:$D,0),2)))</f>
        <v/>
      </c>
      <c r="M183" s="66" t="str">
        <f ca="1">IF(COUNTIFS(Dados!$E:$E,$B183,Dados!$C:$C,INDEX(M$3,1,1),Dados!$A:$A,INDEX($D:$E,MATCH("J",$D:$D,0),2))=0,"",SUMIFS(Dados!$G:$G,Dados!$E:$E,$B183,Dados!$C:$C,INDEX(M$3,1,1),Dados!$A:$A,INDEX($D:$E,MATCH("J",$D:$D,0),2))/COUNTIFS(Dados!$E:$E,$B183,Dados!$C:$C,INDEX(M$3,1,1),Dados!$A:$A,INDEX($D:$E,MATCH("J",$D:$D,0),2)))</f>
        <v/>
      </c>
      <c r="N183" s="66" t="str">
        <f ca="1">IF(COUNTIFS(Dados!$E:$E,$B183,Dados!$C:$C,INDEX(N$3,1,1),Dados!$A:$A,INDEX($D:$E,MATCH("J",$D:$D,0),2))=0,"",SUMIFS(Dados!$G:$G,Dados!$E:$E,$B183,Dados!$C:$C,INDEX(N$3,1,1),Dados!$A:$A,INDEX($D:$E,MATCH("J",$D:$D,0),2))/COUNTIFS(Dados!$E:$E,$B183,Dados!$C:$C,INDEX(N$3,1,1),Dados!$A:$A,INDEX($D:$E,MATCH("J",$D:$D,0),2)))</f>
        <v/>
      </c>
      <c r="O183" s="66" t="str">
        <f ca="1">IF(COUNTIFS(Dados!$E:$E,$B183,Dados!$C:$C,INDEX(O$3,1,1),Dados!$A:$A,INDEX($D:$E,MATCH("J",$D:$D,0),2))=0,"",SUMIFS(Dados!$G:$G,Dados!$E:$E,$B183,Dados!$C:$C,INDEX(O$3,1,1),Dados!$A:$A,INDEX($D:$E,MATCH("J",$D:$D,0),2))/COUNTIFS(Dados!$E:$E,$B183,Dados!$C:$C,INDEX(O$3,1,1),Dados!$A:$A,INDEX($D:$E,MATCH("J",$D:$D,0),2)))</f>
        <v/>
      </c>
      <c r="P183" s="66" t="str">
        <f ca="1">IF(COUNTIFS(Dados!$E:$E,$B183,Dados!$C:$C,INDEX(P$3,1,1),Dados!$A:$A,INDEX($D:$E,MATCH("J",$D:$D,0),2))=0,"",SUMIFS(Dados!$G:$G,Dados!$E:$E,$B183,Dados!$C:$C,INDEX(P$3,1,1),Dados!$A:$A,INDEX($D:$E,MATCH("J",$D:$D,0),2))/COUNTIFS(Dados!$E:$E,$B183,Dados!$C:$C,INDEX(P$3,1,1),Dados!$A:$A,INDEX($D:$E,MATCH("J",$D:$D,0),2)))</f>
        <v/>
      </c>
      <c r="Q183" s="66" t="str">
        <f ca="1">IF(COUNTIFS(Dados!$E:$E,$B183,Dados!$C:$C,INDEX(Q$3,1,1),Dados!$A:$A,INDEX($D:$E,MATCH("J",$D:$D,0),2))=0,"",SUMIFS(Dados!$G:$G,Dados!$E:$E,$B183,Dados!$C:$C,INDEX(Q$3,1,1),Dados!$A:$A,INDEX($D:$E,MATCH("J",$D:$D,0),2))/COUNTIFS(Dados!$E:$E,$B183,Dados!$C:$C,INDEX(Q$3,1,1),Dados!$A:$A,INDEX($D:$E,MATCH("J",$D:$D,0),2)))</f>
        <v/>
      </c>
      <c r="R183" s="66" t="str">
        <f ca="1">IF(COUNTIFS(Dados!$E:$E,$B183,Dados!$C:$C,INDEX(R$3,1,1),Dados!$A:$A,INDEX($D:$E,MATCH("J",$D:$D,0),2))=0,"",SUMIFS(Dados!$G:$G,Dados!$E:$E,$B183,Dados!$C:$C,INDEX(R$3,1,1),Dados!$A:$A,INDEX($D:$E,MATCH("J",$D:$D,0),2))/COUNTIFS(Dados!$E:$E,$B183,Dados!$C:$C,INDEX(R$3,1,1),Dados!$A:$A,INDEX($D:$E,MATCH("J",$D:$D,0),2)))</f>
        <v/>
      </c>
      <c r="S183" s="66" t="str">
        <f ca="1">IF(COUNTIFS(Dados!$E:$E,$B183,Dados!$C:$C,INDEX(S$3,1,1),Dados!$A:$A,INDEX($D:$E,MATCH("J",$D:$D,0),2))=0,"",SUMIFS(Dados!$G:$G,Dados!$E:$E,$B183,Dados!$C:$C,INDEX(S$3,1,1),Dados!$A:$A,INDEX($D:$E,MATCH("J",$D:$D,0),2))/COUNTIFS(Dados!$E:$E,$B183,Dados!$C:$C,INDEX(S$3,1,1),Dados!$A:$A,INDEX($D:$E,MATCH("J",$D:$D,0),2)))</f>
        <v/>
      </c>
      <c r="T183" s="66" t="str">
        <f ca="1">IF(COUNTIFS(Dados!$E:$E,$B183,Dados!$C:$C,INDEX(T$3,1,1),Dados!$A:$A,INDEX($D:$E,MATCH("J",$D:$D,0),2))=0,"",SUMIFS(Dados!$G:$G,Dados!$E:$E,$B183,Dados!$C:$C,INDEX(T$3,1,1),Dados!$A:$A,INDEX($D:$E,MATCH("J",$D:$D,0),2))/COUNTIFS(Dados!$E:$E,$B183,Dados!$C:$C,INDEX(T$3,1,1),Dados!$A:$A,INDEX($D:$E,MATCH("J",$D:$D,0),2)))</f>
        <v/>
      </c>
      <c r="U183" s="66" t="str">
        <f ca="1">IF(COUNTIFS(Dados!$E:$E,$B183,Dados!$C:$C,INDEX(U$3,1,1),Dados!$A:$A,INDEX($D:$E,MATCH("J",$D:$D,0),2))=0,"",SUMIFS(Dados!$G:$G,Dados!$E:$E,$B183,Dados!$C:$C,INDEX(U$3,1,1),Dados!$A:$A,INDEX($D:$E,MATCH("J",$D:$D,0),2))/COUNTIFS(Dados!$E:$E,$B183,Dados!$C:$C,INDEX(U$3,1,1),Dados!$A:$A,INDEX($D:$E,MATCH("J",$D:$D,0),2)))</f>
        <v/>
      </c>
      <c r="V183" s="66" t="str">
        <f ca="1">IF(COUNTIFS(Dados!$E:$E,$B183,Dados!$C:$C,INDEX(V$3,1,1),Dados!$A:$A,INDEX($D:$E,MATCH("J",$D:$D,0),2))=0,"",SUMIFS(Dados!$G:$G,Dados!$E:$E,$B183,Dados!$C:$C,INDEX(V$3,1,1),Dados!$A:$A,INDEX($D:$E,MATCH("J",$D:$D,0),2))/COUNTIFS(Dados!$E:$E,$B183,Dados!$C:$C,INDEX(V$3,1,1),Dados!$A:$A,INDEX($D:$E,MATCH("J",$D:$D,0),2)))</f>
        <v/>
      </c>
    </row>
    <row r="184" spans="2:22" x14ac:dyDescent="0.25">
      <c r="B184" s="67" t="s">
        <v>1302</v>
      </c>
      <c r="C184" s="71">
        <f>VLOOKUP(B184,B4:C22,2,0)</f>
        <v>13</v>
      </c>
      <c r="D184" s="68" t="str">
        <f ca="1">IF(COUNTIFS(Dados!$E:$E,$B184,Dados!$C:$C,INDEX(D$3,1,1),Dados!$A:$A,INDEX($D:$E,MATCH("J",$D:$D,0),2))=0,"",SUMIFS(Dados!$G:$G,Dados!$E:$E,$B184,Dados!$C:$C,INDEX(D$3,1,1),Dados!$A:$A,INDEX($D:$E,MATCH("J",$D:$D,0),2))/COUNTIFS(Dados!$E:$E,$B184,Dados!$C:$C,INDEX(D$3,1,1),Dados!$A:$A,INDEX($D:$E,MATCH("J",$D:$D,0),2)))</f>
        <v/>
      </c>
      <c r="E184" s="68" t="str">
        <f ca="1">IF(COUNTIFS(Dados!$E:$E,$B184,Dados!$C:$C,INDEX(E$3,1,1),Dados!$A:$A,INDEX($D:$E,MATCH("J",$D:$D,0),2))=0,"",SUMIFS(Dados!$G:$G,Dados!$E:$E,$B184,Dados!$C:$C,INDEX(E$3,1,1),Dados!$A:$A,INDEX($D:$E,MATCH("J",$D:$D,0),2))/COUNTIFS(Dados!$E:$E,$B184,Dados!$C:$C,INDEX(E$3,1,1),Dados!$A:$A,INDEX($D:$E,MATCH("J",$D:$D,0),2)))</f>
        <v/>
      </c>
      <c r="F184" s="68" t="str">
        <f ca="1">IF(COUNTIFS(Dados!$E:$E,$B184,Dados!$C:$C,INDEX(F$3,1,1),Dados!$A:$A,INDEX($D:$E,MATCH("J",$D:$D,0),2))=0,"",SUMIFS(Dados!$G:$G,Dados!$E:$E,$B184,Dados!$C:$C,INDEX(F$3,1,1),Dados!$A:$A,INDEX($D:$E,MATCH("J",$D:$D,0),2))/COUNTIFS(Dados!$E:$E,$B184,Dados!$C:$C,INDEX(F$3,1,1),Dados!$A:$A,INDEX($D:$E,MATCH("J",$D:$D,0),2)))</f>
        <v/>
      </c>
      <c r="G184" s="68" t="str">
        <f ca="1">IF(COUNTIFS(Dados!$E:$E,$B184,Dados!$C:$C,INDEX(G$3,1,1),Dados!$A:$A,INDEX($D:$E,MATCH("J",$D:$D,0),2))=0,"",SUMIFS(Dados!$G:$G,Dados!$E:$E,$B184,Dados!$C:$C,INDEX(G$3,1,1),Dados!$A:$A,INDEX($D:$E,MATCH("J",$D:$D,0),2))/COUNTIFS(Dados!$E:$E,$B184,Dados!$C:$C,INDEX(G$3,1,1),Dados!$A:$A,INDEX($D:$E,MATCH("J",$D:$D,0),2)))</f>
        <v/>
      </c>
      <c r="H184" s="68" t="str">
        <f ca="1">IF(COUNTIFS(Dados!$E:$E,$B184,Dados!$C:$C,INDEX(H$3,1,1),Dados!$A:$A,INDEX($D:$E,MATCH("J",$D:$D,0),2))=0,"",SUMIFS(Dados!$G:$G,Dados!$E:$E,$B184,Dados!$C:$C,INDEX(H$3,1,1),Dados!$A:$A,INDEX($D:$E,MATCH("J",$D:$D,0),2))/COUNTIFS(Dados!$E:$E,$B184,Dados!$C:$C,INDEX(H$3,1,1),Dados!$A:$A,INDEX($D:$E,MATCH("J",$D:$D,0),2)))</f>
        <v/>
      </c>
      <c r="I184" s="68" t="str">
        <f ca="1">IF(COUNTIFS(Dados!$E:$E,$B184,Dados!$C:$C,INDEX(I$3,1,1),Dados!$A:$A,INDEX($D:$E,MATCH("J",$D:$D,0),2))=0,"",SUMIFS(Dados!$G:$G,Dados!$E:$E,$B184,Dados!$C:$C,INDEX(I$3,1,1),Dados!$A:$A,INDEX($D:$E,MATCH("J",$D:$D,0),2))/COUNTIFS(Dados!$E:$E,$B184,Dados!$C:$C,INDEX(I$3,1,1),Dados!$A:$A,INDEX($D:$E,MATCH("J",$D:$D,0),2)))</f>
        <v/>
      </c>
      <c r="J184" s="68" t="str">
        <f ca="1">IF(COUNTIFS(Dados!$E:$E,$B184,Dados!$C:$C,INDEX(J$3,1,1),Dados!$A:$A,INDEX($D:$E,MATCH("J",$D:$D,0),2))=0,"",SUMIFS(Dados!$G:$G,Dados!$E:$E,$B184,Dados!$C:$C,INDEX(J$3,1,1),Dados!$A:$A,INDEX($D:$E,MATCH("J",$D:$D,0),2))/COUNTIFS(Dados!$E:$E,$B184,Dados!$C:$C,INDEX(J$3,1,1),Dados!$A:$A,INDEX($D:$E,MATCH("J",$D:$D,0),2)))</f>
        <v/>
      </c>
      <c r="K184" s="68" t="str">
        <f ca="1">IF(COUNTIFS(Dados!$E:$E,$B184,Dados!$C:$C,INDEX(K$3,1,1),Dados!$A:$A,INDEX($D:$E,MATCH("J",$D:$D,0),2))=0,"",SUMIFS(Dados!$G:$G,Dados!$E:$E,$B184,Dados!$C:$C,INDEX(K$3,1,1),Dados!$A:$A,INDEX($D:$E,MATCH("J",$D:$D,0),2))/COUNTIFS(Dados!$E:$E,$B184,Dados!$C:$C,INDEX(K$3,1,1),Dados!$A:$A,INDEX($D:$E,MATCH("J",$D:$D,0),2)))</f>
        <v/>
      </c>
      <c r="L184" s="68" t="str">
        <f ca="1">IF(COUNTIFS(Dados!$E:$E,$B184,Dados!$C:$C,INDEX(L$3,1,1),Dados!$A:$A,INDEX($D:$E,MATCH("J",$D:$D,0),2))=0,"",SUMIFS(Dados!$G:$G,Dados!$E:$E,$B184,Dados!$C:$C,INDEX(L$3,1,1),Dados!$A:$A,INDEX($D:$E,MATCH("J",$D:$D,0),2))/COUNTIFS(Dados!$E:$E,$B184,Dados!$C:$C,INDEX(L$3,1,1),Dados!$A:$A,INDEX($D:$E,MATCH("J",$D:$D,0),2)))</f>
        <v/>
      </c>
      <c r="M184" s="68" t="str">
        <f ca="1">IF(COUNTIFS(Dados!$E:$E,$B184,Dados!$C:$C,INDEX(M$3,1,1),Dados!$A:$A,INDEX($D:$E,MATCH("J",$D:$D,0),2))=0,"",SUMIFS(Dados!$G:$G,Dados!$E:$E,$B184,Dados!$C:$C,INDEX(M$3,1,1),Dados!$A:$A,INDEX($D:$E,MATCH("J",$D:$D,0),2))/COUNTIFS(Dados!$E:$E,$B184,Dados!$C:$C,INDEX(M$3,1,1),Dados!$A:$A,INDEX($D:$E,MATCH("J",$D:$D,0),2)))</f>
        <v/>
      </c>
      <c r="N184" s="68" t="str">
        <f ca="1">IF(COUNTIFS(Dados!$E:$E,$B184,Dados!$C:$C,INDEX(N$3,1,1),Dados!$A:$A,INDEX($D:$E,MATCH("J",$D:$D,0),2))=0,"",SUMIFS(Dados!$G:$G,Dados!$E:$E,$B184,Dados!$C:$C,INDEX(N$3,1,1),Dados!$A:$A,INDEX($D:$E,MATCH("J",$D:$D,0),2))/COUNTIFS(Dados!$E:$E,$B184,Dados!$C:$C,INDEX(N$3,1,1),Dados!$A:$A,INDEX($D:$E,MATCH("J",$D:$D,0),2)))</f>
        <v/>
      </c>
      <c r="O184" s="68" t="str">
        <f ca="1">IF(COUNTIFS(Dados!$E:$E,$B184,Dados!$C:$C,INDEX(O$3,1,1),Dados!$A:$A,INDEX($D:$E,MATCH("J",$D:$D,0),2))=0,"",SUMIFS(Dados!$G:$G,Dados!$E:$E,$B184,Dados!$C:$C,INDEX(O$3,1,1),Dados!$A:$A,INDEX($D:$E,MATCH("J",$D:$D,0),2))/COUNTIFS(Dados!$E:$E,$B184,Dados!$C:$C,INDEX(O$3,1,1),Dados!$A:$A,INDEX($D:$E,MATCH("J",$D:$D,0),2)))</f>
        <v/>
      </c>
      <c r="P184" s="68" t="str">
        <f ca="1">IF(COUNTIFS(Dados!$E:$E,$B184,Dados!$C:$C,INDEX(P$3,1,1),Dados!$A:$A,INDEX($D:$E,MATCH("J",$D:$D,0),2))=0,"",SUMIFS(Dados!$G:$G,Dados!$E:$E,$B184,Dados!$C:$C,INDEX(P$3,1,1),Dados!$A:$A,INDEX($D:$E,MATCH("J",$D:$D,0),2))/COUNTIFS(Dados!$E:$E,$B184,Dados!$C:$C,INDEX(P$3,1,1),Dados!$A:$A,INDEX($D:$E,MATCH("J",$D:$D,0),2)))</f>
        <v/>
      </c>
      <c r="Q184" s="68" t="str">
        <f ca="1">IF(COUNTIFS(Dados!$E:$E,$B184,Dados!$C:$C,INDEX(Q$3,1,1),Dados!$A:$A,INDEX($D:$E,MATCH("J",$D:$D,0),2))=0,"",SUMIFS(Dados!$G:$G,Dados!$E:$E,$B184,Dados!$C:$C,INDEX(Q$3,1,1),Dados!$A:$A,INDEX($D:$E,MATCH("J",$D:$D,0),2))/COUNTIFS(Dados!$E:$E,$B184,Dados!$C:$C,INDEX(Q$3,1,1),Dados!$A:$A,INDEX($D:$E,MATCH("J",$D:$D,0),2)))</f>
        <v/>
      </c>
      <c r="R184" s="68" t="str">
        <f ca="1">IF(COUNTIFS(Dados!$E:$E,$B184,Dados!$C:$C,INDEX(R$3,1,1),Dados!$A:$A,INDEX($D:$E,MATCH("J",$D:$D,0),2))=0,"",SUMIFS(Dados!$G:$G,Dados!$E:$E,$B184,Dados!$C:$C,INDEX(R$3,1,1),Dados!$A:$A,INDEX($D:$E,MATCH("J",$D:$D,0),2))/COUNTIFS(Dados!$E:$E,$B184,Dados!$C:$C,INDEX(R$3,1,1),Dados!$A:$A,INDEX($D:$E,MATCH("J",$D:$D,0),2)))</f>
        <v/>
      </c>
      <c r="S184" s="68" t="str">
        <f ca="1">IF(COUNTIFS(Dados!$E:$E,$B184,Dados!$C:$C,INDEX(S$3,1,1),Dados!$A:$A,INDEX($D:$E,MATCH("J",$D:$D,0),2))=0,"",SUMIFS(Dados!$G:$G,Dados!$E:$E,$B184,Dados!$C:$C,INDEX(S$3,1,1),Dados!$A:$A,INDEX($D:$E,MATCH("J",$D:$D,0),2))/COUNTIFS(Dados!$E:$E,$B184,Dados!$C:$C,INDEX(S$3,1,1),Dados!$A:$A,INDEX($D:$E,MATCH("J",$D:$D,0),2)))</f>
        <v/>
      </c>
      <c r="T184" s="68" t="str">
        <f ca="1">IF(COUNTIFS(Dados!$E:$E,$B184,Dados!$C:$C,INDEX(T$3,1,1),Dados!$A:$A,INDEX($D:$E,MATCH("J",$D:$D,0),2))=0,"",SUMIFS(Dados!$G:$G,Dados!$E:$E,$B184,Dados!$C:$C,INDEX(T$3,1,1),Dados!$A:$A,INDEX($D:$E,MATCH("J",$D:$D,0),2))/COUNTIFS(Dados!$E:$E,$B184,Dados!$C:$C,INDEX(T$3,1,1),Dados!$A:$A,INDEX($D:$E,MATCH("J",$D:$D,0),2)))</f>
        <v/>
      </c>
      <c r="U184" s="68" t="str">
        <f ca="1">IF(COUNTIFS(Dados!$E:$E,$B184,Dados!$C:$C,INDEX(U$3,1,1),Dados!$A:$A,INDEX($D:$E,MATCH("J",$D:$D,0),2))=0,"",SUMIFS(Dados!$G:$G,Dados!$E:$E,$B184,Dados!$C:$C,INDEX(U$3,1,1),Dados!$A:$A,INDEX($D:$E,MATCH("J",$D:$D,0),2))/COUNTIFS(Dados!$E:$E,$B184,Dados!$C:$C,INDEX(U$3,1,1),Dados!$A:$A,INDEX($D:$E,MATCH("J",$D:$D,0),2)))</f>
        <v/>
      </c>
      <c r="V184" s="68" t="str">
        <f ca="1">IF(COUNTIFS(Dados!$E:$E,$B184,Dados!$C:$C,INDEX(V$3,1,1),Dados!$A:$A,INDEX($D:$E,MATCH("J",$D:$D,0),2))=0,"",SUMIFS(Dados!$G:$G,Dados!$E:$E,$B184,Dados!$C:$C,INDEX(V$3,1,1),Dados!$A:$A,INDEX($D:$E,MATCH("J",$D:$D,0),2))/COUNTIFS(Dados!$E:$E,$B184,Dados!$C:$C,INDEX(V$3,1,1),Dados!$A:$A,INDEX($D:$E,MATCH("J",$D:$D,0),2)))</f>
        <v/>
      </c>
    </row>
    <row r="185" spans="2:22" x14ac:dyDescent="0.25">
      <c r="B185" s="65" t="s">
        <v>1296</v>
      </c>
      <c r="C185" s="72">
        <f>VLOOKUP(B185,B4:C22,2,0)</f>
        <v>14</v>
      </c>
      <c r="D185" s="66" t="str">
        <f ca="1">IF(COUNTIFS(Dados!$E:$E,$B185,Dados!$C:$C,INDEX(D$3,1,1),Dados!$A:$A,INDEX($D:$E,MATCH("J",$D:$D,0),2))=0,"",SUMIFS(Dados!$G:$G,Dados!$E:$E,$B185,Dados!$C:$C,INDEX(D$3,1,1),Dados!$A:$A,INDEX($D:$E,MATCH("J",$D:$D,0),2))/COUNTIFS(Dados!$E:$E,$B185,Dados!$C:$C,INDEX(D$3,1,1),Dados!$A:$A,INDEX($D:$E,MATCH("J",$D:$D,0),2)))</f>
        <v/>
      </c>
      <c r="E185" s="66" t="str">
        <f ca="1">IF(COUNTIFS(Dados!$E:$E,$B185,Dados!$C:$C,INDEX(E$3,1,1),Dados!$A:$A,INDEX($D:$E,MATCH("J",$D:$D,0),2))=0,"",SUMIFS(Dados!$G:$G,Dados!$E:$E,$B185,Dados!$C:$C,INDEX(E$3,1,1),Dados!$A:$A,INDEX($D:$E,MATCH("J",$D:$D,0),2))/COUNTIFS(Dados!$E:$E,$B185,Dados!$C:$C,INDEX(E$3,1,1),Dados!$A:$A,INDEX($D:$E,MATCH("J",$D:$D,0),2)))</f>
        <v/>
      </c>
      <c r="F185" s="66" t="str">
        <f ca="1">IF(COUNTIFS(Dados!$E:$E,$B185,Dados!$C:$C,INDEX(F$3,1,1),Dados!$A:$A,INDEX($D:$E,MATCH("J",$D:$D,0),2))=0,"",SUMIFS(Dados!$G:$G,Dados!$E:$E,$B185,Dados!$C:$C,INDEX(F$3,1,1),Dados!$A:$A,INDEX($D:$E,MATCH("J",$D:$D,0),2))/COUNTIFS(Dados!$E:$E,$B185,Dados!$C:$C,INDEX(F$3,1,1),Dados!$A:$A,INDEX($D:$E,MATCH("J",$D:$D,0),2)))</f>
        <v/>
      </c>
      <c r="G185" s="66" t="str">
        <f ca="1">IF(COUNTIFS(Dados!$E:$E,$B185,Dados!$C:$C,INDEX(G$3,1,1),Dados!$A:$A,INDEX($D:$E,MATCH("J",$D:$D,0),2))=0,"",SUMIFS(Dados!$G:$G,Dados!$E:$E,$B185,Dados!$C:$C,INDEX(G$3,1,1),Dados!$A:$A,INDEX($D:$E,MATCH("J",$D:$D,0),2))/COUNTIFS(Dados!$E:$E,$B185,Dados!$C:$C,INDEX(G$3,1,1),Dados!$A:$A,INDEX($D:$E,MATCH("J",$D:$D,0),2)))</f>
        <v/>
      </c>
      <c r="H185" s="66" t="str">
        <f ca="1">IF(COUNTIFS(Dados!$E:$E,$B185,Dados!$C:$C,INDEX(H$3,1,1),Dados!$A:$A,INDEX($D:$E,MATCH("J",$D:$D,0),2))=0,"",SUMIFS(Dados!$G:$G,Dados!$E:$E,$B185,Dados!$C:$C,INDEX(H$3,1,1),Dados!$A:$A,INDEX($D:$E,MATCH("J",$D:$D,0),2))/COUNTIFS(Dados!$E:$E,$B185,Dados!$C:$C,INDEX(H$3,1,1),Dados!$A:$A,INDEX($D:$E,MATCH("J",$D:$D,0),2)))</f>
        <v/>
      </c>
      <c r="I185" s="66" t="str">
        <f ca="1">IF(COUNTIFS(Dados!$E:$E,$B185,Dados!$C:$C,INDEX(I$3,1,1),Dados!$A:$A,INDEX($D:$E,MATCH("J",$D:$D,0),2))=0,"",SUMIFS(Dados!$G:$G,Dados!$E:$E,$B185,Dados!$C:$C,INDEX(I$3,1,1),Dados!$A:$A,INDEX($D:$E,MATCH("J",$D:$D,0),2))/COUNTIFS(Dados!$E:$E,$B185,Dados!$C:$C,INDEX(I$3,1,1),Dados!$A:$A,INDEX($D:$E,MATCH("J",$D:$D,0),2)))</f>
        <v/>
      </c>
      <c r="J185" s="66" t="str">
        <f ca="1">IF(COUNTIFS(Dados!$E:$E,$B185,Dados!$C:$C,INDEX(J$3,1,1),Dados!$A:$A,INDEX($D:$E,MATCH("J",$D:$D,0),2))=0,"",SUMIFS(Dados!$G:$G,Dados!$E:$E,$B185,Dados!$C:$C,INDEX(J$3,1,1),Dados!$A:$A,INDEX($D:$E,MATCH("J",$D:$D,0),2))/COUNTIFS(Dados!$E:$E,$B185,Dados!$C:$C,INDEX(J$3,1,1),Dados!$A:$A,INDEX($D:$E,MATCH("J",$D:$D,0),2)))</f>
        <v/>
      </c>
      <c r="K185" s="66" t="str">
        <f ca="1">IF(COUNTIFS(Dados!$E:$E,$B185,Dados!$C:$C,INDEX(K$3,1,1),Dados!$A:$A,INDEX($D:$E,MATCH("J",$D:$D,0),2))=0,"",SUMIFS(Dados!$G:$G,Dados!$E:$E,$B185,Dados!$C:$C,INDEX(K$3,1,1),Dados!$A:$A,INDEX($D:$E,MATCH("J",$D:$D,0),2))/COUNTIFS(Dados!$E:$E,$B185,Dados!$C:$C,INDEX(K$3,1,1),Dados!$A:$A,INDEX($D:$E,MATCH("J",$D:$D,0),2)))</f>
        <v/>
      </c>
      <c r="L185" s="66" t="str">
        <f ca="1">IF(COUNTIFS(Dados!$E:$E,$B185,Dados!$C:$C,INDEX(L$3,1,1),Dados!$A:$A,INDEX($D:$E,MATCH("J",$D:$D,0),2))=0,"",SUMIFS(Dados!$G:$G,Dados!$E:$E,$B185,Dados!$C:$C,INDEX(L$3,1,1),Dados!$A:$A,INDEX($D:$E,MATCH("J",$D:$D,0),2))/COUNTIFS(Dados!$E:$E,$B185,Dados!$C:$C,INDEX(L$3,1,1),Dados!$A:$A,INDEX($D:$E,MATCH("J",$D:$D,0),2)))</f>
        <v/>
      </c>
      <c r="M185" s="66" t="str">
        <f ca="1">IF(COUNTIFS(Dados!$E:$E,$B185,Dados!$C:$C,INDEX(M$3,1,1),Dados!$A:$A,INDEX($D:$E,MATCH("J",$D:$D,0),2))=0,"",SUMIFS(Dados!$G:$G,Dados!$E:$E,$B185,Dados!$C:$C,INDEX(M$3,1,1),Dados!$A:$A,INDEX($D:$E,MATCH("J",$D:$D,0),2))/COUNTIFS(Dados!$E:$E,$B185,Dados!$C:$C,INDEX(M$3,1,1),Dados!$A:$A,INDEX($D:$E,MATCH("J",$D:$D,0),2)))</f>
        <v/>
      </c>
      <c r="N185" s="66" t="str">
        <f ca="1">IF(COUNTIFS(Dados!$E:$E,$B185,Dados!$C:$C,INDEX(N$3,1,1),Dados!$A:$A,INDEX($D:$E,MATCH("J",$D:$D,0),2))=0,"",SUMIFS(Dados!$G:$G,Dados!$E:$E,$B185,Dados!$C:$C,INDEX(N$3,1,1),Dados!$A:$A,INDEX($D:$E,MATCH("J",$D:$D,0),2))/COUNTIFS(Dados!$E:$E,$B185,Dados!$C:$C,INDEX(N$3,1,1),Dados!$A:$A,INDEX($D:$E,MATCH("J",$D:$D,0),2)))</f>
        <v/>
      </c>
      <c r="O185" s="66" t="str">
        <f ca="1">IF(COUNTIFS(Dados!$E:$E,$B185,Dados!$C:$C,INDEX(O$3,1,1),Dados!$A:$A,INDEX($D:$E,MATCH("J",$D:$D,0),2))=0,"",SUMIFS(Dados!$G:$G,Dados!$E:$E,$B185,Dados!$C:$C,INDEX(O$3,1,1),Dados!$A:$A,INDEX($D:$E,MATCH("J",$D:$D,0),2))/COUNTIFS(Dados!$E:$E,$B185,Dados!$C:$C,INDEX(O$3,1,1),Dados!$A:$A,INDEX($D:$E,MATCH("J",$D:$D,0),2)))</f>
        <v/>
      </c>
      <c r="P185" s="66" t="str">
        <f ca="1">IF(COUNTIFS(Dados!$E:$E,$B185,Dados!$C:$C,INDEX(P$3,1,1),Dados!$A:$A,INDEX($D:$E,MATCH("J",$D:$D,0),2))=0,"",SUMIFS(Dados!$G:$G,Dados!$E:$E,$B185,Dados!$C:$C,INDEX(P$3,1,1),Dados!$A:$A,INDEX($D:$E,MATCH("J",$D:$D,0),2))/COUNTIFS(Dados!$E:$E,$B185,Dados!$C:$C,INDEX(P$3,1,1),Dados!$A:$A,INDEX($D:$E,MATCH("J",$D:$D,0),2)))</f>
        <v/>
      </c>
      <c r="Q185" s="66" t="str">
        <f ca="1">IF(COUNTIFS(Dados!$E:$E,$B185,Dados!$C:$C,INDEX(Q$3,1,1),Dados!$A:$A,INDEX($D:$E,MATCH("J",$D:$D,0),2))=0,"",SUMIFS(Dados!$G:$G,Dados!$E:$E,$B185,Dados!$C:$C,INDEX(Q$3,1,1),Dados!$A:$A,INDEX($D:$E,MATCH("J",$D:$D,0),2))/COUNTIFS(Dados!$E:$E,$B185,Dados!$C:$C,INDEX(Q$3,1,1),Dados!$A:$A,INDEX($D:$E,MATCH("J",$D:$D,0),2)))</f>
        <v/>
      </c>
      <c r="R185" s="66" t="str">
        <f ca="1">IF(COUNTIFS(Dados!$E:$E,$B185,Dados!$C:$C,INDEX(R$3,1,1),Dados!$A:$A,INDEX($D:$E,MATCH("J",$D:$D,0),2))=0,"",SUMIFS(Dados!$G:$G,Dados!$E:$E,$B185,Dados!$C:$C,INDEX(R$3,1,1),Dados!$A:$A,INDEX($D:$E,MATCH("J",$D:$D,0),2))/COUNTIFS(Dados!$E:$E,$B185,Dados!$C:$C,INDEX(R$3,1,1),Dados!$A:$A,INDEX($D:$E,MATCH("J",$D:$D,0),2)))</f>
        <v/>
      </c>
      <c r="S185" s="66" t="str">
        <f ca="1">IF(COUNTIFS(Dados!$E:$E,$B185,Dados!$C:$C,INDEX(S$3,1,1),Dados!$A:$A,INDEX($D:$E,MATCH("J",$D:$D,0),2))=0,"",SUMIFS(Dados!$G:$G,Dados!$E:$E,$B185,Dados!$C:$C,INDEX(S$3,1,1),Dados!$A:$A,INDEX($D:$E,MATCH("J",$D:$D,0),2))/COUNTIFS(Dados!$E:$E,$B185,Dados!$C:$C,INDEX(S$3,1,1),Dados!$A:$A,INDEX($D:$E,MATCH("J",$D:$D,0),2)))</f>
        <v/>
      </c>
      <c r="T185" s="66" t="str">
        <f ca="1">IF(COUNTIFS(Dados!$E:$E,$B185,Dados!$C:$C,INDEX(T$3,1,1),Dados!$A:$A,INDEX($D:$E,MATCH("J",$D:$D,0),2))=0,"",SUMIFS(Dados!$G:$G,Dados!$E:$E,$B185,Dados!$C:$C,INDEX(T$3,1,1),Dados!$A:$A,INDEX($D:$E,MATCH("J",$D:$D,0),2))/COUNTIFS(Dados!$E:$E,$B185,Dados!$C:$C,INDEX(T$3,1,1),Dados!$A:$A,INDEX($D:$E,MATCH("J",$D:$D,0),2)))</f>
        <v/>
      </c>
      <c r="U185" s="66" t="str">
        <f ca="1">IF(COUNTIFS(Dados!$E:$E,$B185,Dados!$C:$C,INDEX(U$3,1,1),Dados!$A:$A,INDEX($D:$E,MATCH("J",$D:$D,0),2))=0,"",SUMIFS(Dados!$G:$G,Dados!$E:$E,$B185,Dados!$C:$C,INDEX(U$3,1,1),Dados!$A:$A,INDEX($D:$E,MATCH("J",$D:$D,0),2))/COUNTIFS(Dados!$E:$E,$B185,Dados!$C:$C,INDEX(U$3,1,1),Dados!$A:$A,INDEX($D:$E,MATCH("J",$D:$D,0),2)))</f>
        <v/>
      </c>
      <c r="V185" s="66" t="str">
        <f ca="1">IF(COUNTIFS(Dados!$E:$E,$B185,Dados!$C:$C,INDEX(V$3,1,1),Dados!$A:$A,INDEX($D:$E,MATCH("J",$D:$D,0),2))=0,"",SUMIFS(Dados!$G:$G,Dados!$E:$E,$B185,Dados!$C:$C,INDEX(V$3,1,1),Dados!$A:$A,INDEX($D:$E,MATCH("J",$D:$D,0),2))/COUNTIFS(Dados!$E:$E,$B185,Dados!$C:$C,INDEX(V$3,1,1),Dados!$A:$A,INDEX($D:$E,MATCH("J",$D:$D,0),2)))</f>
        <v/>
      </c>
    </row>
    <row r="186" spans="2:22" x14ac:dyDescent="0.25">
      <c r="B186" s="67" t="s">
        <v>33</v>
      </c>
      <c r="C186" s="71">
        <f>VLOOKUP(B186,B4:C22,2,0)</f>
        <v>15</v>
      </c>
      <c r="D186" s="68" t="str">
        <f ca="1">IF(COUNTIFS(Dados!$E:$E,$B186,Dados!$C:$C,INDEX(D$3,1,1),Dados!$A:$A,INDEX($D:$E,MATCH("J",$D:$D,0),2))=0,"",SUMIFS(Dados!$G:$G,Dados!$E:$E,$B186,Dados!$C:$C,INDEX(D$3,1,1),Dados!$A:$A,INDEX($D:$E,MATCH("J",$D:$D,0),2))/COUNTIFS(Dados!$E:$E,$B186,Dados!$C:$C,INDEX(D$3,1,1),Dados!$A:$A,INDEX($D:$E,MATCH("J",$D:$D,0),2)))</f>
        <v/>
      </c>
      <c r="E186" s="68" t="str">
        <f ca="1">IF(COUNTIFS(Dados!$E:$E,$B186,Dados!$C:$C,INDEX(E$3,1,1),Dados!$A:$A,INDEX($D:$E,MATCH("J",$D:$D,0),2))=0,"",SUMIFS(Dados!$G:$G,Dados!$E:$E,$B186,Dados!$C:$C,INDEX(E$3,1,1),Dados!$A:$A,INDEX($D:$E,MATCH("J",$D:$D,0),2))/COUNTIFS(Dados!$E:$E,$B186,Dados!$C:$C,INDEX(E$3,1,1),Dados!$A:$A,INDEX($D:$E,MATCH("J",$D:$D,0),2)))</f>
        <v/>
      </c>
      <c r="F186" s="68" t="str">
        <f ca="1">IF(COUNTIFS(Dados!$E:$E,$B186,Dados!$C:$C,INDEX(F$3,1,1),Dados!$A:$A,INDEX($D:$E,MATCH("J",$D:$D,0),2))=0,"",SUMIFS(Dados!$G:$G,Dados!$E:$E,$B186,Dados!$C:$C,INDEX(F$3,1,1),Dados!$A:$A,INDEX($D:$E,MATCH("J",$D:$D,0),2))/COUNTIFS(Dados!$E:$E,$B186,Dados!$C:$C,INDEX(F$3,1,1),Dados!$A:$A,INDEX($D:$E,MATCH("J",$D:$D,0),2)))</f>
        <v/>
      </c>
      <c r="G186" s="68" t="str">
        <f ca="1">IF(COUNTIFS(Dados!$E:$E,$B186,Dados!$C:$C,INDEX(G$3,1,1),Dados!$A:$A,INDEX($D:$E,MATCH("J",$D:$D,0),2))=0,"",SUMIFS(Dados!$G:$G,Dados!$E:$E,$B186,Dados!$C:$C,INDEX(G$3,1,1),Dados!$A:$A,INDEX($D:$E,MATCH("J",$D:$D,0),2))/COUNTIFS(Dados!$E:$E,$B186,Dados!$C:$C,INDEX(G$3,1,1),Dados!$A:$A,INDEX($D:$E,MATCH("J",$D:$D,0),2)))</f>
        <v/>
      </c>
      <c r="H186" s="68" t="str">
        <f ca="1">IF(COUNTIFS(Dados!$E:$E,$B186,Dados!$C:$C,INDEX(H$3,1,1),Dados!$A:$A,INDEX($D:$E,MATCH("J",$D:$D,0),2))=0,"",SUMIFS(Dados!$G:$G,Dados!$E:$E,$B186,Dados!$C:$C,INDEX(H$3,1,1),Dados!$A:$A,INDEX($D:$E,MATCH("J",$D:$D,0),2))/COUNTIFS(Dados!$E:$E,$B186,Dados!$C:$C,INDEX(H$3,1,1),Dados!$A:$A,INDEX($D:$E,MATCH("J",$D:$D,0),2)))</f>
        <v/>
      </c>
      <c r="I186" s="68" t="str">
        <f ca="1">IF(COUNTIFS(Dados!$E:$E,$B186,Dados!$C:$C,INDEX(I$3,1,1),Dados!$A:$A,INDEX($D:$E,MATCH("J",$D:$D,0),2))=0,"",SUMIFS(Dados!$G:$G,Dados!$E:$E,$B186,Dados!$C:$C,INDEX(I$3,1,1),Dados!$A:$A,INDEX($D:$E,MATCH("J",$D:$D,0),2))/COUNTIFS(Dados!$E:$E,$B186,Dados!$C:$C,INDEX(I$3,1,1),Dados!$A:$A,INDEX($D:$E,MATCH("J",$D:$D,0),2)))</f>
        <v/>
      </c>
      <c r="J186" s="68" t="str">
        <f ca="1">IF(COUNTIFS(Dados!$E:$E,$B186,Dados!$C:$C,INDEX(J$3,1,1),Dados!$A:$A,INDEX($D:$E,MATCH("J",$D:$D,0),2))=0,"",SUMIFS(Dados!$G:$G,Dados!$E:$E,$B186,Dados!$C:$C,INDEX(J$3,1,1),Dados!$A:$A,INDEX($D:$E,MATCH("J",$D:$D,0),2))/COUNTIFS(Dados!$E:$E,$B186,Dados!$C:$C,INDEX(J$3,1,1),Dados!$A:$A,INDEX($D:$E,MATCH("J",$D:$D,0),2)))</f>
        <v/>
      </c>
      <c r="K186" s="68" t="str">
        <f ca="1">IF(COUNTIFS(Dados!$E:$E,$B186,Dados!$C:$C,INDEX(K$3,1,1),Dados!$A:$A,INDEX($D:$E,MATCH("J",$D:$D,0),2))=0,"",SUMIFS(Dados!$G:$G,Dados!$E:$E,$B186,Dados!$C:$C,INDEX(K$3,1,1),Dados!$A:$A,INDEX($D:$E,MATCH("J",$D:$D,0),2))/COUNTIFS(Dados!$E:$E,$B186,Dados!$C:$C,INDEX(K$3,1,1),Dados!$A:$A,INDEX($D:$E,MATCH("J",$D:$D,0),2)))</f>
        <v/>
      </c>
      <c r="L186" s="68" t="str">
        <f ca="1">IF(COUNTIFS(Dados!$E:$E,$B186,Dados!$C:$C,INDEX(L$3,1,1),Dados!$A:$A,INDEX($D:$E,MATCH("J",$D:$D,0),2))=0,"",SUMIFS(Dados!$G:$G,Dados!$E:$E,$B186,Dados!$C:$C,INDEX(L$3,1,1),Dados!$A:$A,INDEX($D:$E,MATCH("J",$D:$D,0),2))/COUNTIFS(Dados!$E:$E,$B186,Dados!$C:$C,INDEX(L$3,1,1),Dados!$A:$A,INDEX($D:$E,MATCH("J",$D:$D,0),2)))</f>
        <v/>
      </c>
      <c r="M186" s="68" t="str">
        <f ca="1">IF(COUNTIFS(Dados!$E:$E,$B186,Dados!$C:$C,INDEX(M$3,1,1),Dados!$A:$A,INDEX($D:$E,MATCH("J",$D:$D,0),2))=0,"",SUMIFS(Dados!$G:$G,Dados!$E:$E,$B186,Dados!$C:$C,INDEX(M$3,1,1),Dados!$A:$A,INDEX($D:$E,MATCH("J",$D:$D,0),2))/COUNTIFS(Dados!$E:$E,$B186,Dados!$C:$C,INDEX(M$3,1,1),Dados!$A:$A,INDEX($D:$E,MATCH("J",$D:$D,0),2)))</f>
        <v/>
      </c>
      <c r="N186" s="68" t="str">
        <f ca="1">IF(COUNTIFS(Dados!$E:$E,$B186,Dados!$C:$C,INDEX(N$3,1,1),Dados!$A:$A,INDEX($D:$E,MATCH("J",$D:$D,0),2))=0,"",SUMIFS(Dados!$G:$G,Dados!$E:$E,$B186,Dados!$C:$C,INDEX(N$3,1,1),Dados!$A:$A,INDEX($D:$E,MATCH("J",$D:$D,0),2))/COUNTIFS(Dados!$E:$E,$B186,Dados!$C:$C,INDEX(N$3,1,1),Dados!$A:$A,INDEX($D:$E,MATCH("J",$D:$D,0),2)))</f>
        <v/>
      </c>
      <c r="O186" s="68" t="str">
        <f ca="1">IF(COUNTIFS(Dados!$E:$E,$B186,Dados!$C:$C,INDEX(O$3,1,1),Dados!$A:$A,INDEX($D:$E,MATCH("J",$D:$D,0),2))=0,"",SUMIFS(Dados!$G:$G,Dados!$E:$E,$B186,Dados!$C:$C,INDEX(O$3,1,1),Dados!$A:$A,INDEX($D:$E,MATCH("J",$D:$D,0),2))/COUNTIFS(Dados!$E:$E,$B186,Dados!$C:$C,INDEX(O$3,1,1),Dados!$A:$A,INDEX($D:$E,MATCH("J",$D:$D,0),2)))</f>
        <v/>
      </c>
      <c r="P186" s="68" t="str">
        <f ca="1">IF(COUNTIFS(Dados!$E:$E,$B186,Dados!$C:$C,INDEX(P$3,1,1),Dados!$A:$A,INDEX($D:$E,MATCH("J",$D:$D,0),2))=0,"",SUMIFS(Dados!$G:$G,Dados!$E:$E,$B186,Dados!$C:$C,INDEX(P$3,1,1),Dados!$A:$A,INDEX($D:$E,MATCH("J",$D:$D,0),2))/COUNTIFS(Dados!$E:$E,$B186,Dados!$C:$C,INDEX(P$3,1,1),Dados!$A:$A,INDEX($D:$E,MATCH("J",$D:$D,0),2)))</f>
        <v/>
      </c>
      <c r="Q186" s="68" t="str">
        <f ca="1">IF(COUNTIFS(Dados!$E:$E,$B186,Dados!$C:$C,INDEX(Q$3,1,1),Dados!$A:$A,INDEX($D:$E,MATCH("J",$D:$D,0),2))=0,"",SUMIFS(Dados!$G:$G,Dados!$E:$E,$B186,Dados!$C:$C,INDEX(Q$3,1,1),Dados!$A:$A,INDEX($D:$E,MATCH("J",$D:$D,0),2))/COUNTIFS(Dados!$E:$E,$B186,Dados!$C:$C,INDEX(Q$3,1,1),Dados!$A:$A,INDEX($D:$E,MATCH("J",$D:$D,0),2)))</f>
        <v/>
      </c>
      <c r="R186" s="68" t="str">
        <f ca="1">IF(COUNTIFS(Dados!$E:$E,$B186,Dados!$C:$C,INDEX(R$3,1,1),Dados!$A:$A,INDEX($D:$E,MATCH("J",$D:$D,0),2))=0,"",SUMIFS(Dados!$G:$G,Dados!$E:$E,$B186,Dados!$C:$C,INDEX(R$3,1,1),Dados!$A:$A,INDEX($D:$E,MATCH("J",$D:$D,0),2))/COUNTIFS(Dados!$E:$E,$B186,Dados!$C:$C,INDEX(R$3,1,1),Dados!$A:$A,INDEX($D:$E,MATCH("J",$D:$D,0),2)))</f>
        <v/>
      </c>
      <c r="S186" s="68" t="str">
        <f ca="1">IF(COUNTIFS(Dados!$E:$E,$B186,Dados!$C:$C,INDEX(S$3,1,1),Dados!$A:$A,INDEX($D:$E,MATCH("J",$D:$D,0),2))=0,"",SUMIFS(Dados!$G:$G,Dados!$E:$E,$B186,Dados!$C:$C,INDEX(S$3,1,1),Dados!$A:$A,INDEX($D:$E,MATCH("J",$D:$D,0),2))/COUNTIFS(Dados!$E:$E,$B186,Dados!$C:$C,INDEX(S$3,1,1),Dados!$A:$A,INDEX($D:$E,MATCH("J",$D:$D,0),2)))</f>
        <v/>
      </c>
      <c r="T186" s="68" t="str">
        <f ca="1">IF(COUNTIFS(Dados!$E:$E,$B186,Dados!$C:$C,INDEX(T$3,1,1),Dados!$A:$A,INDEX($D:$E,MATCH("J",$D:$D,0),2))=0,"",SUMIFS(Dados!$G:$G,Dados!$E:$E,$B186,Dados!$C:$C,INDEX(T$3,1,1),Dados!$A:$A,INDEX($D:$E,MATCH("J",$D:$D,0),2))/COUNTIFS(Dados!$E:$E,$B186,Dados!$C:$C,INDEX(T$3,1,1),Dados!$A:$A,INDEX($D:$E,MATCH("J",$D:$D,0),2)))</f>
        <v/>
      </c>
      <c r="U186" s="68" t="str">
        <f ca="1">IF(COUNTIFS(Dados!$E:$E,$B186,Dados!$C:$C,INDEX(U$3,1,1),Dados!$A:$A,INDEX($D:$E,MATCH("J",$D:$D,0),2))=0,"",SUMIFS(Dados!$G:$G,Dados!$E:$E,$B186,Dados!$C:$C,INDEX(U$3,1,1),Dados!$A:$A,INDEX($D:$E,MATCH("J",$D:$D,0),2))/COUNTIFS(Dados!$E:$E,$B186,Dados!$C:$C,INDEX(U$3,1,1),Dados!$A:$A,INDEX($D:$E,MATCH("J",$D:$D,0),2)))</f>
        <v/>
      </c>
      <c r="V186" s="68" t="str">
        <f ca="1">IF(COUNTIFS(Dados!$E:$E,$B186,Dados!$C:$C,INDEX(V$3,1,1),Dados!$A:$A,INDEX($D:$E,MATCH("J",$D:$D,0),2))=0,"",SUMIFS(Dados!$G:$G,Dados!$E:$E,$B186,Dados!$C:$C,INDEX(V$3,1,1),Dados!$A:$A,INDEX($D:$E,MATCH("J",$D:$D,0),2))/COUNTIFS(Dados!$E:$E,$B186,Dados!$C:$C,INDEX(V$3,1,1),Dados!$A:$A,INDEX($D:$E,MATCH("J",$D:$D,0),2)))</f>
        <v/>
      </c>
    </row>
    <row r="187" spans="2:22" x14ac:dyDescent="0.25">
      <c r="B187" s="65" t="s">
        <v>1299</v>
      </c>
      <c r="C187" s="72">
        <f>VLOOKUP(B187,B4:C22,2,0)</f>
        <v>16</v>
      </c>
      <c r="D187" s="66" t="str">
        <f ca="1">IF(COUNTIFS(Dados!$E:$E,$B187,Dados!$C:$C,INDEX(D$3,1,1),Dados!$A:$A,INDEX($D:$E,MATCH("J",$D:$D,0),2))=0,"",SUMIFS(Dados!$G:$G,Dados!$E:$E,$B187,Dados!$C:$C,INDEX(D$3,1,1),Dados!$A:$A,INDEX($D:$E,MATCH("J",$D:$D,0),2))/COUNTIFS(Dados!$E:$E,$B187,Dados!$C:$C,INDEX(D$3,1,1),Dados!$A:$A,INDEX($D:$E,MATCH("J",$D:$D,0),2)))</f>
        <v/>
      </c>
      <c r="E187" s="66" t="str">
        <f ca="1">IF(COUNTIFS(Dados!$E:$E,$B187,Dados!$C:$C,INDEX(E$3,1,1),Dados!$A:$A,INDEX($D:$E,MATCH("J",$D:$D,0),2))=0,"",SUMIFS(Dados!$G:$G,Dados!$E:$E,$B187,Dados!$C:$C,INDEX(E$3,1,1),Dados!$A:$A,INDEX($D:$E,MATCH("J",$D:$D,0),2))/COUNTIFS(Dados!$E:$E,$B187,Dados!$C:$C,INDEX(E$3,1,1),Dados!$A:$A,INDEX($D:$E,MATCH("J",$D:$D,0),2)))</f>
        <v/>
      </c>
      <c r="F187" s="66" t="str">
        <f ca="1">IF(COUNTIFS(Dados!$E:$E,$B187,Dados!$C:$C,INDEX(F$3,1,1),Dados!$A:$A,INDEX($D:$E,MATCH("J",$D:$D,0),2))=0,"",SUMIFS(Dados!$G:$G,Dados!$E:$E,$B187,Dados!$C:$C,INDEX(F$3,1,1),Dados!$A:$A,INDEX($D:$E,MATCH("J",$D:$D,0),2))/COUNTIFS(Dados!$E:$E,$B187,Dados!$C:$C,INDEX(F$3,1,1),Dados!$A:$A,INDEX($D:$E,MATCH("J",$D:$D,0),2)))</f>
        <v/>
      </c>
      <c r="G187" s="66" t="str">
        <f ca="1">IF(COUNTIFS(Dados!$E:$E,$B187,Dados!$C:$C,INDEX(G$3,1,1),Dados!$A:$A,INDEX($D:$E,MATCH("J",$D:$D,0),2))=0,"",SUMIFS(Dados!$G:$G,Dados!$E:$E,$B187,Dados!$C:$C,INDEX(G$3,1,1),Dados!$A:$A,INDEX($D:$E,MATCH("J",$D:$D,0),2))/COUNTIFS(Dados!$E:$E,$B187,Dados!$C:$C,INDEX(G$3,1,1),Dados!$A:$A,INDEX($D:$E,MATCH("J",$D:$D,0),2)))</f>
        <v/>
      </c>
      <c r="H187" s="66" t="str">
        <f ca="1">IF(COUNTIFS(Dados!$E:$E,$B187,Dados!$C:$C,INDEX(H$3,1,1),Dados!$A:$A,INDEX($D:$E,MATCH("J",$D:$D,0),2))=0,"",SUMIFS(Dados!$G:$G,Dados!$E:$E,$B187,Dados!$C:$C,INDEX(H$3,1,1),Dados!$A:$A,INDEX($D:$E,MATCH("J",$D:$D,0),2))/COUNTIFS(Dados!$E:$E,$B187,Dados!$C:$C,INDEX(H$3,1,1),Dados!$A:$A,INDEX($D:$E,MATCH("J",$D:$D,0),2)))</f>
        <v/>
      </c>
      <c r="I187" s="66" t="str">
        <f ca="1">IF(COUNTIFS(Dados!$E:$E,$B187,Dados!$C:$C,INDEX(I$3,1,1),Dados!$A:$A,INDEX($D:$E,MATCH("J",$D:$D,0),2))=0,"",SUMIFS(Dados!$G:$G,Dados!$E:$E,$B187,Dados!$C:$C,INDEX(I$3,1,1),Dados!$A:$A,INDEX($D:$E,MATCH("J",$D:$D,0),2))/COUNTIFS(Dados!$E:$E,$B187,Dados!$C:$C,INDEX(I$3,1,1),Dados!$A:$A,INDEX($D:$E,MATCH("J",$D:$D,0),2)))</f>
        <v/>
      </c>
      <c r="J187" s="66" t="str">
        <f ca="1">IF(COUNTIFS(Dados!$E:$E,$B187,Dados!$C:$C,INDEX(J$3,1,1),Dados!$A:$A,INDEX($D:$E,MATCH("J",$D:$D,0),2))=0,"",SUMIFS(Dados!$G:$G,Dados!$E:$E,$B187,Dados!$C:$C,INDEX(J$3,1,1),Dados!$A:$A,INDEX($D:$E,MATCH("J",$D:$D,0),2))/COUNTIFS(Dados!$E:$E,$B187,Dados!$C:$C,INDEX(J$3,1,1),Dados!$A:$A,INDEX($D:$E,MATCH("J",$D:$D,0),2)))</f>
        <v/>
      </c>
      <c r="K187" s="66" t="str">
        <f ca="1">IF(COUNTIFS(Dados!$E:$E,$B187,Dados!$C:$C,INDEX(K$3,1,1),Dados!$A:$A,INDEX($D:$E,MATCH("J",$D:$D,0),2))=0,"",SUMIFS(Dados!$G:$G,Dados!$E:$E,$B187,Dados!$C:$C,INDEX(K$3,1,1),Dados!$A:$A,INDEX($D:$E,MATCH("J",$D:$D,0),2))/COUNTIFS(Dados!$E:$E,$B187,Dados!$C:$C,INDEX(K$3,1,1),Dados!$A:$A,INDEX($D:$E,MATCH("J",$D:$D,0),2)))</f>
        <v/>
      </c>
      <c r="L187" s="66" t="str">
        <f ca="1">IF(COUNTIFS(Dados!$E:$E,$B187,Dados!$C:$C,INDEX(L$3,1,1),Dados!$A:$A,INDEX($D:$E,MATCH("J",$D:$D,0),2))=0,"",SUMIFS(Dados!$G:$G,Dados!$E:$E,$B187,Dados!$C:$C,INDEX(L$3,1,1),Dados!$A:$A,INDEX($D:$E,MATCH("J",$D:$D,0),2))/COUNTIFS(Dados!$E:$E,$B187,Dados!$C:$C,INDEX(L$3,1,1),Dados!$A:$A,INDEX($D:$E,MATCH("J",$D:$D,0),2)))</f>
        <v/>
      </c>
      <c r="M187" s="66" t="str">
        <f ca="1">IF(COUNTIFS(Dados!$E:$E,$B187,Dados!$C:$C,INDEX(M$3,1,1),Dados!$A:$A,INDEX($D:$E,MATCH("J",$D:$D,0),2))=0,"",SUMIFS(Dados!$G:$G,Dados!$E:$E,$B187,Dados!$C:$C,INDEX(M$3,1,1),Dados!$A:$A,INDEX($D:$E,MATCH("J",$D:$D,0),2))/COUNTIFS(Dados!$E:$E,$B187,Dados!$C:$C,INDEX(M$3,1,1),Dados!$A:$A,INDEX($D:$E,MATCH("J",$D:$D,0),2)))</f>
        <v/>
      </c>
      <c r="N187" s="66" t="str">
        <f ca="1">IF(COUNTIFS(Dados!$E:$E,$B187,Dados!$C:$C,INDEX(N$3,1,1),Dados!$A:$A,INDEX($D:$E,MATCH("J",$D:$D,0),2))=0,"",SUMIFS(Dados!$G:$G,Dados!$E:$E,$B187,Dados!$C:$C,INDEX(N$3,1,1),Dados!$A:$A,INDEX($D:$E,MATCH("J",$D:$D,0),2))/COUNTIFS(Dados!$E:$E,$B187,Dados!$C:$C,INDEX(N$3,1,1),Dados!$A:$A,INDEX($D:$E,MATCH("J",$D:$D,0),2)))</f>
        <v/>
      </c>
      <c r="O187" s="66" t="str">
        <f ca="1">IF(COUNTIFS(Dados!$E:$E,$B187,Dados!$C:$C,INDEX(O$3,1,1),Dados!$A:$A,INDEX($D:$E,MATCH("J",$D:$D,0),2))=0,"",SUMIFS(Dados!$G:$G,Dados!$E:$E,$B187,Dados!$C:$C,INDEX(O$3,1,1),Dados!$A:$A,INDEX($D:$E,MATCH("J",$D:$D,0),2))/COUNTIFS(Dados!$E:$E,$B187,Dados!$C:$C,INDEX(O$3,1,1),Dados!$A:$A,INDEX($D:$E,MATCH("J",$D:$D,0),2)))</f>
        <v/>
      </c>
      <c r="P187" s="66" t="str">
        <f ca="1">IF(COUNTIFS(Dados!$E:$E,$B187,Dados!$C:$C,INDEX(P$3,1,1),Dados!$A:$A,INDEX($D:$E,MATCH("J",$D:$D,0),2))=0,"",SUMIFS(Dados!$G:$G,Dados!$E:$E,$B187,Dados!$C:$C,INDEX(P$3,1,1),Dados!$A:$A,INDEX($D:$E,MATCH("J",$D:$D,0),2))/COUNTIFS(Dados!$E:$E,$B187,Dados!$C:$C,INDEX(P$3,1,1),Dados!$A:$A,INDEX($D:$E,MATCH("J",$D:$D,0),2)))</f>
        <v/>
      </c>
      <c r="Q187" s="66" t="str">
        <f ca="1">IF(COUNTIFS(Dados!$E:$E,$B187,Dados!$C:$C,INDEX(Q$3,1,1),Dados!$A:$A,INDEX($D:$E,MATCH("J",$D:$D,0),2))=0,"",SUMIFS(Dados!$G:$G,Dados!$E:$E,$B187,Dados!$C:$C,INDEX(Q$3,1,1),Dados!$A:$A,INDEX($D:$E,MATCH("J",$D:$D,0),2))/COUNTIFS(Dados!$E:$E,$B187,Dados!$C:$C,INDEX(Q$3,1,1),Dados!$A:$A,INDEX($D:$E,MATCH("J",$D:$D,0),2)))</f>
        <v/>
      </c>
      <c r="R187" s="66" t="str">
        <f ca="1">IF(COUNTIFS(Dados!$E:$E,$B187,Dados!$C:$C,INDEX(R$3,1,1),Dados!$A:$A,INDEX($D:$E,MATCH("J",$D:$D,0),2))=0,"",SUMIFS(Dados!$G:$G,Dados!$E:$E,$B187,Dados!$C:$C,INDEX(R$3,1,1),Dados!$A:$A,INDEX($D:$E,MATCH("J",$D:$D,0),2))/COUNTIFS(Dados!$E:$E,$B187,Dados!$C:$C,INDEX(R$3,1,1),Dados!$A:$A,INDEX($D:$E,MATCH("J",$D:$D,0),2)))</f>
        <v/>
      </c>
      <c r="S187" s="66" t="str">
        <f ca="1">IF(COUNTIFS(Dados!$E:$E,$B187,Dados!$C:$C,INDEX(S$3,1,1),Dados!$A:$A,INDEX($D:$E,MATCH("J",$D:$D,0),2))=0,"",SUMIFS(Dados!$G:$G,Dados!$E:$E,$B187,Dados!$C:$C,INDEX(S$3,1,1),Dados!$A:$A,INDEX($D:$E,MATCH("J",$D:$D,0),2))/COUNTIFS(Dados!$E:$E,$B187,Dados!$C:$C,INDEX(S$3,1,1),Dados!$A:$A,INDEX($D:$E,MATCH("J",$D:$D,0),2)))</f>
        <v/>
      </c>
      <c r="T187" s="66" t="str">
        <f ca="1">IF(COUNTIFS(Dados!$E:$E,$B187,Dados!$C:$C,INDEX(T$3,1,1),Dados!$A:$A,INDEX($D:$E,MATCH("J",$D:$D,0),2))=0,"",SUMIFS(Dados!$G:$G,Dados!$E:$E,$B187,Dados!$C:$C,INDEX(T$3,1,1),Dados!$A:$A,INDEX($D:$E,MATCH("J",$D:$D,0),2))/COUNTIFS(Dados!$E:$E,$B187,Dados!$C:$C,INDEX(T$3,1,1),Dados!$A:$A,INDEX($D:$E,MATCH("J",$D:$D,0),2)))</f>
        <v/>
      </c>
      <c r="U187" s="66" t="str">
        <f ca="1">IF(COUNTIFS(Dados!$E:$E,$B187,Dados!$C:$C,INDEX(U$3,1,1),Dados!$A:$A,INDEX($D:$E,MATCH("J",$D:$D,0),2))=0,"",SUMIFS(Dados!$G:$G,Dados!$E:$E,$B187,Dados!$C:$C,INDEX(U$3,1,1),Dados!$A:$A,INDEX($D:$E,MATCH("J",$D:$D,0),2))/COUNTIFS(Dados!$E:$E,$B187,Dados!$C:$C,INDEX(U$3,1,1),Dados!$A:$A,INDEX($D:$E,MATCH("J",$D:$D,0),2)))</f>
        <v/>
      </c>
      <c r="V187" s="66" t="str">
        <f ca="1">IF(COUNTIFS(Dados!$E:$E,$B187,Dados!$C:$C,INDEX(V$3,1,1),Dados!$A:$A,INDEX($D:$E,MATCH("J",$D:$D,0),2))=0,"",SUMIFS(Dados!$G:$G,Dados!$E:$E,$B187,Dados!$C:$C,INDEX(V$3,1,1),Dados!$A:$A,INDEX($D:$E,MATCH("J",$D:$D,0),2))/COUNTIFS(Dados!$E:$E,$B187,Dados!$C:$C,INDEX(V$3,1,1),Dados!$A:$A,INDEX($D:$E,MATCH("J",$D:$D,0),2)))</f>
        <v/>
      </c>
    </row>
    <row r="188" spans="2:22" x14ac:dyDescent="0.25">
      <c r="B188" s="67" t="s">
        <v>374</v>
      </c>
      <c r="C188" s="71">
        <f>VLOOKUP(B188,B4:C22,2,0)</f>
        <v>17</v>
      </c>
      <c r="D188" s="68" t="str">
        <f ca="1">IF(COUNTIFS(Dados!$E:$E,$B188,Dados!$C:$C,INDEX(D$3,1,1),Dados!$A:$A,INDEX($D:$E,MATCH("J",$D:$D,0),2))=0,"",SUMIFS(Dados!$G:$G,Dados!$E:$E,$B188,Dados!$C:$C,INDEX(D$3,1,1),Dados!$A:$A,INDEX($D:$E,MATCH("J",$D:$D,0),2))/COUNTIFS(Dados!$E:$E,$B188,Dados!$C:$C,INDEX(D$3,1,1),Dados!$A:$A,INDEX($D:$E,MATCH("J",$D:$D,0),2)))</f>
        <v/>
      </c>
      <c r="E188" s="68" t="str">
        <f ca="1">IF(COUNTIFS(Dados!$E:$E,$B188,Dados!$C:$C,INDEX(E$3,1,1),Dados!$A:$A,INDEX($D:$E,MATCH("J",$D:$D,0),2))=0,"",SUMIFS(Dados!$G:$G,Dados!$E:$E,$B188,Dados!$C:$C,INDEX(E$3,1,1),Dados!$A:$A,INDEX($D:$E,MATCH("J",$D:$D,0),2))/COUNTIFS(Dados!$E:$E,$B188,Dados!$C:$C,INDEX(E$3,1,1),Dados!$A:$A,INDEX($D:$E,MATCH("J",$D:$D,0),2)))</f>
        <v/>
      </c>
      <c r="F188" s="68" t="str">
        <f ca="1">IF(COUNTIFS(Dados!$E:$E,$B188,Dados!$C:$C,INDEX(F$3,1,1),Dados!$A:$A,INDEX($D:$E,MATCH("J",$D:$D,0),2))=0,"",SUMIFS(Dados!$G:$G,Dados!$E:$E,$B188,Dados!$C:$C,INDEX(F$3,1,1),Dados!$A:$A,INDEX($D:$E,MATCH("J",$D:$D,0),2))/COUNTIFS(Dados!$E:$E,$B188,Dados!$C:$C,INDEX(F$3,1,1),Dados!$A:$A,INDEX($D:$E,MATCH("J",$D:$D,0),2)))</f>
        <v/>
      </c>
      <c r="G188" s="68" t="str">
        <f ca="1">IF(COUNTIFS(Dados!$E:$E,$B188,Dados!$C:$C,INDEX(G$3,1,1),Dados!$A:$A,INDEX($D:$E,MATCH("J",$D:$D,0),2))=0,"",SUMIFS(Dados!$G:$G,Dados!$E:$E,$B188,Dados!$C:$C,INDEX(G$3,1,1),Dados!$A:$A,INDEX($D:$E,MATCH("J",$D:$D,0),2))/COUNTIFS(Dados!$E:$E,$B188,Dados!$C:$C,INDEX(G$3,1,1),Dados!$A:$A,INDEX($D:$E,MATCH("J",$D:$D,0),2)))</f>
        <v/>
      </c>
      <c r="H188" s="68" t="str">
        <f ca="1">IF(COUNTIFS(Dados!$E:$E,$B188,Dados!$C:$C,INDEX(H$3,1,1),Dados!$A:$A,INDEX($D:$E,MATCH("J",$D:$D,0),2))=0,"",SUMIFS(Dados!$G:$G,Dados!$E:$E,$B188,Dados!$C:$C,INDEX(H$3,1,1),Dados!$A:$A,INDEX($D:$E,MATCH("J",$D:$D,0),2))/COUNTIFS(Dados!$E:$E,$B188,Dados!$C:$C,INDEX(H$3,1,1),Dados!$A:$A,INDEX($D:$E,MATCH("J",$D:$D,0),2)))</f>
        <v/>
      </c>
      <c r="I188" s="68" t="str">
        <f ca="1">IF(COUNTIFS(Dados!$E:$E,$B188,Dados!$C:$C,INDEX(I$3,1,1),Dados!$A:$A,INDEX($D:$E,MATCH("J",$D:$D,0),2))=0,"",SUMIFS(Dados!$G:$G,Dados!$E:$E,$B188,Dados!$C:$C,INDEX(I$3,1,1),Dados!$A:$A,INDEX($D:$E,MATCH("J",$D:$D,0),2))/COUNTIFS(Dados!$E:$E,$B188,Dados!$C:$C,INDEX(I$3,1,1),Dados!$A:$A,INDEX($D:$E,MATCH("J",$D:$D,0),2)))</f>
        <v/>
      </c>
      <c r="J188" s="68" t="str">
        <f ca="1">IF(COUNTIFS(Dados!$E:$E,$B188,Dados!$C:$C,INDEX(J$3,1,1),Dados!$A:$A,INDEX($D:$E,MATCH("J",$D:$D,0),2))=0,"",SUMIFS(Dados!$G:$G,Dados!$E:$E,$B188,Dados!$C:$C,INDEX(J$3,1,1),Dados!$A:$A,INDEX($D:$E,MATCH("J",$D:$D,0),2))/COUNTIFS(Dados!$E:$E,$B188,Dados!$C:$C,INDEX(J$3,1,1),Dados!$A:$A,INDEX($D:$E,MATCH("J",$D:$D,0),2)))</f>
        <v/>
      </c>
      <c r="K188" s="68" t="str">
        <f ca="1">IF(COUNTIFS(Dados!$E:$E,$B188,Dados!$C:$C,INDEX(K$3,1,1),Dados!$A:$A,INDEX($D:$E,MATCH("J",$D:$D,0),2))=0,"",SUMIFS(Dados!$G:$G,Dados!$E:$E,$B188,Dados!$C:$C,INDEX(K$3,1,1),Dados!$A:$A,INDEX($D:$E,MATCH("J",$D:$D,0),2))/COUNTIFS(Dados!$E:$E,$B188,Dados!$C:$C,INDEX(K$3,1,1),Dados!$A:$A,INDEX($D:$E,MATCH("J",$D:$D,0),2)))</f>
        <v/>
      </c>
      <c r="L188" s="68" t="str">
        <f ca="1">IF(COUNTIFS(Dados!$E:$E,$B188,Dados!$C:$C,INDEX(L$3,1,1),Dados!$A:$A,INDEX($D:$E,MATCH("J",$D:$D,0),2))=0,"",SUMIFS(Dados!$G:$G,Dados!$E:$E,$B188,Dados!$C:$C,INDEX(L$3,1,1),Dados!$A:$A,INDEX($D:$E,MATCH("J",$D:$D,0),2))/COUNTIFS(Dados!$E:$E,$B188,Dados!$C:$C,INDEX(L$3,1,1),Dados!$A:$A,INDEX($D:$E,MATCH("J",$D:$D,0),2)))</f>
        <v/>
      </c>
      <c r="M188" s="68" t="str">
        <f ca="1">IF(COUNTIFS(Dados!$E:$E,$B188,Dados!$C:$C,INDEX(M$3,1,1),Dados!$A:$A,INDEX($D:$E,MATCH("J",$D:$D,0),2))=0,"",SUMIFS(Dados!$G:$G,Dados!$E:$E,$B188,Dados!$C:$C,INDEX(M$3,1,1),Dados!$A:$A,INDEX($D:$E,MATCH("J",$D:$D,0),2))/COUNTIFS(Dados!$E:$E,$B188,Dados!$C:$C,INDEX(M$3,1,1),Dados!$A:$A,INDEX($D:$E,MATCH("J",$D:$D,0),2)))</f>
        <v/>
      </c>
      <c r="N188" s="68" t="str">
        <f ca="1">IF(COUNTIFS(Dados!$E:$E,$B188,Dados!$C:$C,INDEX(N$3,1,1),Dados!$A:$A,INDEX($D:$E,MATCH("J",$D:$D,0),2))=0,"",SUMIFS(Dados!$G:$G,Dados!$E:$E,$B188,Dados!$C:$C,INDEX(N$3,1,1),Dados!$A:$A,INDEX($D:$E,MATCH("J",$D:$D,0),2))/COUNTIFS(Dados!$E:$E,$B188,Dados!$C:$C,INDEX(N$3,1,1),Dados!$A:$A,INDEX($D:$E,MATCH("J",$D:$D,0),2)))</f>
        <v/>
      </c>
      <c r="O188" s="68" t="str">
        <f ca="1">IF(COUNTIFS(Dados!$E:$E,$B188,Dados!$C:$C,INDEX(O$3,1,1),Dados!$A:$A,INDEX($D:$E,MATCH("J",$D:$D,0),2))=0,"",SUMIFS(Dados!$G:$G,Dados!$E:$E,$B188,Dados!$C:$C,INDEX(O$3,1,1),Dados!$A:$A,INDEX($D:$E,MATCH("J",$D:$D,0),2))/COUNTIFS(Dados!$E:$E,$B188,Dados!$C:$C,INDEX(O$3,1,1),Dados!$A:$A,INDEX($D:$E,MATCH("J",$D:$D,0),2)))</f>
        <v/>
      </c>
      <c r="P188" s="68" t="str">
        <f ca="1">IF(COUNTIFS(Dados!$E:$E,$B188,Dados!$C:$C,INDEX(P$3,1,1),Dados!$A:$A,INDEX($D:$E,MATCH("J",$D:$D,0),2))=0,"",SUMIFS(Dados!$G:$G,Dados!$E:$E,$B188,Dados!$C:$C,INDEX(P$3,1,1),Dados!$A:$A,INDEX($D:$E,MATCH("J",$D:$D,0),2))/COUNTIFS(Dados!$E:$E,$B188,Dados!$C:$C,INDEX(P$3,1,1),Dados!$A:$A,INDEX($D:$E,MATCH("J",$D:$D,0),2)))</f>
        <v/>
      </c>
      <c r="Q188" s="68" t="str">
        <f ca="1">IF(COUNTIFS(Dados!$E:$E,$B188,Dados!$C:$C,INDEX(Q$3,1,1),Dados!$A:$A,INDEX($D:$E,MATCH("J",$D:$D,0),2))=0,"",SUMIFS(Dados!$G:$G,Dados!$E:$E,$B188,Dados!$C:$C,INDEX(Q$3,1,1),Dados!$A:$A,INDEX($D:$E,MATCH("J",$D:$D,0),2))/COUNTIFS(Dados!$E:$E,$B188,Dados!$C:$C,INDEX(Q$3,1,1),Dados!$A:$A,INDEX($D:$E,MATCH("J",$D:$D,0),2)))</f>
        <v/>
      </c>
      <c r="R188" s="68" t="str">
        <f ca="1">IF(COUNTIFS(Dados!$E:$E,$B188,Dados!$C:$C,INDEX(R$3,1,1),Dados!$A:$A,INDEX($D:$E,MATCH("J",$D:$D,0),2))=0,"",SUMIFS(Dados!$G:$G,Dados!$E:$E,$B188,Dados!$C:$C,INDEX(R$3,1,1),Dados!$A:$A,INDEX($D:$E,MATCH("J",$D:$D,0),2))/COUNTIFS(Dados!$E:$E,$B188,Dados!$C:$C,INDEX(R$3,1,1),Dados!$A:$A,INDEX($D:$E,MATCH("J",$D:$D,0),2)))</f>
        <v/>
      </c>
      <c r="S188" s="68" t="str">
        <f ca="1">IF(COUNTIFS(Dados!$E:$E,$B188,Dados!$C:$C,INDEX(S$3,1,1),Dados!$A:$A,INDEX($D:$E,MATCH("J",$D:$D,0),2))=0,"",SUMIFS(Dados!$G:$G,Dados!$E:$E,$B188,Dados!$C:$C,INDEX(S$3,1,1),Dados!$A:$A,INDEX($D:$E,MATCH("J",$D:$D,0),2))/COUNTIFS(Dados!$E:$E,$B188,Dados!$C:$C,INDEX(S$3,1,1),Dados!$A:$A,INDEX($D:$E,MATCH("J",$D:$D,0),2)))</f>
        <v/>
      </c>
      <c r="T188" s="68" t="str">
        <f ca="1">IF(COUNTIFS(Dados!$E:$E,$B188,Dados!$C:$C,INDEX(T$3,1,1),Dados!$A:$A,INDEX($D:$E,MATCH("J",$D:$D,0),2))=0,"",SUMIFS(Dados!$G:$G,Dados!$E:$E,$B188,Dados!$C:$C,INDEX(T$3,1,1),Dados!$A:$A,INDEX($D:$E,MATCH("J",$D:$D,0),2))/COUNTIFS(Dados!$E:$E,$B188,Dados!$C:$C,INDEX(T$3,1,1),Dados!$A:$A,INDEX($D:$E,MATCH("J",$D:$D,0),2)))</f>
        <v/>
      </c>
      <c r="U188" s="68" t="str">
        <f ca="1">IF(COUNTIFS(Dados!$E:$E,$B188,Dados!$C:$C,INDEX(U$3,1,1),Dados!$A:$A,INDEX($D:$E,MATCH("J",$D:$D,0),2))=0,"",SUMIFS(Dados!$G:$G,Dados!$E:$E,$B188,Dados!$C:$C,INDEX(U$3,1,1),Dados!$A:$A,INDEX($D:$E,MATCH("J",$D:$D,0),2))/COUNTIFS(Dados!$E:$E,$B188,Dados!$C:$C,INDEX(U$3,1,1),Dados!$A:$A,INDEX($D:$E,MATCH("J",$D:$D,0),2)))</f>
        <v/>
      </c>
      <c r="V188" s="68" t="str">
        <f ca="1">IF(COUNTIFS(Dados!$E:$E,$B188,Dados!$C:$C,INDEX(V$3,1,1),Dados!$A:$A,INDEX($D:$E,MATCH("J",$D:$D,0),2))=0,"",SUMIFS(Dados!$G:$G,Dados!$E:$E,$B188,Dados!$C:$C,INDEX(V$3,1,1),Dados!$A:$A,INDEX($D:$E,MATCH("J",$D:$D,0),2))/COUNTIFS(Dados!$E:$E,$B188,Dados!$C:$C,INDEX(V$3,1,1),Dados!$A:$A,INDEX($D:$E,MATCH("J",$D:$D,0),2)))</f>
        <v/>
      </c>
    </row>
    <row r="189" spans="2:22" x14ac:dyDescent="0.25">
      <c r="B189" s="65" t="s">
        <v>375</v>
      </c>
      <c r="C189" s="72">
        <f>VLOOKUP(B189,B4:C22,2,0)</f>
        <v>18</v>
      </c>
      <c r="D189" s="66" t="str">
        <f ca="1">IF(COUNTIFS(Dados!$E:$E,$B189,Dados!$C:$C,INDEX(D$3,1,1),Dados!$A:$A,INDEX($D:$E,MATCH("J",$D:$D,0),2))=0,"",SUMIFS(Dados!$G:$G,Dados!$E:$E,$B189,Dados!$C:$C,INDEX(D$3,1,1),Dados!$A:$A,INDEX($D:$E,MATCH("J",$D:$D,0),2))/COUNTIFS(Dados!$E:$E,$B189,Dados!$C:$C,INDEX(D$3,1,1),Dados!$A:$A,INDEX($D:$E,MATCH("J",$D:$D,0),2)))</f>
        <v/>
      </c>
      <c r="E189" s="66" t="str">
        <f ca="1">IF(COUNTIFS(Dados!$E:$E,$B189,Dados!$C:$C,INDEX(E$3,1,1),Dados!$A:$A,INDEX($D:$E,MATCH("J",$D:$D,0),2))=0,"",SUMIFS(Dados!$G:$G,Dados!$E:$E,$B189,Dados!$C:$C,INDEX(E$3,1,1),Dados!$A:$A,INDEX($D:$E,MATCH("J",$D:$D,0),2))/COUNTIFS(Dados!$E:$E,$B189,Dados!$C:$C,INDEX(E$3,1,1),Dados!$A:$A,INDEX($D:$E,MATCH("J",$D:$D,0),2)))</f>
        <v/>
      </c>
      <c r="F189" s="66" t="str">
        <f ca="1">IF(COUNTIFS(Dados!$E:$E,$B189,Dados!$C:$C,INDEX(F$3,1,1),Dados!$A:$A,INDEX($D:$E,MATCH("J",$D:$D,0),2))=0,"",SUMIFS(Dados!$G:$G,Dados!$E:$E,$B189,Dados!$C:$C,INDEX(F$3,1,1),Dados!$A:$A,INDEX($D:$E,MATCH("J",$D:$D,0),2))/COUNTIFS(Dados!$E:$E,$B189,Dados!$C:$C,INDEX(F$3,1,1),Dados!$A:$A,INDEX($D:$E,MATCH("J",$D:$D,0),2)))</f>
        <v/>
      </c>
      <c r="G189" s="66" t="str">
        <f ca="1">IF(COUNTIFS(Dados!$E:$E,$B189,Dados!$C:$C,INDEX(G$3,1,1),Dados!$A:$A,INDEX($D:$E,MATCH("J",$D:$D,0),2))=0,"",SUMIFS(Dados!$G:$G,Dados!$E:$E,$B189,Dados!$C:$C,INDEX(G$3,1,1),Dados!$A:$A,INDEX($D:$E,MATCH("J",$D:$D,0),2))/COUNTIFS(Dados!$E:$E,$B189,Dados!$C:$C,INDEX(G$3,1,1),Dados!$A:$A,INDEX($D:$E,MATCH("J",$D:$D,0),2)))</f>
        <v/>
      </c>
      <c r="H189" s="66" t="str">
        <f ca="1">IF(COUNTIFS(Dados!$E:$E,$B189,Dados!$C:$C,INDEX(H$3,1,1),Dados!$A:$A,INDEX($D:$E,MATCH("J",$D:$D,0),2))=0,"",SUMIFS(Dados!$G:$G,Dados!$E:$E,$B189,Dados!$C:$C,INDEX(H$3,1,1),Dados!$A:$A,INDEX($D:$E,MATCH("J",$D:$D,0),2))/COUNTIFS(Dados!$E:$E,$B189,Dados!$C:$C,INDEX(H$3,1,1),Dados!$A:$A,INDEX($D:$E,MATCH("J",$D:$D,0),2)))</f>
        <v/>
      </c>
      <c r="I189" s="66" t="str">
        <f ca="1">IF(COUNTIFS(Dados!$E:$E,$B189,Dados!$C:$C,INDEX(I$3,1,1),Dados!$A:$A,INDEX($D:$E,MATCH("J",$D:$D,0),2))=0,"",SUMIFS(Dados!$G:$G,Dados!$E:$E,$B189,Dados!$C:$C,INDEX(I$3,1,1),Dados!$A:$A,INDEX($D:$E,MATCH("J",$D:$D,0),2))/COUNTIFS(Dados!$E:$E,$B189,Dados!$C:$C,INDEX(I$3,1,1),Dados!$A:$A,INDEX($D:$E,MATCH("J",$D:$D,0),2)))</f>
        <v/>
      </c>
      <c r="J189" s="66" t="str">
        <f ca="1">IF(COUNTIFS(Dados!$E:$E,$B189,Dados!$C:$C,INDEX(J$3,1,1),Dados!$A:$A,INDEX($D:$E,MATCH("J",$D:$D,0),2))=0,"",SUMIFS(Dados!$G:$G,Dados!$E:$E,$B189,Dados!$C:$C,INDEX(J$3,1,1),Dados!$A:$A,INDEX($D:$E,MATCH("J",$D:$D,0),2))/COUNTIFS(Dados!$E:$E,$B189,Dados!$C:$C,INDEX(J$3,1,1),Dados!$A:$A,INDEX($D:$E,MATCH("J",$D:$D,0),2)))</f>
        <v/>
      </c>
      <c r="K189" s="66" t="str">
        <f ca="1">IF(COUNTIFS(Dados!$E:$E,$B189,Dados!$C:$C,INDEX(K$3,1,1),Dados!$A:$A,INDEX($D:$E,MATCH("J",$D:$D,0),2))=0,"",SUMIFS(Dados!$G:$G,Dados!$E:$E,$B189,Dados!$C:$C,INDEX(K$3,1,1),Dados!$A:$A,INDEX($D:$E,MATCH("J",$D:$D,0),2))/COUNTIFS(Dados!$E:$E,$B189,Dados!$C:$C,INDEX(K$3,1,1),Dados!$A:$A,INDEX($D:$E,MATCH("J",$D:$D,0),2)))</f>
        <v/>
      </c>
      <c r="L189" s="66" t="str">
        <f ca="1">IF(COUNTIFS(Dados!$E:$E,$B189,Dados!$C:$C,INDEX(L$3,1,1),Dados!$A:$A,INDEX($D:$E,MATCH("J",$D:$D,0),2))=0,"",SUMIFS(Dados!$G:$G,Dados!$E:$E,$B189,Dados!$C:$C,INDEX(L$3,1,1),Dados!$A:$A,INDEX($D:$E,MATCH("J",$D:$D,0),2))/COUNTIFS(Dados!$E:$E,$B189,Dados!$C:$C,INDEX(L$3,1,1),Dados!$A:$A,INDEX($D:$E,MATCH("J",$D:$D,0),2)))</f>
        <v/>
      </c>
      <c r="M189" s="66" t="str">
        <f ca="1">IF(COUNTIFS(Dados!$E:$E,$B189,Dados!$C:$C,INDEX(M$3,1,1),Dados!$A:$A,INDEX($D:$E,MATCH("J",$D:$D,0),2))=0,"",SUMIFS(Dados!$G:$G,Dados!$E:$E,$B189,Dados!$C:$C,INDEX(M$3,1,1),Dados!$A:$A,INDEX($D:$E,MATCH("J",$D:$D,0),2))/COUNTIFS(Dados!$E:$E,$B189,Dados!$C:$C,INDEX(M$3,1,1),Dados!$A:$A,INDEX($D:$E,MATCH("J",$D:$D,0),2)))</f>
        <v/>
      </c>
      <c r="N189" s="66" t="str">
        <f ca="1">IF(COUNTIFS(Dados!$E:$E,$B189,Dados!$C:$C,INDEX(N$3,1,1),Dados!$A:$A,INDEX($D:$E,MATCH("J",$D:$D,0),2))=0,"",SUMIFS(Dados!$G:$G,Dados!$E:$E,$B189,Dados!$C:$C,INDEX(N$3,1,1),Dados!$A:$A,INDEX($D:$E,MATCH("J",$D:$D,0),2))/COUNTIFS(Dados!$E:$E,$B189,Dados!$C:$C,INDEX(N$3,1,1),Dados!$A:$A,INDEX($D:$E,MATCH("J",$D:$D,0),2)))</f>
        <v/>
      </c>
      <c r="O189" s="66" t="str">
        <f ca="1">IF(COUNTIFS(Dados!$E:$E,$B189,Dados!$C:$C,INDEX(O$3,1,1),Dados!$A:$A,INDEX($D:$E,MATCH("J",$D:$D,0),2))=0,"",SUMIFS(Dados!$G:$G,Dados!$E:$E,$B189,Dados!$C:$C,INDEX(O$3,1,1),Dados!$A:$A,INDEX($D:$E,MATCH("J",$D:$D,0),2))/COUNTIFS(Dados!$E:$E,$B189,Dados!$C:$C,INDEX(O$3,1,1),Dados!$A:$A,INDEX($D:$E,MATCH("J",$D:$D,0),2)))</f>
        <v/>
      </c>
      <c r="P189" s="66" t="str">
        <f ca="1">IF(COUNTIFS(Dados!$E:$E,$B189,Dados!$C:$C,INDEX(P$3,1,1),Dados!$A:$A,INDEX($D:$E,MATCH("J",$D:$D,0),2))=0,"",SUMIFS(Dados!$G:$G,Dados!$E:$E,$B189,Dados!$C:$C,INDEX(P$3,1,1),Dados!$A:$A,INDEX($D:$E,MATCH("J",$D:$D,0),2))/COUNTIFS(Dados!$E:$E,$B189,Dados!$C:$C,INDEX(P$3,1,1),Dados!$A:$A,INDEX($D:$E,MATCH("J",$D:$D,0),2)))</f>
        <v/>
      </c>
      <c r="Q189" s="66" t="str">
        <f ca="1">IF(COUNTIFS(Dados!$E:$E,$B189,Dados!$C:$C,INDEX(Q$3,1,1),Dados!$A:$A,INDEX($D:$E,MATCH("J",$D:$D,0),2))=0,"",SUMIFS(Dados!$G:$G,Dados!$E:$E,$B189,Dados!$C:$C,INDEX(Q$3,1,1),Dados!$A:$A,INDEX($D:$E,MATCH("J",$D:$D,0),2))/COUNTIFS(Dados!$E:$E,$B189,Dados!$C:$C,INDEX(Q$3,1,1),Dados!$A:$A,INDEX($D:$E,MATCH("J",$D:$D,0),2)))</f>
        <v/>
      </c>
      <c r="R189" s="66" t="str">
        <f ca="1">IF(COUNTIFS(Dados!$E:$E,$B189,Dados!$C:$C,INDEX(R$3,1,1),Dados!$A:$A,INDEX($D:$E,MATCH("J",$D:$D,0),2))=0,"",SUMIFS(Dados!$G:$G,Dados!$E:$E,$B189,Dados!$C:$C,INDEX(R$3,1,1),Dados!$A:$A,INDEX($D:$E,MATCH("J",$D:$D,0),2))/COUNTIFS(Dados!$E:$E,$B189,Dados!$C:$C,INDEX(R$3,1,1),Dados!$A:$A,INDEX($D:$E,MATCH("J",$D:$D,0),2)))</f>
        <v/>
      </c>
      <c r="S189" s="66" t="str">
        <f ca="1">IF(COUNTIFS(Dados!$E:$E,$B189,Dados!$C:$C,INDEX(S$3,1,1),Dados!$A:$A,INDEX($D:$E,MATCH("J",$D:$D,0),2))=0,"",SUMIFS(Dados!$G:$G,Dados!$E:$E,$B189,Dados!$C:$C,INDEX(S$3,1,1),Dados!$A:$A,INDEX($D:$E,MATCH("J",$D:$D,0),2))/COUNTIFS(Dados!$E:$E,$B189,Dados!$C:$C,INDEX(S$3,1,1),Dados!$A:$A,INDEX($D:$E,MATCH("J",$D:$D,0),2)))</f>
        <v/>
      </c>
      <c r="T189" s="66" t="str">
        <f ca="1">IF(COUNTIFS(Dados!$E:$E,$B189,Dados!$C:$C,INDEX(T$3,1,1),Dados!$A:$A,INDEX($D:$E,MATCH("J",$D:$D,0),2))=0,"",SUMIFS(Dados!$G:$G,Dados!$E:$E,$B189,Dados!$C:$C,INDEX(T$3,1,1),Dados!$A:$A,INDEX($D:$E,MATCH("J",$D:$D,0),2))/COUNTIFS(Dados!$E:$E,$B189,Dados!$C:$C,INDEX(T$3,1,1),Dados!$A:$A,INDEX($D:$E,MATCH("J",$D:$D,0),2)))</f>
        <v/>
      </c>
      <c r="U189" s="66" t="str">
        <f ca="1">IF(COUNTIFS(Dados!$E:$E,$B189,Dados!$C:$C,INDEX(U$3,1,1),Dados!$A:$A,INDEX($D:$E,MATCH("J",$D:$D,0),2))=0,"",SUMIFS(Dados!$G:$G,Dados!$E:$E,$B189,Dados!$C:$C,INDEX(U$3,1,1),Dados!$A:$A,INDEX($D:$E,MATCH("J",$D:$D,0),2))/COUNTIFS(Dados!$E:$E,$B189,Dados!$C:$C,INDEX(U$3,1,1),Dados!$A:$A,INDEX($D:$E,MATCH("J",$D:$D,0),2)))</f>
        <v/>
      </c>
      <c r="V189" s="66" t="str">
        <f ca="1">IF(COUNTIFS(Dados!$E:$E,$B189,Dados!$C:$C,INDEX(V$3,1,1),Dados!$A:$A,INDEX($D:$E,MATCH("J",$D:$D,0),2))=0,"",SUMIFS(Dados!$G:$G,Dados!$E:$E,$B189,Dados!$C:$C,INDEX(V$3,1,1),Dados!$A:$A,INDEX($D:$E,MATCH("J",$D:$D,0),2))/COUNTIFS(Dados!$E:$E,$B189,Dados!$C:$C,INDEX(V$3,1,1),Dados!$A:$A,INDEX($D:$E,MATCH("J",$D:$D,0),2)))</f>
        <v/>
      </c>
    </row>
    <row r="190" spans="2:22" x14ac:dyDescent="0.25">
      <c r="B190" s="67" t="s">
        <v>1300</v>
      </c>
      <c r="C190" s="71">
        <f>VLOOKUP(B190,B4:C22,2,0)</f>
        <v>19</v>
      </c>
      <c r="D190" s="68" t="str">
        <f ca="1">IF(COUNTIFS(Dados!$E:$E,$B190,Dados!$C:$C,INDEX(D$3,1,1),Dados!$A:$A,INDEX($D:$E,MATCH("J",$D:$D,0),2))=0,"",SUMIFS(Dados!$G:$G,Dados!$E:$E,$B190,Dados!$C:$C,INDEX(D$3,1,1),Dados!$A:$A,INDEX($D:$E,MATCH("J",$D:$D,0),2))/COUNTIFS(Dados!$E:$E,$B190,Dados!$C:$C,INDEX(D$3,1,1),Dados!$A:$A,INDEX($D:$E,MATCH("J",$D:$D,0),2)))</f>
        <v/>
      </c>
      <c r="E190" s="68" t="str">
        <f ca="1">IF(COUNTIFS(Dados!$E:$E,$B190,Dados!$C:$C,INDEX(E$3,1,1),Dados!$A:$A,INDEX($D:$E,MATCH("J",$D:$D,0),2))=0,"",SUMIFS(Dados!$G:$G,Dados!$E:$E,$B190,Dados!$C:$C,INDEX(E$3,1,1),Dados!$A:$A,INDEX($D:$E,MATCH("J",$D:$D,0),2))/COUNTIFS(Dados!$E:$E,$B190,Dados!$C:$C,INDEX(E$3,1,1),Dados!$A:$A,INDEX($D:$E,MATCH("J",$D:$D,0),2)))</f>
        <v/>
      </c>
      <c r="F190" s="68" t="str">
        <f ca="1">IF(COUNTIFS(Dados!$E:$E,$B190,Dados!$C:$C,INDEX(F$3,1,1),Dados!$A:$A,INDEX($D:$E,MATCH("J",$D:$D,0),2))=0,"",SUMIFS(Dados!$G:$G,Dados!$E:$E,$B190,Dados!$C:$C,INDEX(F$3,1,1),Dados!$A:$A,INDEX($D:$E,MATCH("J",$D:$D,0),2))/COUNTIFS(Dados!$E:$E,$B190,Dados!$C:$C,INDEX(F$3,1,1),Dados!$A:$A,INDEX($D:$E,MATCH("J",$D:$D,0),2)))</f>
        <v/>
      </c>
      <c r="G190" s="68" t="str">
        <f ca="1">IF(COUNTIFS(Dados!$E:$E,$B190,Dados!$C:$C,INDEX(G$3,1,1),Dados!$A:$A,INDEX($D:$E,MATCH("J",$D:$D,0),2))=0,"",SUMIFS(Dados!$G:$G,Dados!$E:$E,$B190,Dados!$C:$C,INDEX(G$3,1,1),Dados!$A:$A,INDEX($D:$E,MATCH("J",$D:$D,0),2))/COUNTIFS(Dados!$E:$E,$B190,Dados!$C:$C,INDEX(G$3,1,1),Dados!$A:$A,INDEX($D:$E,MATCH("J",$D:$D,0),2)))</f>
        <v/>
      </c>
      <c r="H190" s="68" t="str">
        <f ca="1">IF(COUNTIFS(Dados!$E:$E,$B190,Dados!$C:$C,INDEX(H$3,1,1),Dados!$A:$A,INDEX($D:$E,MATCH("J",$D:$D,0),2))=0,"",SUMIFS(Dados!$G:$G,Dados!$E:$E,$B190,Dados!$C:$C,INDEX(H$3,1,1),Dados!$A:$A,INDEX($D:$E,MATCH("J",$D:$D,0),2))/COUNTIFS(Dados!$E:$E,$B190,Dados!$C:$C,INDEX(H$3,1,1),Dados!$A:$A,INDEX($D:$E,MATCH("J",$D:$D,0),2)))</f>
        <v/>
      </c>
      <c r="I190" s="68" t="str">
        <f ca="1">IF(COUNTIFS(Dados!$E:$E,$B190,Dados!$C:$C,INDEX(I$3,1,1),Dados!$A:$A,INDEX($D:$E,MATCH("J",$D:$D,0),2))=0,"",SUMIFS(Dados!$G:$G,Dados!$E:$E,$B190,Dados!$C:$C,INDEX(I$3,1,1),Dados!$A:$A,INDEX($D:$E,MATCH("J",$D:$D,0),2))/COUNTIFS(Dados!$E:$E,$B190,Dados!$C:$C,INDEX(I$3,1,1),Dados!$A:$A,INDEX($D:$E,MATCH("J",$D:$D,0),2)))</f>
        <v/>
      </c>
      <c r="J190" s="68" t="str">
        <f ca="1">IF(COUNTIFS(Dados!$E:$E,$B190,Dados!$C:$C,INDEX(J$3,1,1),Dados!$A:$A,INDEX($D:$E,MATCH("J",$D:$D,0),2))=0,"",SUMIFS(Dados!$G:$G,Dados!$E:$E,$B190,Dados!$C:$C,INDEX(J$3,1,1),Dados!$A:$A,INDEX($D:$E,MATCH("J",$D:$D,0),2))/COUNTIFS(Dados!$E:$E,$B190,Dados!$C:$C,INDEX(J$3,1,1),Dados!$A:$A,INDEX($D:$E,MATCH("J",$D:$D,0),2)))</f>
        <v/>
      </c>
      <c r="K190" s="68" t="str">
        <f ca="1">IF(COUNTIFS(Dados!$E:$E,$B190,Dados!$C:$C,INDEX(K$3,1,1),Dados!$A:$A,INDEX($D:$E,MATCH("J",$D:$D,0),2))=0,"",SUMIFS(Dados!$G:$G,Dados!$E:$E,$B190,Dados!$C:$C,INDEX(K$3,1,1),Dados!$A:$A,INDEX($D:$E,MATCH("J",$D:$D,0),2))/COUNTIFS(Dados!$E:$E,$B190,Dados!$C:$C,INDEX(K$3,1,1),Dados!$A:$A,INDEX($D:$E,MATCH("J",$D:$D,0),2)))</f>
        <v/>
      </c>
      <c r="L190" s="68" t="str">
        <f ca="1">IF(COUNTIFS(Dados!$E:$E,$B190,Dados!$C:$C,INDEX(L$3,1,1),Dados!$A:$A,INDEX($D:$E,MATCH("J",$D:$D,0),2))=0,"",SUMIFS(Dados!$G:$G,Dados!$E:$E,$B190,Dados!$C:$C,INDEX(L$3,1,1),Dados!$A:$A,INDEX($D:$E,MATCH("J",$D:$D,0),2))/COUNTIFS(Dados!$E:$E,$B190,Dados!$C:$C,INDEX(L$3,1,1),Dados!$A:$A,INDEX($D:$E,MATCH("J",$D:$D,0),2)))</f>
        <v/>
      </c>
      <c r="M190" s="68" t="str">
        <f ca="1">IF(COUNTIFS(Dados!$E:$E,$B190,Dados!$C:$C,INDEX(M$3,1,1),Dados!$A:$A,INDEX($D:$E,MATCH("J",$D:$D,0),2))=0,"",SUMIFS(Dados!$G:$G,Dados!$E:$E,$B190,Dados!$C:$C,INDEX(M$3,1,1),Dados!$A:$A,INDEX($D:$E,MATCH("J",$D:$D,0),2))/COUNTIFS(Dados!$E:$E,$B190,Dados!$C:$C,INDEX(M$3,1,1),Dados!$A:$A,INDEX($D:$E,MATCH("J",$D:$D,0),2)))</f>
        <v/>
      </c>
      <c r="N190" s="68" t="str">
        <f ca="1">IF(COUNTIFS(Dados!$E:$E,$B190,Dados!$C:$C,INDEX(N$3,1,1),Dados!$A:$A,INDEX($D:$E,MATCH("J",$D:$D,0),2))=0,"",SUMIFS(Dados!$G:$G,Dados!$E:$E,$B190,Dados!$C:$C,INDEX(N$3,1,1),Dados!$A:$A,INDEX($D:$E,MATCH("J",$D:$D,0),2))/COUNTIFS(Dados!$E:$E,$B190,Dados!$C:$C,INDEX(N$3,1,1),Dados!$A:$A,INDEX($D:$E,MATCH("J",$D:$D,0),2)))</f>
        <v/>
      </c>
      <c r="O190" s="68" t="str">
        <f ca="1">IF(COUNTIFS(Dados!$E:$E,$B190,Dados!$C:$C,INDEX(O$3,1,1),Dados!$A:$A,INDEX($D:$E,MATCH("J",$D:$D,0),2))=0,"",SUMIFS(Dados!$G:$G,Dados!$E:$E,$B190,Dados!$C:$C,INDEX(O$3,1,1),Dados!$A:$A,INDEX($D:$E,MATCH("J",$D:$D,0),2))/COUNTIFS(Dados!$E:$E,$B190,Dados!$C:$C,INDEX(O$3,1,1),Dados!$A:$A,INDEX($D:$E,MATCH("J",$D:$D,0),2)))</f>
        <v/>
      </c>
      <c r="P190" s="68" t="str">
        <f ca="1">IF(COUNTIFS(Dados!$E:$E,$B190,Dados!$C:$C,INDEX(P$3,1,1),Dados!$A:$A,INDEX($D:$E,MATCH("J",$D:$D,0),2))=0,"",SUMIFS(Dados!$G:$G,Dados!$E:$E,$B190,Dados!$C:$C,INDEX(P$3,1,1),Dados!$A:$A,INDEX($D:$E,MATCH("J",$D:$D,0),2))/COUNTIFS(Dados!$E:$E,$B190,Dados!$C:$C,INDEX(P$3,1,1),Dados!$A:$A,INDEX($D:$E,MATCH("J",$D:$D,0),2)))</f>
        <v/>
      </c>
      <c r="Q190" s="68" t="str">
        <f ca="1">IF(COUNTIFS(Dados!$E:$E,$B190,Dados!$C:$C,INDEX(Q$3,1,1),Dados!$A:$A,INDEX($D:$E,MATCH("J",$D:$D,0),2))=0,"",SUMIFS(Dados!$G:$G,Dados!$E:$E,$B190,Dados!$C:$C,INDEX(Q$3,1,1),Dados!$A:$A,INDEX($D:$E,MATCH("J",$D:$D,0),2))/COUNTIFS(Dados!$E:$E,$B190,Dados!$C:$C,INDEX(Q$3,1,1),Dados!$A:$A,INDEX($D:$E,MATCH("J",$D:$D,0),2)))</f>
        <v/>
      </c>
      <c r="R190" s="68" t="str">
        <f ca="1">IF(COUNTIFS(Dados!$E:$E,$B190,Dados!$C:$C,INDEX(R$3,1,1),Dados!$A:$A,INDEX($D:$E,MATCH("J",$D:$D,0),2))=0,"",SUMIFS(Dados!$G:$G,Dados!$E:$E,$B190,Dados!$C:$C,INDEX(R$3,1,1),Dados!$A:$A,INDEX($D:$E,MATCH("J",$D:$D,0),2))/COUNTIFS(Dados!$E:$E,$B190,Dados!$C:$C,INDEX(R$3,1,1),Dados!$A:$A,INDEX($D:$E,MATCH("J",$D:$D,0),2)))</f>
        <v/>
      </c>
      <c r="S190" s="68" t="str">
        <f ca="1">IF(COUNTIFS(Dados!$E:$E,$B190,Dados!$C:$C,INDEX(S$3,1,1),Dados!$A:$A,INDEX($D:$E,MATCH("J",$D:$D,0),2))=0,"",SUMIFS(Dados!$G:$G,Dados!$E:$E,$B190,Dados!$C:$C,INDEX(S$3,1,1),Dados!$A:$A,INDEX($D:$E,MATCH("J",$D:$D,0),2))/COUNTIFS(Dados!$E:$E,$B190,Dados!$C:$C,INDEX(S$3,1,1),Dados!$A:$A,INDEX($D:$E,MATCH("J",$D:$D,0),2)))</f>
        <v/>
      </c>
      <c r="T190" s="68" t="str">
        <f ca="1">IF(COUNTIFS(Dados!$E:$E,$B190,Dados!$C:$C,INDEX(T$3,1,1),Dados!$A:$A,INDEX($D:$E,MATCH("J",$D:$D,0),2))=0,"",SUMIFS(Dados!$G:$G,Dados!$E:$E,$B190,Dados!$C:$C,INDEX(T$3,1,1),Dados!$A:$A,INDEX($D:$E,MATCH("J",$D:$D,0),2))/COUNTIFS(Dados!$E:$E,$B190,Dados!$C:$C,INDEX(T$3,1,1),Dados!$A:$A,INDEX($D:$E,MATCH("J",$D:$D,0),2)))</f>
        <v/>
      </c>
      <c r="U190" s="68" t="str">
        <f ca="1">IF(COUNTIFS(Dados!$E:$E,$B190,Dados!$C:$C,INDEX(U$3,1,1),Dados!$A:$A,INDEX($D:$E,MATCH("J",$D:$D,0),2))=0,"",SUMIFS(Dados!$G:$G,Dados!$E:$E,$B190,Dados!$C:$C,INDEX(U$3,1,1),Dados!$A:$A,INDEX($D:$E,MATCH("J",$D:$D,0),2))/COUNTIFS(Dados!$E:$E,$B190,Dados!$C:$C,INDEX(U$3,1,1),Dados!$A:$A,INDEX($D:$E,MATCH("J",$D:$D,0),2)))</f>
        <v/>
      </c>
      <c r="V190" s="68" t="str">
        <f ca="1">IF(COUNTIFS(Dados!$E:$E,$B190,Dados!$C:$C,INDEX(V$3,1,1),Dados!$A:$A,INDEX($D:$E,MATCH("J",$D:$D,0),2))=0,"",SUMIFS(Dados!$G:$G,Dados!$E:$E,$B190,Dados!$C:$C,INDEX(V$3,1,1),Dados!$A:$A,INDEX($D:$E,MATCH("J",$D:$D,0),2))/COUNTIFS(Dados!$E:$E,$B190,Dados!$C:$C,INDEX(V$3,1,1),Dados!$A:$A,INDEX($D:$E,MATCH("J",$D:$D,0),2)))</f>
        <v/>
      </c>
    </row>
    <row r="191" spans="2:22" x14ac:dyDescent="0.25">
      <c r="B191" s="63" t="s">
        <v>983</v>
      </c>
      <c r="C191" s="63"/>
      <c r="D191" s="63" t="s">
        <v>1281</v>
      </c>
      <c r="E191" s="73">
        <v>40</v>
      </c>
    </row>
    <row r="192" spans="2:22" x14ac:dyDescent="0.25">
      <c r="B192" s="69" t="s">
        <v>974</v>
      </c>
      <c r="C192" s="70" t="s">
        <v>1291</v>
      </c>
      <c r="D192" s="61">
        <v>1978</v>
      </c>
      <c r="E192" s="61">
        <v>1982</v>
      </c>
      <c r="F192" s="61">
        <v>1991</v>
      </c>
      <c r="G192" s="61">
        <v>1996</v>
      </c>
      <c r="H192" s="61">
        <v>1997</v>
      </c>
      <c r="I192" s="61">
        <v>1998</v>
      </c>
      <c r="J192" s="61">
        <v>1999</v>
      </c>
      <c r="K192" s="61">
        <v>2000</v>
      </c>
      <c r="L192" s="61">
        <v>2001</v>
      </c>
      <c r="M192" s="61">
        <v>2002</v>
      </c>
      <c r="N192" s="61">
        <v>2003</v>
      </c>
      <c r="O192" s="61">
        <v>2004</v>
      </c>
      <c r="P192" s="61">
        <v>2005</v>
      </c>
      <c r="Q192" s="61">
        <v>2006</v>
      </c>
      <c r="R192" s="61">
        <v>2007</v>
      </c>
      <c r="S192" s="61">
        <v>2008</v>
      </c>
      <c r="T192" s="61">
        <v>2010</v>
      </c>
      <c r="U192" s="61">
        <v>2011</v>
      </c>
      <c r="V192" s="61">
        <v>2012</v>
      </c>
    </row>
    <row r="193" spans="2:22" x14ac:dyDescent="0.25">
      <c r="B193" s="65" t="s">
        <v>107</v>
      </c>
      <c r="C193" s="72">
        <f>VLOOKUP(B193,B4:C22,2,0)</f>
        <v>1</v>
      </c>
      <c r="D193" s="66" t="str">
        <f ca="1">IF(COUNTIFS(Dados!$E:$E,$B193,Dados!$C:$C,INDEX(D$3,1,1),Dados!$A:$A,INDEX($D:$E,MATCH("K",$D:$D,0),2))=0,"",SUMIFS(Dados!$G:$G,Dados!$E:$E,$B193,Dados!$C:$C,INDEX(D$3,1,1),Dados!$A:$A,INDEX($D:$E,MATCH("K",$D:$D,0),2))/COUNTIFS(Dados!$E:$E,$B193,Dados!$C:$C,INDEX(D$3,1,1),Dados!$A:$A,INDEX($D:$E,MATCH("K",$D:$D,0),2)))</f>
        <v/>
      </c>
      <c r="E193" s="66" t="str">
        <f ca="1">IF(COUNTIFS(Dados!$E:$E,$B193,Dados!$C:$C,INDEX(E$3,1,1),Dados!$A:$A,INDEX($D:$E,MATCH("K",$D:$D,0),2))=0,"",SUMIFS(Dados!$G:$G,Dados!$E:$E,$B193,Dados!$C:$C,INDEX(E$3,1,1),Dados!$A:$A,INDEX($D:$E,MATCH("K",$D:$D,0),2))/COUNTIFS(Dados!$E:$E,$B193,Dados!$C:$C,INDEX(E$3,1,1),Dados!$A:$A,INDEX($D:$E,MATCH("K",$D:$D,0),2)))</f>
        <v/>
      </c>
      <c r="F193" s="66" t="str">
        <f ca="1">IF(COUNTIFS(Dados!$E:$E,$B193,Dados!$C:$C,INDEX(F$3,1,1),Dados!$A:$A,INDEX($D:$E,MATCH("K",$D:$D,0),2))=0,"",SUMIFS(Dados!$G:$G,Dados!$E:$E,$B193,Dados!$C:$C,INDEX(F$3,1,1),Dados!$A:$A,INDEX($D:$E,MATCH("K",$D:$D,0),2))/COUNTIFS(Dados!$E:$E,$B193,Dados!$C:$C,INDEX(F$3,1,1),Dados!$A:$A,INDEX($D:$E,MATCH("K",$D:$D,0),2)))</f>
        <v/>
      </c>
      <c r="G193" s="66" t="str">
        <f ca="1">IF(COUNTIFS(Dados!$E:$E,$B193,Dados!$C:$C,INDEX(G$3,1,1),Dados!$A:$A,INDEX($D:$E,MATCH("K",$D:$D,0),2))=0,"",SUMIFS(Dados!$G:$G,Dados!$E:$E,$B193,Dados!$C:$C,INDEX(G$3,1,1),Dados!$A:$A,INDEX($D:$E,MATCH("K",$D:$D,0),2))/COUNTIFS(Dados!$E:$E,$B193,Dados!$C:$C,INDEX(G$3,1,1),Dados!$A:$A,INDEX($D:$E,MATCH("K",$D:$D,0),2)))</f>
        <v/>
      </c>
      <c r="H193" s="66" t="str">
        <f ca="1">IF(COUNTIFS(Dados!$E:$E,$B193,Dados!$C:$C,INDEX(H$3,1,1),Dados!$A:$A,INDEX($D:$E,MATCH("K",$D:$D,0),2))=0,"",SUMIFS(Dados!$G:$G,Dados!$E:$E,$B193,Dados!$C:$C,INDEX(H$3,1,1),Dados!$A:$A,INDEX($D:$E,MATCH("K",$D:$D,0),2))/COUNTIFS(Dados!$E:$E,$B193,Dados!$C:$C,INDEX(H$3,1,1),Dados!$A:$A,INDEX($D:$E,MATCH("K",$D:$D,0),2)))</f>
        <v/>
      </c>
      <c r="I193" s="66" t="str">
        <f ca="1">IF(COUNTIFS(Dados!$E:$E,$B193,Dados!$C:$C,INDEX(I$3,1,1),Dados!$A:$A,INDEX($D:$E,MATCH("K",$D:$D,0),2))=0,"",SUMIFS(Dados!$G:$G,Dados!$E:$E,$B193,Dados!$C:$C,INDEX(I$3,1,1),Dados!$A:$A,INDEX($D:$E,MATCH("K",$D:$D,0),2))/COUNTIFS(Dados!$E:$E,$B193,Dados!$C:$C,INDEX(I$3,1,1),Dados!$A:$A,INDEX($D:$E,MATCH("K",$D:$D,0),2)))</f>
        <v/>
      </c>
      <c r="J193" s="66" t="str">
        <f ca="1">IF(COUNTIFS(Dados!$E:$E,$B193,Dados!$C:$C,INDEX(J$3,1,1),Dados!$A:$A,INDEX($D:$E,MATCH("K",$D:$D,0),2))=0,"",SUMIFS(Dados!$G:$G,Dados!$E:$E,$B193,Dados!$C:$C,INDEX(J$3,1,1),Dados!$A:$A,INDEX($D:$E,MATCH("K",$D:$D,0),2))/COUNTIFS(Dados!$E:$E,$B193,Dados!$C:$C,INDEX(J$3,1,1),Dados!$A:$A,INDEX($D:$E,MATCH("K",$D:$D,0),2)))</f>
        <v/>
      </c>
      <c r="K193" s="66" t="str">
        <f ca="1">IF(COUNTIFS(Dados!$E:$E,$B193,Dados!$C:$C,INDEX(K$3,1,1),Dados!$A:$A,INDEX($D:$E,MATCH("K",$D:$D,0),2))=0,"",SUMIFS(Dados!$G:$G,Dados!$E:$E,$B193,Dados!$C:$C,INDEX(K$3,1,1),Dados!$A:$A,INDEX($D:$E,MATCH("K",$D:$D,0),2))/COUNTIFS(Dados!$E:$E,$B193,Dados!$C:$C,INDEX(K$3,1,1),Dados!$A:$A,INDEX($D:$E,MATCH("K",$D:$D,0),2)))</f>
        <v/>
      </c>
      <c r="L193" s="66" t="str">
        <f ca="1">IF(COUNTIFS(Dados!$E:$E,$B193,Dados!$C:$C,INDEX(L$3,1,1),Dados!$A:$A,INDEX($D:$E,MATCH("K",$D:$D,0),2))=0,"",SUMIFS(Dados!$G:$G,Dados!$E:$E,$B193,Dados!$C:$C,INDEX(L$3,1,1),Dados!$A:$A,INDEX($D:$E,MATCH("K",$D:$D,0),2))/COUNTIFS(Dados!$E:$E,$B193,Dados!$C:$C,INDEX(L$3,1,1),Dados!$A:$A,INDEX($D:$E,MATCH("K",$D:$D,0),2)))</f>
        <v/>
      </c>
      <c r="M193" s="66" t="str">
        <f ca="1">IF(COUNTIFS(Dados!$E:$E,$B193,Dados!$C:$C,INDEX(M$3,1,1),Dados!$A:$A,INDEX($D:$E,MATCH("K",$D:$D,0),2))=0,"",SUMIFS(Dados!$G:$G,Dados!$E:$E,$B193,Dados!$C:$C,INDEX(M$3,1,1),Dados!$A:$A,INDEX($D:$E,MATCH("K",$D:$D,0),2))/COUNTIFS(Dados!$E:$E,$B193,Dados!$C:$C,INDEX(M$3,1,1),Dados!$A:$A,INDEX($D:$E,MATCH("K",$D:$D,0),2)))</f>
        <v/>
      </c>
      <c r="N193" s="66" t="str">
        <f ca="1">IF(COUNTIFS(Dados!$E:$E,$B193,Dados!$C:$C,INDEX(N$3,1,1),Dados!$A:$A,INDEX($D:$E,MATCH("K",$D:$D,0),2))=0,"",SUMIFS(Dados!$G:$G,Dados!$E:$E,$B193,Dados!$C:$C,INDEX(N$3,1,1),Dados!$A:$A,INDEX($D:$E,MATCH("K",$D:$D,0),2))/COUNTIFS(Dados!$E:$E,$B193,Dados!$C:$C,INDEX(N$3,1,1),Dados!$A:$A,INDEX($D:$E,MATCH("K",$D:$D,0),2)))</f>
        <v/>
      </c>
      <c r="O193" s="66" t="str">
        <f ca="1">IF(COUNTIFS(Dados!$E:$E,$B193,Dados!$C:$C,INDEX(O$3,1,1),Dados!$A:$A,INDEX($D:$E,MATCH("K",$D:$D,0),2))=0,"",SUMIFS(Dados!$G:$G,Dados!$E:$E,$B193,Dados!$C:$C,INDEX(O$3,1,1),Dados!$A:$A,INDEX($D:$E,MATCH("K",$D:$D,0),2))/COUNTIFS(Dados!$E:$E,$B193,Dados!$C:$C,INDEX(O$3,1,1),Dados!$A:$A,INDEX($D:$E,MATCH("K",$D:$D,0),2)))</f>
        <v/>
      </c>
      <c r="P193" s="66" t="str">
        <f ca="1">IF(COUNTIFS(Dados!$E:$E,$B193,Dados!$C:$C,INDEX(P$3,1,1),Dados!$A:$A,INDEX($D:$E,MATCH("K",$D:$D,0),2))=0,"",SUMIFS(Dados!$G:$G,Dados!$E:$E,$B193,Dados!$C:$C,INDEX(P$3,1,1),Dados!$A:$A,INDEX($D:$E,MATCH("K",$D:$D,0),2))/COUNTIFS(Dados!$E:$E,$B193,Dados!$C:$C,INDEX(P$3,1,1),Dados!$A:$A,INDEX($D:$E,MATCH("K",$D:$D,0),2)))</f>
        <v/>
      </c>
      <c r="Q193" s="66" t="str">
        <f ca="1">IF(COUNTIFS(Dados!$E:$E,$B193,Dados!$C:$C,INDEX(Q$3,1,1),Dados!$A:$A,INDEX($D:$E,MATCH("K",$D:$D,0),2))=0,"",SUMIFS(Dados!$G:$G,Dados!$E:$E,$B193,Dados!$C:$C,INDEX(Q$3,1,1),Dados!$A:$A,INDEX($D:$E,MATCH("K",$D:$D,0),2))/COUNTIFS(Dados!$E:$E,$B193,Dados!$C:$C,INDEX(Q$3,1,1),Dados!$A:$A,INDEX($D:$E,MATCH("K",$D:$D,0),2)))</f>
        <v/>
      </c>
      <c r="R193" s="66" t="str">
        <f ca="1">IF(COUNTIFS(Dados!$E:$E,$B193,Dados!$C:$C,INDEX(R$3,1,1),Dados!$A:$A,INDEX($D:$E,MATCH("K",$D:$D,0),2))=0,"",SUMIFS(Dados!$G:$G,Dados!$E:$E,$B193,Dados!$C:$C,INDEX(R$3,1,1),Dados!$A:$A,INDEX($D:$E,MATCH("K",$D:$D,0),2))/COUNTIFS(Dados!$E:$E,$B193,Dados!$C:$C,INDEX(R$3,1,1),Dados!$A:$A,INDEX($D:$E,MATCH("K",$D:$D,0),2)))</f>
        <v/>
      </c>
      <c r="S193" s="66" t="str">
        <f ca="1">IF(COUNTIFS(Dados!$E:$E,$B193,Dados!$C:$C,INDEX(S$3,1,1),Dados!$A:$A,INDEX($D:$E,MATCH("K",$D:$D,0),2))=0,"",SUMIFS(Dados!$G:$G,Dados!$E:$E,$B193,Dados!$C:$C,INDEX(S$3,1,1),Dados!$A:$A,INDEX($D:$E,MATCH("K",$D:$D,0),2))/COUNTIFS(Dados!$E:$E,$B193,Dados!$C:$C,INDEX(S$3,1,1),Dados!$A:$A,INDEX($D:$E,MATCH("K",$D:$D,0),2)))</f>
        <v/>
      </c>
      <c r="T193" s="66" t="str">
        <f ca="1">IF(COUNTIFS(Dados!$E:$E,$B193,Dados!$C:$C,INDEX(T$3,1,1),Dados!$A:$A,INDEX($D:$E,MATCH("K",$D:$D,0),2))=0,"",SUMIFS(Dados!$G:$G,Dados!$E:$E,$B193,Dados!$C:$C,INDEX(T$3,1,1),Dados!$A:$A,INDEX($D:$E,MATCH("K",$D:$D,0),2))/COUNTIFS(Dados!$E:$E,$B193,Dados!$C:$C,INDEX(T$3,1,1),Dados!$A:$A,INDEX($D:$E,MATCH("K",$D:$D,0),2)))</f>
        <v/>
      </c>
      <c r="U193" s="66" t="str">
        <f ca="1">IF(COUNTIFS(Dados!$E:$E,$B193,Dados!$C:$C,INDEX(U$3,1,1),Dados!$A:$A,INDEX($D:$E,MATCH("K",$D:$D,0),2))=0,"",SUMIFS(Dados!$G:$G,Dados!$E:$E,$B193,Dados!$C:$C,INDEX(U$3,1,1),Dados!$A:$A,INDEX($D:$E,MATCH("K",$D:$D,0),2))/COUNTIFS(Dados!$E:$E,$B193,Dados!$C:$C,INDEX(U$3,1,1),Dados!$A:$A,INDEX($D:$E,MATCH("K",$D:$D,0),2)))</f>
        <v/>
      </c>
      <c r="V193" s="66" t="str">
        <f ca="1">IF(COUNTIFS(Dados!$E:$E,$B193,Dados!$C:$C,INDEX(V$3,1,1),Dados!$A:$A,INDEX($D:$E,MATCH("K",$D:$D,0),2))=0,"",SUMIFS(Dados!$G:$G,Dados!$E:$E,$B193,Dados!$C:$C,INDEX(V$3,1,1),Dados!$A:$A,INDEX($D:$E,MATCH("K",$D:$D,0),2))/COUNTIFS(Dados!$E:$E,$B193,Dados!$C:$C,INDEX(V$3,1,1),Dados!$A:$A,INDEX($D:$E,MATCH("K",$D:$D,0),2)))</f>
        <v/>
      </c>
    </row>
    <row r="194" spans="2:22" x14ac:dyDescent="0.25">
      <c r="B194" s="67" t="s">
        <v>96</v>
      </c>
      <c r="C194" s="71">
        <f>VLOOKUP(B194,B4:C22,2,0)</f>
        <v>2</v>
      </c>
      <c r="D194" s="68" t="str">
        <f ca="1">IF(COUNTIFS(Dados!$E:$E,$B194,Dados!$C:$C,INDEX(D$3,1,1),Dados!$A:$A,INDEX($D:$E,MATCH("K",$D:$D,0),2))=0,"",SUMIFS(Dados!$G:$G,Dados!$E:$E,$B194,Dados!$C:$C,INDEX(D$3,1,1),Dados!$A:$A,INDEX($D:$E,MATCH("K",$D:$D,0),2))/COUNTIFS(Dados!$E:$E,$B194,Dados!$C:$C,INDEX(D$3,1,1),Dados!$A:$A,INDEX($D:$E,MATCH("K",$D:$D,0),2)))</f>
        <v/>
      </c>
      <c r="E194" s="68" t="str">
        <f ca="1">IF(COUNTIFS(Dados!$E:$E,$B194,Dados!$C:$C,INDEX(E$3,1,1),Dados!$A:$A,INDEX($D:$E,MATCH("K",$D:$D,0),2))=0,"",SUMIFS(Dados!$G:$G,Dados!$E:$E,$B194,Dados!$C:$C,INDEX(E$3,1,1),Dados!$A:$A,INDEX($D:$E,MATCH("K",$D:$D,0),2))/COUNTIFS(Dados!$E:$E,$B194,Dados!$C:$C,INDEX(E$3,1,1),Dados!$A:$A,INDEX($D:$E,MATCH("K",$D:$D,0),2)))</f>
        <v/>
      </c>
      <c r="F194" s="68" t="str">
        <f ca="1">IF(COUNTIFS(Dados!$E:$E,$B194,Dados!$C:$C,INDEX(F$3,1,1),Dados!$A:$A,INDEX($D:$E,MATCH("K",$D:$D,0),2))=0,"",SUMIFS(Dados!$G:$G,Dados!$E:$E,$B194,Dados!$C:$C,INDEX(F$3,1,1),Dados!$A:$A,INDEX($D:$E,MATCH("K",$D:$D,0),2))/COUNTIFS(Dados!$E:$E,$B194,Dados!$C:$C,INDEX(F$3,1,1),Dados!$A:$A,INDEX($D:$E,MATCH("K",$D:$D,0),2)))</f>
        <v/>
      </c>
      <c r="G194" s="68" t="str">
        <f ca="1">IF(COUNTIFS(Dados!$E:$E,$B194,Dados!$C:$C,INDEX(G$3,1,1),Dados!$A:$A,INDEX($D:$E,MATCH("K",$D:$D,0),2))=0,"",SUMIFS(Dados!$G:$G,Dados!$E:$E,$B194,Dados!$C:$C,INDEX(G$3,1,1),Dados!$A:$A,INDEX($D:$E,MATCH("K",$D:$D,0),2))/COUNTIFS(Dados!$E:$E,$B194,Dados!$C:$C,INDEX(G$3,1,1),Dados!$A:$A,INDEX($D:$E,MATCH("K",$D:$D,0),2)))</f>
        <v/>
      </c>
      <c r="H194" s="68" t="str">
        <f ca="1">IF(COUNTIFS(Dados!$E:$E,$B194,Dados!$C:$C,INDEX(H$3,1,1),Dados!$A:$A,INDEX($D:$E,MATCH("K",$D:$D,0),2))=0,"",SUMIFS(Dados!$G:$G,Dados!$E:$E,$B194,Dados!$C:$C,INDEX(H$3,1,1),Dados!$A:$A,INDEX($D:$E,MATCH("K",$D:$D,0),2))/COUNTIFS(Dados!$E:$E,$B194,Dados!$C:$C,INDEX(H$3,1,1),Dados!$A:$A,INDEX($D:$E,MATCH("K",$D:$D,0),2)))</f>
        <v/>
      </c>
      <c r="I194" s="68" t="str">
        <f ca="1">IF(COUNTIFS(Dados!$E:$E,$B194,Dados!$C:$C,INDEX(I$3,1,1),Dados!$A:$A,INDEX($D:$E,MATCH("K",$D:$D,0),2))=0,"",SUMIFS(Dados!$G:$G,Dados!$E:$E,$B194,Dados!$C:$C,INDEX(I$3,1,1),Dados!$A:$A,INDEX($D:$E,MATCH("K",$D:$D,0),2))/COUNTIFS(Dados!$E:$E,$B194,Dados!$C:$C,INDEX(I$3,1,1),Dados!$A:$A,INDEX($D:$E,MATCH("K",$D:$D,0),2)))</f>
        <v/>
      </c>
      <c r="J194" s="68" t="str">
        <f ca="1">IF(COUNTIFS(Dados!$E:$E,$B194,Dados!$C:$C,INDEX(J$3,1,1),Dados!$A:$A,INDEX($D:$E,MATCH("K",$D:$D,0),2))=0,"",SUMIFS(Dados!$G:$G,Dados!$E:$E,$B194,Dados!$C:$C,INDEX(J$3,1,1),Dados!$A:$A,INDEX($D:$E,MATCH("K",$D:$D,0),2))/COUNTIFS(Dados!$E:$E,$B194,Dados!$C:$C,INDEX(J$3,1,1),Dados!$A:$A,INDEX($D:$E,MATCH("K",$D:$D,0),2)))</f>
        <v/>
      </c>
      <c r="K194" s="68" t="str">
        <f ca="1">IF(COUNTIFS(Dados!$E:$E,$B194,Dados!$C:$C,INDEX(K$3,1,1),Dados!$A:$A,INDEX($D:$E,MATCH("K",$D:$D,0),2))=0,"",SUMIFS(Dados!$G:$G,Dados!$E:$E,$B194,Dados!$C:$C,INDEX(K$3,1,1),Dados!$A:$A,INDEX($D:$E,MATCH("K",$D:$D,0),2))/COUNTIFS(Dados!$E:$E,$B194,Dados!$C:$C,INDEX(K$3,1,1),Dados!$A:$A,INDEX($D:$E,MATCH("K",$D:$D,0),2)))</f>
        <v/>
      </c>
      <c r="L194" s="68" t="str">
        <f ca="1">IF(COUNTIFS(Dados!$E:$E,$B194,Dados!$C:$C,INDEX(L$3,1,1),Dados!$A:$A,INDEX($D:$E,MATCH("K",$D:$D,0),2))=0,"",SUMIFS(Dados!$G:$G,Dados!$E:$E,$B194,Dados!$C:$C,INDEX(L$3,1,1),Dados!$A:$A,INDEX($D:$E,MATCH("K",$D:$D,0),2))/COUNTIFS(Dados!$E:$E,$B194,Dados!$C:$C,INDEX(L$3,1,1),Dados!$A:$A,INDEX($D:$E,MATCH("K",$D:$D,0),2)))</f>
        <v/>
      </c>
      <c r="M194" s="68" t="str">
        <f ca="1">IF(COUNTIFS(Dados!$E:$E,$B194,Dados!$C:$C,INDEX(M$3,1,1),Dados!$A:$A,INDEX($D:$E,MATCH("K",$D:$D,0),2))=0,"",SUMIFS(Dados!$G:$G,Dados!$E:$E,$B194,Dados!$C:$C,INDEX(M$3,1,1),Dados!$A:$A,INDEX($D:$E,MATCH("K",$D:$D,0),2))/COUNTIFS(Dados!$E:$E,$B194,Dados!$C:$C,INDEX(M$3,1,1),Dados!$A:$A,INDEX($D:$E,MATCH("K",$D:$D,0),2)))</f>
        <v/>
      </c>
      <c r="N194" s="68" t="str">
        <f ca="1">IF(COUNTIFS(Dados!$E:$E,$B194,Dados!$C:$C,INDEX(N$3,1,1),Dados!$A:$A,INDEX($D:$E,MATCH("K",$D:$D,0),2))=0,"",SUMIFS(Dados!$G:$G,Dados!$E:$E,$B194,Dados!$C:$C,INDEX(N$3,1,1),Dados!$A:$A,INDEX($D:$E,MATCH("K",$D:$D,0),2))/COUNTIFS(Dados!$E:$E,$B194,Dados!$C:$C,INDEX(N$3,1,1),Dados!$A:$A,INDEX($D:$E,MATCH("K",$D:$D,0),2)))</f>
        <v/>
      </c>
      <c r="O194" s="68" t="str">
        <f ca="1">IF(COUNTIFS(Dados!$E:$E,$B194,Dados!$C:$C,INDEX(O$3,1,1),Dados!$A:$A,INDEX($D:$E,MATCH("K",$D:$D,0),2))=0,"",SUMIFS(Dados!$G:$G,Dados!$E:$E,$B194,Dados!$C:$C,INDEX(O$3,1,1),Dados!$A:$A,INDEX($D:$E,MATCH("K",$D:$D,0),2))/COUNTIFS(Dados!$E:$E,$B194,Dados!$C:$C,INDEX(O$3,1,1),Dados!$A:$A,INDEX($D:$E,MATCH("K",$D:$D,0),2)))</f>
        <v/>
      </c>
      <c r="P194" s="68" t="str">
        <f ca="1">IF(COUNTIFS(Dados!$E:$E,$B194,Dados!$C:$C,INDEX(P$3,1,1),Dados!$A:$A,INDEX($D:$E,MATCH("K",$D:$D,0),2))=0,"",SUMIFS(Dados!$G:$G,Dados!$E:$E,$B194,Dados!$C:$C,INDEX(P$3,1,1),Dados!$A:$A,INDEX($D:$E,MATCH("K",$D:$D,0),2))/COUNTIFS(Dados!$E:$E,$B194,Dados!$C:$C,INDEX(P$3,1,1),Dados!$A:$A,INDEX($D:$E,MATCH("K",$D:$D,0),2)))</f>
        <v/>
      </c>
      <c r="Q194" s="68" t="str">
        <f ca="1">IF(COUNTIFS(Dados!$E:$E,$B194,Dados!$C:$C,INDEX(Q$3,1,1),Dados!$A:$A,INDEX($D:$E,MATCH("K",$D:$D,0),2))=0,"",SUMIFS(Dados!$G:$G,Dados!$E:$E,$B194,Dados!$C:$C,INDEX(Q$3,1,1),Dados!$A:$A,INDEX($D:$E,MATCH("K",$D:$D,0),2))/COUNTIFS(Dados!$E:$E,$B194,Dados!$C:$C,INDEX(Q$3,1,1),Dados!$A:$A,INDEX($D:$E,MATCH("K",$D:$D,0),2)))</f>
        <v/>
      </c>
      <c r="R194" s="68" t="str">
        <f ca="1">IF(COUNTIFS(Dados!$E:$E,$B194,Dados!$C:$C,INDEX(R$3,1,1),Dados!$A:$A,INDEX($D:$E,MATCH("K",$D:$D,0),2))=0,"",SUMIFS(Dados!$G:$G,Dados!$E:$E,$B194,Dados!$C:$C,INDEX(R$3,1,1),Dados!$A:$A,INDEX($D:$E,MATCH("K",$D:$D,0),2))/COUNTIFS(Dados!$E:$E,$B194,Dados!$C:$C,INDEX(R$3,1,1),Dados!$A:$A,INDEX($D:$E,MATCH("K",$D:$D,0),2)))</f>
        <v/>
      </c>
      <c r="S194" s="68" t="str">
        <f ca="1">IF(COUNTIFS(Dados!$E:$E,$B194,Dados!$C:$C,INDEX(S$3,1,1),Dados!$A:$A,INDEX($D:$E,MATCH("K",$D:$D,0),2))=0,"",SUMIFS(Dados!$G:$G,Dados!$E:$E,$B194,Dados!$C:$C,INDEX(S$3,1,1),Dados!$A:$A,INDEX($D:$E,MATCH("K",$D:$D,0),2))/COUNTIFS(Dados!$E:$E,$B194,Dados!$C:$C,INDEX(S$3,1,1),Dados!$A:$A,INDEX($D:$E,MATCH("K",$D:$D,0),2)))</f>
        <v/>
      </c>
      <c r="T194" s="68" t="str">
        <f ca="1">IF(COUNTIFS(Dados!$E:$E,$B194,Dados!$C:$C,INDEX(T$3,1,1),Dados!$A:$A,INDEX($D:$E,MATCH("K",$D:$D,0),2))=0,"",SUMIFS(Dados!$G:$G,Dados!$E:$E,$B194,Dados!$C:$C,INDEX(T$3,1,1),Dados!$A:$A,INDEX($D:$E,MATCH("K",$D:$D,0),2))/COUNTIFS(Dados!$E:$E,$B194,Dados!$C:$C,INDEX(T$3,1,1),Dados!$A:$A,INDEX($D:$E,MATCH("K",$D:$D,0),2)))</f>
        <v/>
      </c>
      <c r="U194" s="68" t="str">
        <f ca="1">IF(COUNTIFS(Dados!$E:$E,$B194,Dados!$C:$C,INDEX(U$3,1,1),Dados!$A:$A,INDEX($D:$E,MATCH("K",$D:$D,0),2))=0,"",SUMIFS(Dados!$G:$G,Dados!$E:$E,$B194,Dados!$C:$C,INDEX(U$3,1,1),Dados!$A:$A,INDEX($D:$E,MATCH("K",$D:$D,0),2))/COUNTIFS(Dados!$E:$E,$B194,Dados!$C:$C,INDEX(U$3,1,1),Dados!$A:$A,INDEX($D:$E,MATCH("K",$D:$D,0),2)))</f>
        <v/>
      </c>
      <c r="V194" s="68" t="str">
        <f ca="1">IF(COUNTIFS(Dados!$E:$E,$B194,Dados!$C:$C,INDEX(V$3,1,1),Dados!$A:$A,INDEX($D:$E,MATCH("K",$D:$D,0),2))=0,"",SUMIFS(Dados!$G:$G,Dados!$E:$E,$B194,Dados!$C:$C,INDEX(V$3,1,1),Dados!$A:$A,INDEX($D:$E,MATCH("K",$D:$D,0),2))/COUNTIFS(Dados!$E:$E,$B194,Dados!$C:$C,INDEX(V$3,1,1),Dados!$A:$A,INDEX($D:$E,MATCH("K",$D:$D,0),2)))</f>
        <v/>
      </c>
    </row>
    <row r="195" spans="2:22" x14ac:dyDescent="0.25">
      <c r="B195" s="65" t="s">
        <v>1297</v>
      </c>
      <c r="C195" s="72">
        <f>VLOOKUP(B195,B4:C22,2,0)</f>
        <v>3</v>
      </c>
      <c r="D195" s="66" t="str">
        <f ca="1">IF(COUNTIFS(Dados!$E:$E,$B195,Dados!$C:$C,INDEX(D$3,1,1),Dados!$A:$A,INDEX($D:$E,MATCH("K",$D:$D,0),2))=0,"",SUMIFS(Dados!$G:$G,Dados!$E:$E,$B195,Dados!$C:$C,INDEX(D$3,1,1),Dados!$A:$A,INDEX($D:$E,MATCH("K",$D:$D,0),2))/COUNTIFS(Dados!$E:$E,$B195,Dados!$C:$C,INDEX(D$3,1,1),Dados!$A:$A,INDEX($D:$E,MATCH("K",$D:$D,0),2)))</f>
        <v/>
      </c>
      <c r="E195" s="66" t="str">
        <f ca="1">IF(COUNTIFS(Dados!$E:$E,$B195,Dados!$C:$C,INDEX(E$3,1,1),Dados!$A:$A,INDEX($D:$E,MATCH("K",$D:$D,0),2))=0,"",SUMIFS(Dados!$G:$G,Dados!$E:$E,$B195,Dados!$C:$C,INDEX(E$3,1,1),Dados!$A:$A,INDEX($D:$E,MATCH("K",$D:$D,0),2))/COUNTIFS(Dados!$E:$E,$B195,Dados!$C:$C,INDEX(E$3,1,1),Dados!$A:$A,INDEX($D:$E,MATCH("K",$D:$D,0),2)))</f>
        <v/>
      </c>
      <c r="F195" s="66" t="str">
        <f ca="1">IF(COUNTIFS(Dados!$E:$E,$B195,Dados!$C:$C,INDEX(F$3,1,1),Dados!$A:$A,INDEX($D:$E,MATCH("K",$D:$D,0),2))=0,"",SUMIFS(Dados!$G:$G,Dados!$E:$E,$B195,Dados!$C:$C,INDEX(F$3,1,1),Dados!$A:$A,INDEX($D:$E,MATCH("K",$D:$D,0),2))/COUNTIFS(Dados!$E:$E,$B195,Dados!$C:$C,INDEX(F$3,1,1),Dados!$A:$A,INDEX($D:$E,MATCH("K",$D:$D,0),2)))</f>
        <v/>
      </c>
      <c r="G195" s="66" t="str">
        <f ca="1">IF(COUNTIFS(Dados!$E:$E,$B195,Dados!$C:$C,INDEX(G$3,1,1),Dados!$A:$A,INDEX($D:$E,MATCH("K",$D:$D,0),2))=0,"",SUMIFS(Dados!$G:$G,Dados!$E:$E,$B195,Dados!$C:$C,INDEX(G$3,1,1),Dados!$A:$A,INDEX($D:$E,MATCH("K",$D:$D,0),2))/COUNTIFS(Dados!$E:$E,$B195,Dados!$C:$C,INDEX(G$3,1,1),Dados!$A:$A,INDEX($D:$E,MATCH("K",$D:$D,0),2)))</f>
        <v/>
      </c>
      <c r="H195" s="66" t="str">
        <f ca="1">IF(COUNTIFS(Dados!$E:$E,$B195,Dados!$C:$C,INDEX(H$3,1,1),Dados!$A:$A,INDEX($D:$E,MATCH("K",$D:$D,0),2))=0,"",SUMIFS(Dados!$G:$G,Dados!$E:$E,$B195,Dados!$C:$C,INDEX(H$3,1,1),Dados!$A:$A,INDEX($D:$E,MATCH("K",$D:$D,0),2))/COUNTIFS(Dados!$E:$E,$B195,Dados!$C:$C,INDEX(H$3,1,1),Dados!$A:$A,INDEX($D:$E,MATCH("K",$D:$D,0),2)))</f>
        <v/>
      </c>
      <c r="I195" s="66" t="str">
        <f ca="1">IF(COUNTIFS(Dados!$E:$E,$B195,Dados!$C:$C,INDEX(I$3,1,1),Dados!$A:$A,INDEX($D:$E,MATCH("K",$D:$D,0),2))=0,"",SUMIFS(Dados!$G:$G,Dados!$E:$E,$B195,Dados!$C:$C,INDEX(I$3,1,1),Dados!$A:$A,INDEX($D:$E,MATCH("K",$D:$D,0),2))/COUNTIFS(Dados!$E:$E,$B195,Dados!$C:$C,INDEX(I$3,1,1),Dados!$A:$A,INDEX($D:$E,MATCH("K",$D:$D,0),2)))</f>
        <v/>
      </c>
      <c r="J195" s="66" t="str">
        <f ca="1">IF(COUNTIFS(Dados!$E:$E,$B195,Dados!$C:$C,INDEX(J$3,1,1),Dados!$A:$A,INDEX($D:$E,MATCH("K",$D:$D,0),2))=0,"",SUMIFS(Dados!$G:$G,Dados!$E:$E,$B195,Dados!$C:$C,INDEX(J$3,1,1),Dados!$A:$A,INDEX($D:$E,MATCH("K",$D:$D,0),2))/COUNTIFS(Dados!$E:$E,$B195,Dados!$C:$C,INDEX(J$3,1,1),Dados!$A:$A,INDEX($D:$E,MATCH("K",$D:$D,0),2)))</f>
        <v/>
      </c>
      <c r="K195" s="66" t="str">
        <f ca="1">IF(COUNTIFS(Dados!$E:$E,$B195,Dados!$C:$C,INDEX(K$3,1,1),Dados!$A:$A,INDEX($D:$E,MATCH("K",$D:$D,0),2))=0,"",SUMIFS(Dados!$G:$G,Dados!$E:$E,$B195,Dados!$C:$C,INDEX(K$3,1,1),Dados!$A:$A,INDEX($D:$E,MATCH("K",$D:$D,0),2))/COUNTIFS(Dados!$E:$E,$B195,Dados!$C:$C,INDEX(K$3,1,1),Dados!$A:$A,INDEX($D:$E,MATCH("K",$D:$D,0),2)))</f>
        <v/>
      </c>
      <c r="L195" s="66" t="str">
        <f ca="1">IF(COUNTIFS(Dados!$E:$E,$B195,Dados!$C:$C,INDEX(L$3,1,1),Dados!$A:$A,INDEX($D:$E,MATCH("K",$D:$D,0),2))=0,"",SUMIFS(Dados!$G:$G,Dados!$E:$E,$B195,Dados!$C:$C,INDEX(L$3,1,1),Dados!$A:$A,INDEX($D:$E,MATCH("K",$D:$D,0),2))/COUNTIFS(Dados!$E:$E,$B195,Dados!$C:$C,INDEX(L$3,1,1),Dados!$A:$A,INDEX($D:$E,MATCH("K",$D:$D,0),2)))</f>
        <v/>
      </c>
      <c r="M195" s="66" t="str">
        <f ca="1">IF(COUNTIFS(Dados!$E:$E,$B195,Dados!$C:$C,INDEX(M$3,1,1),Dados!$A:$A,INDEX($D:$E,MATCH("K",$D:$D,0),2))=0,"",SUMIFS(Dados!$G:$G,Dados!$E:$E,$B195,Dados!$C:$C,INDEX(M$3,1,1),Dados!$A:$A,INDEX($D:$E,MATCH("K",$D:$D,0),2))/COUNTIFS(Dados!$E:$E,$B195,Dados!$C:$C,INDEX(M$3,1,1),Dados!$A:$A,INDEX($D:$E,MATCH("K",$D:$D,0),2)))</f>
        <v/>
      </c>
      <c r="N195" s="66" t="str">
        <f ca="1">IF(COUNTIFS(Dados!$E:$E,$B195,Dados!$C:$C,INDEX(N$3,1,1),Dados!$A:$A,INDEX($D:$E,MATCH("K",$D:$D,0),2))=0,"",SUMIFS(Dados!$G:$G,Dados!$E:$E,$B195,Dados!$C:$C,INDEX(N$3,1,1),Dados!$A:$A,INDEX($D:$E,MATCH("K",$D:$D,0),2))/COUNTIFS(Dados!$E:$E,$B195,Dados!$C:$C,INDEX(N$3,1,1),Dados!$A:$A,INDEX($D:$E,MATCH("K",$D:$D,0),2)))</f>
        <v/>
      </c>
      <c r="O195" s="66" t="str">
        <f ca="1">IF(COUNTIFS(Dados!$E:$E,$B195,Dados!$C:$C,INDEX(O$3,1,1),Dados!$A:$A,INDEX($D:$E,MATCH("K",$D:$D,0),2))=0,"",SUMIFS(Dados!$G:$G,Dados!$E:$E,$B195,Dados!$C:$C,INDEX(O$3,1,1),Dados!$A:$A,INDEX($D:$E,MATCH("K",$D:$D,0),2))/COUNTIFS(Dados!$E:$E,$B195,Dados!$C:$C,INDEX(O$3,1,1),Dados!$A:$A,INDEX($D:$E,MATCH("K",$D:$D,0),2)))</f>
        <v/>
      </c>
      <c r="P195" s="66" t="str">
        <f ca="1">IF(COUNTIFS(Dados!$E:$E,$B195,Dados!$C:$C,INDEX(P$3,1,1),Dados!$A:$A,INDEX($D:$E,MATCH("K",$D:$D,0),2))=0,"",SUMIFS(Dados!$G:$G,Dados!$E:$E,$B195,Dados!$C:$C,INDEX(P$3,1,1),Dados!$A:$A,INDEX($D:$E,MATCH("K",$D:$D,0),2))/COUNTIFS(Dados!$E:$E,$B195,Dados!$C:$C,INDEX(P$3,1,1),Dados!$A:$A,INDEX($D:$E,MATCH("K",$D:$D,0),2)))</f>
        <v/>
      </c>
      <c r="Q195" s="66" t="str">
        <f ca="1">IF(COUNTIFS(Dados!$E:$E,$B195,Dados!$C:$C,INDEX(Q$3,1,1),Dados!$A:$A,INDEX($D:$E,MATCH("K",$D:$D,0),2))=0,"",SUMIFS(Dados!$G:$G,Dados!$E:$E,$B195,Dados!$C:$C,INDEX(Q$3,1,1),Dados!$A:$A,INDEX($D:$E,MATCH("K",$D:$D,0),2))/COUNTIFS(Dados!$E:$E,$B195,Dados!$C:$C,INDEX(Q$3,1,1),Dados!$A:$A,INDEX($D:$E,MATCH("K",$D:$D,0),2)))</f>
        <v/>
      </c>
      <c r="R195" s="66" t="str">
        <f ca="1">IF(COUNTIFS(Dados!$E:$E,$B195,Dados!$C:$C,INDEX(R$3,1,1),Dados!$A:$A,INDEX($D:$E,MATCH("K",$D:$D,0),2))=0,"",SUMIFS(Dados!$G:$G,Dados!$E:$E,$B195,Dados!$C:$C,INDEX(R$3,1,1),Dados!$A:$A,INDEX($D:$E,MATCH("K",$D:$D,0),2))/COUNTIFS(Dados!$E:$E,$B195,Dados!$C:$C,INDEX(R$3,1,1),Dados!$A:$A,INDEX($D:$E,MATCH("K",$D:$D,0),2)))</f>
        <v/>
      </c>
      <c r="S195" s="66" t="str">
        <f ca="1">IF(COUNTIFS(Dados!$E:$E,$B195,Dados!$C:$C,INDEX(S$3,1,1),Dados!$A:$A,INDEX($D:$E,MATCH("K",$D:$D,0),2))=0,"",SUMIFS(Dados!$G:$G,Dados!$E:$E,$B195,Dados!$C:$C,INDEX(S$3,1,1),Dados!$A:$A,INDEX($D:$E,MATCH("K",$D:$D,0),2))/COUNTIFS(Dados!$E:$E,$B195,Dados!$C:$C,INDEX(S$3,1,1),Dados!$A:$A,INDEX($D:$E,MATCH("K",$D:$D,0),2)))</f>
        <v/>
      </c>
      <c r="T195" s="66" t="str">
        <f ca="1">IF(COUNTIFS(Dados!$E:$E,$B195,Dados!$C:$C,INDEX(T$3,1,1),Dados!$A:$A,INDEX($D:$E,MATCH("K",$D:$D,0),2))=0,"",SUMIFS(Dados!$G:$G,Dados!$E:$E,$B195,Dados!$C:$C,INDEX(T$3,1,1),Dados!$A:$A,INDEX($D:$E,MATCH("K",$D:$D,0),2))/COUNTIFS(Dados!$E:$E,$B195,Dados!$C:$C,INDEX(T$3,1,1),Dados!$A:$A,INDEX($D:$E,MATCH("K",$D:$D,0),2)))</f>
        <v/>
      </c>
      <c r="U195" s="66" t="str">
        <f ca="1">IF(COUNTIFS(Dados!$E:$E,$B195,Dados!$C:$C,INDEX(U$3,1,1),Dados!$A:$A,INDEX($D:$E,MATCH("K",$D:$D,0),2))=0,"",SUMIFS(Dados!$G:$G,Dados!$E:$E,$B195,Dados!$C:$C,INDEX(U$3,1,1),Dados!$A:$A,INDEX($D:$E,MATCH("K",$D:$D,0),2))/COUNTIFS(Dados!$E:$E,$B195,Dados!$C:$C,INDEX(U$3,1,1),Dados!$A:$A,INDEX($D:$E,MATCH("K",$D:$D,0),2)))</f>
        <v/>
      </c>
      <c r="V195" s="66" t="str">
        <f ca="1">IF(COUNTIFS(Dados!$E:$E,$B195,Dados!$C:$C,INDEX(V$3,1,1),Dados!$A:$A,INDEX($D:$E,MATCH("K",$D:$D,0),2))=0,"",SUMIFS(Dados!$G:$G,Dados!$E:$E,$B195,Dados!$C:$C,INDEX(V$3,1,1),Dados!$A:$A,INDEX($D:$E,MATCH("K",$D:$D,0),2))/COUNTIFS(Dados!$E:$E,$B195,Dados!$C:$C,INDEX(V$3,1,1),Dados!$A:$A,INDEX($D:$E,MATCH("K",$D:$D,0),2)))</f>
        <v/>
      </c>
    </row>
    <row r="196" spans="2:22" x14ac:dyDescent="0.25">
      <c r="B196" s="67" t="s">
        <v>1303</v>
      </c>
      <c r="C196" s="71">
        <f>VLOOKUP(B196,B4:C22,2,0)</f>
        <v>4</v>
      </c>
      <c r="D196" s="68" t="str">
        <f ca="1">IF(COUNTIFS(Dados!$E:$E,$B196,Dados!$C:$C,INDEX(D$3,1,1),Dados!$A:$A,INDEX($D:$E,MATCH("K",$D:$D,0),2))=0,"",SUMIFS(Dados!$G:$G,Dados!$E:$E,$B196,Dados!$C:$C,INDEX(D$3,1,1),Dados!$A:$A,INDEX($D:$E,MATCH("K",$D:$D,0),2))/COUNTIFS(Dados!$E:$E,$B196,Dados!$C:$C,INDEX(D$3,1,1),Dados!$A:$A,INDEX($D:$E,MATCH("K",$D:$D,0),2)))</f>
        <v/>
      </c>
      <c r="E196" s="68" t="str">
        <f ca="1">IF(COUNTIFS(Dados!$E:$E,$B196,Dados!$C:$C,INDEX(E$3,1,1),Dados!$A:$A,INDEX($D:$E,MATCH("K",$D:$D,0),2))=0,"",SUMIFS(Dados!$G:$G,Dados!$E:$E,$B196,Dados!$C:$C,INDEX(E$3,1,1),Dados!$A:$A,INDEX($D:$E,MATCH("K",$D:$D,0),2))/COUNTIFS(Dados!$E:$E,$B196,Dados!$C:$C,INDEX(E$3,1,1),Dados!$A:$A,INDEX($D:$E,MATCH("K",$D:$D,0),2)))</f>
        <v/>
      </c>
      <c r="F196" s="68" t="str">
        <f ca="1">IF(COUNTIFS(Dados!$E:$E,$B196,Dados!$C:$C,INDEX(F$3,1,1),Dados!$A:$A,INDEX($D:$E,MATCH("K",$D:$D,0),2))=0,"",SUMIFS(Dados!$G:$G,Dados!$E:$E,$B196,Dados!$C:$C,INDEX(F$3,1,1),Dados!$A:$A,INDEX($D:$E,MATCH("K",$D:$D,0),2))/COUNTIFS(Dados!$E:$E,$B196,Dados!$C:$C,INDEX(F$3,1,1),Dados!$A:$A,INDEX($D:$E,MATCH("K",$D:$D,0),2)))</f>
        <v/>
      </c>
      <c r="G196" s="68" t="str">
        <f ca="1">IF(COUNTIFS(Dados!$E:$E,$B196,Dados!$C:$C,INDEX(G$3,1,1),Dados!$A:$A,INDEX($D:$E,MATCH("K",$D:$D,0),2))=0,"",SUMIFS(Dados!$G:$G,Dados!$E:$E,$B196,Dados!$C:$C,INDEX(G$3,1,1),Dados!$A:$A,INDEX($D:$E,MATCH("K",$D:$D,0),2))/COUNTIFS(Dados!$E:$E,$B196,Dados!$C:$C,INDEX(G$3,1,1),Dados!$A:$A,INDEX($D:$E,MATCH("K",$D:$D,0),2)))</f>
        <v/>
      </c>
      <c r="H196" s="68" t="str">
        <f ca="1">IF(COUNTIFS(Dados!$E:$E,$B196,Dados!$C:$C,INDEX(H$3,1,1),Dados!$A:$A,INDEX($D:$E,MATCH("K",$D:$D,0),2))=0,"",SUMIFS(Dados!$G:$G,Dados!$E:$E,$B196,Dados!$C:$C,INDEX(H$3,1,1),Dados!$A:$A,INDEX($D:$E,MATCH("K",$D:$D,0),2))/COUNTIFS(Dados!$E:$E,$B196,Dados!$C:$C,INDEX(H$3,1,1),Dados!$A:$A,INDEX($D:$E,MATCH("K",$D:$D,0),2)))</f>
        <v/>
      </c>
      <c r="I196" s="68" t="str">
        <f ca="1">IF(COUNTIFS(Dados!$E:$E,$B196,Dados!$C:$C,INDEX(I$3,1,1),Dados!$A:$A,INDEX($D:$E,MATCH("K",$D:$D,0),2))=0,"",SUMIFS(Dados!$G:$G,Dados!$E:$E,$B196,Dados!$C:$C,INDEX(I$3,1,1),Dados!$A:$A,INDEX($D:$E,MATCH("K",$D:$D,0),2))/COUNTIFS(Dados!$E:$E,$B196,Dados!$C:$C,INDEX(I$3,1,1),Dados!$A:$A,INDEX($D:$E,MATCH("K",$D:$D,0),2)))</f>
        <v/>
      </c>
      <c r="J196" s="68" t="str">
        <f ca="1">IF(COUNTIFS(Dados!$E:$E,$B196,Dados!$C:$C,INDEX(J$3,1,1),Dados!$A:$A,INDEX($D:$E,MATCH("K",$D:$D,0),2))=0,"",SUMIFS(Dados!$G:$G,Dados!$E:$E,$B196,Dados!$C:$C,INDEX(J$3,1,1),Dados!$A:$A,INDEX($D:$E,MATCH("K",$D:$D,0),2))/COUNTIFS(Dados!$E:$E,$B196,Dados!$C:$C,INDEX(J$3,1,1),Dados!$A:$A,INDEX($D:$E,MATCH("K",$D:$D,0),2)))</f>
        <v/>
      </c>
      <c r="K196" s="68" t="str">
        <f ca="1">IF(COUNTIFS(Dados!$E:$E,$B196,Dados!$C:$C,INDEX(K$3,1,1),Dados!$A:$A,INDEX($D:$E,MATCH("K",$D:$D,0),2))=0,"",SUMIFS(Dados!$G:$G,Dados!$E:$E,$B196,Dados!$C:$C,INDEX(K$3,1,1),Dados!$A:$A,INDEX($D:$E,MATCH("K",$D:$D,0),2))/COUNTIFS(Dados!$E:$E,$B196,Dados!$C:$C,INDEX(K$3,1,1),Dados!$A:$A,INDEX($D:$E,MATCH("K",$D:$D,0),2)))</f>
        <v/>
      </c>
      <c r="L196" s="68" t="str">
        <f ca="1">IF(COUNTIFS(Dados!$E:$E,$B196,Dados!$C:$C,INDEX(L$3,1,1),Dados!$A:$A,INDEX($D:$E,MATCH("K",$D:$D,0),2))=0,"",SUMIFS(Dados!$G:$G,Dados!$E:$E,$B196,Dados!$C:$C,INDEX(L$3,1,1),Dados!$A:$A,INDEX($D:$E,MATCH("K",$D:$D,0),2))/COUNTIFS(Dados!$E:$E,$B196,Dados!$C:$C,INDEX(L$3,1,1),Dados!$A:$A,INDEX($D:$E,MATCH("K",$D:$D,0),2)))</f>
        <v/>
      </c>
      <c r="M196" s="68" t="str">
        <f ca="1">IF(COUNTIFS(Dados!$E:$E,$B196,Dados!$C:$C,INDEX(M$3,1,1),Dados!$A:$A,INDEX($D:$E,MATCH("K",$D:$D,0),2))=0,"",SUMIFS(Dados!$G:$G,Dados!$E:$E,$B196,Dados!$C:$C,INDEX(M$3,1,1),Dados!$A:$A,INDEX($D:$E,MATCH("K",$D:$D,0),2))/COUNTIFS(Dados!$E:$E,$B196,Dados!$C:$C,INDEX(M$3,1,1),Dados!$A:$A,INDEX($D:$E,MATCH("K",$D:$D,0),2)))</f>
        <v/>
      </c>
      <c r="N196" s="68" t="str">
        <f ca="1">IF(COUNTIFS(Dados!$E:$E,$B196,Dados!$C:$C,INDEX(N$3,1,1),Dados!$A:$A,INDEX($D:$E,MATCH("K",$D:$D,0),2))=0,"",SUMIFS(Dados!$G:$G,Dados!$E:$E,$B196,Dados!$C:$C,INDEX(N$3,1,1),Dados!$A:$A,INDEX($D:$E,MATCH("K",$D:$D,0),2))/COUNTIFS(Dados!$E:$E,$B196,Dados!$C:$C,INDEX(N$3,1,1),Dados!$A:$A,INDEX($D:$E,MATCH("K",$D:$D,0),2)))</f>
        <v/>
      </c>
      <c r="O196" s="68" t="str">
        <f ca="1">IF(COUNTIFS(Dados!$E:$E,$B196,Dados!$C:$C,INDEX(O$3,1,1),Dados!$A:$A,INDEX($D:$E,MATCH("K",$D:$D,0),2))=0,"",SUMIFS(Dados!$G:$G,Dados!$E:$E,$B196,Dados!$C:$C,INDEX(O$3,1,1),Dados!$A:$A,INDEX($D:$E,MATCH("K",$D:$D,0),2))/COUNTIFS(Dados!$E:$E,$B196,Dados!$C:$C,INDEX(O$3,1,1),Dados!$A:$A,INDEX($D:$E,MATCH("K",$D:$D,0),2)))</f>
        <v/>
      </c>
      <c r="P196" s="68" t="str">
        <f ca="1">IF(COUNTIFS(Dados!$E:$E,$B196,Dados!$C:$C,INDEX(P$3,1,1),Dados!$A:$A,INDEX($D:$E,MATCH("K",$D:$D,0),2))=0,"",SUMIFS(Dados!$G:$G,Dados!$E:$E,$B196,Dados!$C:$C,INDEX(P$3,1,1),Dados!$A:$A,INDEX($D:$E,MATCH("K",$D:$D,0),2))/COUNTIFS(Dados!$E:$E,$B196,Dados!$C:$C,INDEX(P$3,1,1),Dados!$A:$A,INDEX($D:$E,MATCH("K",$D:$D,0),2)))</f>
        <v/>
      </c>
      <c r="Q196" s="68" t="str">
        <f ca="1">IF(COUNTIFS(Dados!$E:$E,$B196,Dados!$C:$C,INDEX(Q$3,1,1),Dados!$A:$A,INDEX($D:$E,MATCH("K",$D:$D,0),2))=0,"",SUMIFS(Dados!$G:$G,Dados!$E:$E,$B196,Dados!$C:$C,INDEX(Q$3,1,1),Dados!$A:$A,INDEX($D:$E,MATCH("K",$D:$D,0),2))/COUNTIFS(Dados!$E:$E,$B196,Dados!$C:$C,INDEX(Q$3,1,1),Dados!$A:$A,INDEX($D:$E,MATCH("K",$D:$D,0),2)))</f>
        <v/>
      </c>
      <c r="R196" s="68" t="str">
        <f ca="1">IF(COUNTIFS(Dados!$E:$E,$B196,Dados!$C:$C,INDEX(R$3,1,1),Dados!$A:$A,INDEX($D:$E,MATCH("K",$D:$D,0),2))=0,"",SUMIFS(Dados!$G:$G,Dados!$E:$E,$B196,Dados!$C:$C,INDEX(R$3,1,1),Dados!$A:$A,INDEX($D:$E,MATCH("K",$D:$D,0),2))/COUNTIFS(Dados!$E:$E,$B196,Dados!$C:$C,INDEX(R$3,1,1),Dados!$A:$A,INDEX($D:$E,MATCH("K",$D:$D,0),2)))</f>
        <v/>
      </c>
      <c r="S196" s="68" t="str">
        <f ca="1">IF(COUNTIFS(Dados!$E:$E,$B196,Dados!$C:$C,INDEX(S$3,1,1),Dados!$A:$A,INDEX($D:$E,MATCH("K",$D:$D,0),2))=0,"",SUMIFS(Dados!$G:$G,Dados!$E:$E,$B196,Dados!$C:$C,INDEX(S$3,1,1),Dados!$A:$A,INDEX($D:$E,MATCH("K",$D:$D,0),2))/COUNTIFS(Dados!$E:$E,$B196,Dados!$C:$C,INDEX(S$3,1,1),Dados!$A:$A,INDEX($D:$E,MATCH("K",$D:$D,0),2)))</f>
        <v/>
      </c>
      <c r="T196" s="68" t="str">
        <f ca="1">IF(COUNTIFS(Dados!$E:$E,$B196,Dados!$C:$C,INDEX(T$3,1,1),Dados!$A:$A,INDEX($D:$E,MATCH("K",$D:$D,0),2))=0,"",SUMIFS(Dados!$G:$G,Dados!$E:$E,$B196,Dados!$C:$C,INDEX(T$3,1,1),Dados!$A:$A,INDEX($D:$E,MATCH("K",$D:$D,0),2))/COUNTIFS(Dados!$E:$E,$B196,Dados!$C:$C,INDEX(T$3,1,1),Dados!$A:$A,INDEX($D:$E,MATCH("K",$D:$D,0),2)))</f>
        <v/>
      </c>
      <c r="U196" s="68" t="str">
        <f ca="1">IF(COUNTIFS(Dados!$E:$E,$B196,Dados!$C:$C,INDEX(U$3,1,1),Dados!$A:$A,INDEX($D:$E,MATCH("K",$D:$D,0),2))=0,"",SUMIFS(Dados!$G:$G,Dados!$E:$E,$B196,Dados!$C:$C,INDEX(U$3,1,1),Dados!$A:$A,INDEX($D:$E,MATCH("K",$D:$D,0),2))/COUNTIFS(Dados!$E:$E,$B196,Dados!$C:$C,INDEX(U$3,1,1),Dados!$A:$A,INDEX($D:$E,MATCH("K",$D:$D,0),2)))</f>
        <v/>
      </c>
      <c r="V196" s="68" t="str">
        <f ca="1">IF(COUNTIFS(Dados!$E:$E,$B196,Dados!$C:$C,INDEX(V$3,1,1),Dados!$A:$A,INDEX($D:$E,MATCH("K",$D:$D,0),2))=0,"",SUMIFS(Dados!$G:$G,Dados!$E:$E,$B196,Dados!$C:$C,INDEX(V$3,1,1),Dados!$A:$A,INDEX($D:$E,MATCH("K",$D:$D,0),2))/COUNTIFS(Dados!$E:$E,$B196,Dados!$C:$C,INDEX(V$3,1,1),Dados!$A:$A,INDEX($D:$E,MATCH("K",$D:$D,0),2)))</f>
        <v/>
      </c>
    </row>
    <row r="197" spans="2:22" x14ac:dyDescent="0.25">
      <c r="B197" s="65" t="s">
        <v>1304</v>
      </c>
      <c r="C197" s="72">
        <f>VLOOKUP(B197,B4:C22,2,0)</f>
        <v>5</v>
      </c>
      <c r="D197" s="66" t="str">
        <f ca="1">IF(COUNTIFS(Dados!$E:$E,$B197,Dados!$C:$C,INDEX(D$3,1,1),Dados!$A:$A,INDEX($D:$E,MATCH("K",$D:$D,0),2))=0,"",SUMIFS(Dados!$G:$G,Dados!$E:$E,$B197,Dados!$C:$C,INDEX(D$3,1,1),Dados!$A:$A,INDEX($D:$E,MATCH("K",$D:$D,0),2))/COUNTIFS(Dados!$E:$E,$B197,Dados!$C:$C,INDEX(D$3,1,1),Dados!$A:$A,INDEX($D:$E,MATCH("K",$D:$D,0),2)))</f>
        <v/>
      </c>
      <c r="E197" s="66" t="str">
        <f ca="1">IF(COUNTIFS(Dados!$E:$E,$B197,Dados!$C:$C,INDEX(E$3,1,1),Dados!$A:$A,INDEX($D:$E,MATCH("K",$D:$D,0),2))=0,"",SUMIFS(Dados!$G:$G,Dados!$E:$E,$B197,Dados!$C:$C,INDEX(E$3,1,1),Dados!$A:$A,INDEX($D:$E,MATCH("K",$D:$D,0),2))/COUNTIFS(Dados!$E:$E,$B197,Dados!$C:$C,INDEX(E$3,1,1),Dados!$A:$A,INDEX($D:$E,MATCH("K",$D:$D,0),2)))</f>
        <v/>
      </c>
      <c r="F197" s="66" t="str">
        <f ca="1">IF(COUNTIFS(Dados!$E:$E,$B197,Dados!$C:$C,INDEX(F$3,1,1),Dados!$A:$A,INDEX($D:$E,MATCH("K",$D:$D,0),2))=0,"",SUMIFS(Dados!$G:$G,Dados!$E:$E,$B197,Dados!$C:$C,INDEX(F$3,1,1),Dados!$A:$A,INDEX($D:$E,MATCH("K",$D:$D,0),2))/COUNTIFS(Dados!$E:$E,$B197,Dados!$C:$C,INDEX(F$3,1,1),Dados!$A:$A,INDEX($D:$E,MATCH("K",$D:$D,0),2)))</f>
        <v/>
      </c>
      <c r="G197" s="66" t="str">
        <f ca="1">IF(COUNTIFS(Dados!$E:$E,$B197,Dados!$C:$C,INDEX(G$3,1,1),Dados!$A:$A,INDEX($D:$E,MATCH("K",$D:$D,0),2))=0,"",SUMIFS(Dados!$G:$G,Dados!$E:$E,$B197,Dados!$C:$C,INDEX(G$3,1,1),Dados!$A:$A,INDEX($D:$E,MATCH("K",$D:$D,0),2))/COUNTIFS(Dados!$E:$E,$B197,Dados!$C:$C,INDEX(G$3,1,1),Dados!$A:$A,INDEX($D:$E,MATCH("K",$D:$D,0),2)))</f>
        <v/>
      </c>
      <c r="H197" s="66" t="str">
        <f ca="1">IF(COUNTIFS(Dados!$E:$E,$B197,Dados!$C:$C,INDEX(H$3,1,1),Dados!$A:$A,INDEX($D:$E,MATCH("K",$D:$D,0),2))=0,"",SUMIFS(Dados!$G:$G,Dados!$E:$E,$B197,Dados!$C:$C,INDEX(H$3,1,1),Dados!$A:$A,INDEX($D:$E,MATCH("K",$D:$D,0),2))/COUNTIFS(Dados!$E:$E,$B197,Dados!$C:$C,INDEX(H$3,1,1),Dados!$A:$A,INDEX($D:$E,MATCH("K",$D:$D,0),2)))</f>
        <v/>
      </c>
      <c r="I197" s="66" t="str">
        <f ca="1">IF(COUNTIFS(Dados!$E:$E,$B197,Dados!$C:$C,INDEX(I$3,1,1),Dados!$A:$A,INDEX($D:$E,MATCH("K",$D:$D,0),2))=0,"",SUMIFS(Dados!$G:$G,Dados!$E:$E,$B197,Dados!$C:$C,INDEX(I$3,1,1),Dados!$A:$A,INDEX($D:$E,MATCH("K",$D:$D,0),2))/COUNTIFS(Dados!$E:$E,$B197,Dados!$C:$C,INDEX(I$3,1,1),Dados!$A:$A,INDEX($D:$E,MATCH("K",$D:$D,0),2)))</f>
        <v/>
      </c>
      <c r="J197" s="66" t="str">
        <f ca="1">IF(COUNTIFS(Dados!$E:$E,$B197,Dados!$C:$C,INDEX(J$3,1,1),Dados!$A:$A,INDEX($D:$E,MATCH("K",$D:$D,0),2))=0,"",SUMIFS(Dados!$G:$G,Dados!$E:$E,$B197,Dados!$C:$C,INDEX(J$3,1,1),Dados!$A:$A,INDEX($D:$E,MATCH("K",$D:$D,0),2))/COUNTIFS(Dados!$E:$E,$B197,Dados!$C:$C,INDEX(J$3,1,1),Dados!$A:$A,INDEX($D:$E,MATCH("K",$D:$D,0),2)))</f>
        <v/>
      </c>
      <c r="K197" s="66" t="str">
        <f ca="1">IF(COUNTIFS(Dados!$E:$E,$B197,Dados!$C:$C,INDEX(K$3,1,1),Dados!$A:$A,INDEX($D:$E,MATCH("K",$D:$D,0),2))=0,"",SUMIFS(Dados!$G:$G,Dados!$E:$E,$B197,Dados!$C:$C,INDEX(K$3,1,1),Dados!$A:$A,INDEX($D:$E,MATCH("K",$D:$D,0),2))/COUNTIFS(Dados!$E:$E,$B197,Dados!$C:$C,INDEX(K$3,1,1),Dados!$A:$A,INDEX($D:$E,MATCH("K",$D:$D,0),2)))</f>
        <v/>
      </c>
      <c r="L197" s="66" t="str">
        <f ca="1">IF(COUNTIFS(Dados!$E:$E,$B197,Dados!$C:$C,INDEX(L$3,1,1),Dados!$A:$A,INDEX($D:$E,MATCH("K",$D:$D,0),2))=0,"",SUMIFS(Dados!$G:$G,Dados!$E:$E,$B197,Dados!$C:$C,INDEX(L$3,1,1),Dados!$A:$A,INDEX($D:$E,MATCH("K",$D:$D,0),2))/COUNTIFS(Dados!$E:$E,$B197,Dados!$C:$C,INDEX(L$3,1,1),Dados!$A:$A,INDEX($D:$E,MATCH("K",$D:$D,0),2)))</f>
        <v/>
      </c>
      <c r="M197" s="66" t="str">
        <f ca="1">IF(COUNTIFS(Dados!$E:$E,$B197,Dados!$C:$C,INDEX(M$3,1,1),Dados!$A:$A,INDEX($D:$E,MATCH("K",$D:$D,0),2))=0,"",SUMIFS(Dados!$G:$G,Dados!$E:$E,$B197,Dados!$C:$C,INDEX(M$3,1,1),Dados!$A:$A,INDEX($D:$E,MATCH("K",$D:$D,0),2))/COUNTIFS(Dados!$E:$E,$B197,Dados!$C:$C,INDEX(M$3,1,1),Dados!$A:$A,INDEX($D:$E,MATCH("K",$D:$D,0),2)))</f>
        <v/>
      </c>
      <c r="N197" s="66" t="str">
        <f ca="1">IF(COUNTIFS(Dados!$E:$E,$B197,Dados!$C:$C,INDEX(N$3,1,1),Dados!$A:$A,INDEX($D:$E,MATCH("K",$D:$D,0),2))=0,"",SUMIFS(Dados!$G:$G,Dados!$E:$E,$B197,Dados!$C:$C,INDEX(N$3,1,1),Dados!$A:$A,INDEX($D:$E,MATCH("K",$D:$D,0),2))/COUNTIFS(Dados!$E:$E,$B197,Dados!$C:$C,INDEX(N$3,1,1),Dados!$A:$A,INDEX($D:$E,MATCH("K",$D:$D,0),2)))</f>
        <v/>
      </c>
      <c r="O197" s="66" t="str">
        <f ca="1">IF(COUNTIFS(Dados!$E:$E,$B197,Dados!$C:$C,INDEX(O$3,1,1),Dados!$A:$A,INDEX($D:$E,MATCH("K",$D:$D,0),2))=0,"",SUMIFS(Dados!$G:$G,Dados!$E:$E,$B197,Dados!$C:$C,INDEX(O$3,1,1),Dados!$A:$A,INDEX($D:$E,MATCH("K",$D:$D,0),2))/COUNTIFS(Dados!$E:$E,$B197,Dados!$C:$C,INDEX(O$3,1,1),Dados!$A:$A,INDEX($D:$E,MATCH("K",$D:$D,0),2)))</f>
        <v/>
      </c>
      <c r="P197" s="66" t="str">
        <f ca="1">IF(COUNTIFS(Dados!$E:$E,$B197,Dados!$C:$C,INDEX(P$3,1,1),Dados!$A:$A,INDEX($D:$E,MATCH("K",$D:$D,0),2))=0,"",SUMIFS(Dados!$G:$G,Dados!$E:$E,$B197,Dados!$C:$C,INDEX(P$3,1,1),Dados!$A:$A,INDEX($D:$E,MATCH("K",$D:$D,0),2))/COUNTIFS(Dados!$E:$E,$B197,Dados!$C:$C,INDEX(P$3,1,1),Dados!$A:$A,INDEX($D:$E,MATCH("K",$D:$D,0),2)))</f>
        <v/>
      </c>
      <c r="Q197" s="66" t="str">
        <f ca="1">IF(COUNTIFS(Dados!$E:$E,$B197,Dados!$C:$C,INDEX(Q$3,1,1),Dados!$A:$A,INDEX($D:$E,MATCH("K",$D:$D,0),2))=0,"",SUMIFS(Dados!$G:$G,Dados!$E:$E,$B197,Dados!$C:$C,INDEX(Q$3,1,1),Dados!$A:$A,INDEX($D:$E,MATCH("K",$D:$D,0),2))/COUNTIFS(Dados!$E:$E,$B197,Dados!$C:$C,INDEX(Q$3,1,1),Dados!$A:$A,INDEX($D:$E,MATCH("K",$D:$D,0),2)))</f>
        <v/>
      </c>
      <c r="R197" s="66" t="str">
        <f ca="1">IF(COUNTIFS(Dados!$E:$E,$B197,Dados!$C:$C,INDEX(R$3,1,1),Dados!$A:$A,INDEX($D:$E,MATCH("K",$D:$D,0),2))=0,"",SUMIFS(Dados!$G:$G,Dados!$E:$E,$B197,Dados!$C:$C,INDEX(R$3,1,1),Dados!$A:$A,INDEX($D:$E,MATCH("K",$D:$D,0),2))/COUNTIFS(Dados!$E:$E,$B197,Dados!$C:$C,INDEX(R$3,1,1),Dados!$A:$A,INDEX($D:$E,MATCH("K",$D:$D,0),2)))</f>
        <v/>
      </c>
      <c r="S197" s="66" t="str">
        <f ca="1">IF(COUNTIFS(Dados!$E:$E,$B197,Dados!$C:$C,INDEX(S$3,1,1),Dados!$A:$A,INDEX($D:$E,MATCH("K",$D:$D,0),2))=0,"",SUMIFS(Dados!$G:$G,Dados!$E:$E,$B197,Dados!$C:$C,INDEX(S$3,1,1),Dados!$A:$A,INDEX($D:$E,MATCH("K",$D:$D,0),2))/COUNTIFS(Dados!$E:$E,$B197,Dados!$C:$C,INDEX(S$3,1,1),Dados!$A:$A,INDEX($D:$E,MATCH("K",$D:$D,0),2)))</f>
        <v/>
      </c>
      <c r="T197" s="66" t="str">
        <f ca="1">IF(COUNTIFS(Dados!$E:$E,$B197,Dados!$C:$C,INDEX(T$3,1,1),Dados!$A:$A,INDEX($D:$E,MATCH("K",$D:$D,0),2))=0,"",SUMIFS(Dados!$G:$G,Dados!$E:$E,$B197,Dados!$C:$C,INDEX(T$3,1,1),Dados!$A:$A,INDEX($D:$E,MATCH("K",$D:$D,0),2))/COUNTIFS(Dados!$E:$E,$B197,Dados!$C:$C,INDEX(T$3,1,1),Dados!$A:$A,INDEX($D:$E,MATCH("K",$D:$D,0),2)))</f>
        <v/>
      </c>
      <c r="U197" s="66" t="str">
        <f ca="1">IF(COUNTIFS(Dados!$E:$E,$B197,Dados!$C:$C,INDEX(U$3,1,1),Dados!$A:$A,INDEX($D:$E,MATCH("K",$D:$D,0),2))=0,"",SUMIFS(Dados!$G:$G,Dados!$E:$E,$B197,Dados!$C:$C,INDEX(U$3,1,1),Dados!$A:$A,INDEX($D:$E,MATCH("K",$D:$D,0),2))/COUNTIFS(Dados!$E:$E,$B197,Dados!$C:$C,INDEX(U$3,1,1),Dados!$A:$A,INDEX($D:$E,MATCH("K",$D:$D,0),2)))</f>
        <v/>
      </c>
      <c r="V197" s="66" t="str">
        <f ca="1">IF(COUNTIFS(Dados!$E:$E,$B197,Dados!$C:$C,INDEX(V$3,1,1),Dados!$A:$A,INDEX($D:$E,MATCH("K",$D:$D,0),2))=0,"",SUMIFS(Dados!$G:$G,Dados!$E:$E,$B197,Dados!$C:$C,INDEX(V$3,1,1),Dados!$A:$A,INDEX($D:$E,MATCH("K",$D:$D,0),2))/COUNTIFS(Dados!$E:$E,$B197,Dados!$C:$C,INDEX(V$3,1,1),Dados!$A:$A,INDEX($D:$E,MATCH("K",$D:$D,0),2)))</f>
        <v/>
      </c>
    </row>
    <row r="198" spans="2:22" x14ac:dyDescent="0.25">
      <c r="B198" s="67" t="s">
        <v>1298</v>
      </c>
      <c r="C198" s="71">
        <f>VLOOKUP(B198,B4:C22,2,0)</f>
        <v>6</v>
      </c>
      <c r="D198" s="68" t="str">
        <f ca="1">IF(COUNTIFS(Dados!$E:$E,$B198,Dados!$C:$C,INDEX(D$3,1,1),Dados!$A:$A,INDEX($D:$E,MATCH("K",$D:$D,0),2))=0,"",SUMIFS(Dados!$G:$G,Dados!$E:$E,$B198,Dados!$C:$C,INDEX(D$3,1,1),Dados!$A:$A,INDEX($D:$E,MATCH("K",$D:$D,0),2))/COUNTIFS(Dados!$E:$E,$B198,Dados!$C:$C,INDEX(D$3,1,1),Dados!$A:$A,INDEX($D:$E,MATCH("K",$D:$D,0),2)))</f>
        <v/>
      </c>
      <c r="E198" s="68" t="str">
        <f ca="1">IF(COUNTIFS(Dados!$E:$E,$B198,Dados!$C:$C,INDEX(E$3,1,1),Dados!$A:$A,INDEX($D:$E,MATCH("K",$D:$D,0),2))=0,"",SUMIFS(Dados!$G:$G,Dados!$E:$E,$B198,Dados!$C:$C,INDEX(E$3,1,1),Dados!$A:$A,INDEX($D:$E,MATCH("K",$D:$D,0),2))/COUNTIFS(Dados!$E:$E,$B198,Dados!$C:$C,INDEX(E$3,1,1),Dados!$A:$A,INDEX($D:$E,MATCH("K",$D:$D,0),2)))</f>
        <v/>
      </c>
      <c r="F198" s="68" t="str">
        <f ca="1">IF(COUNTIFS(Dados!$E:$E,$B198,Dados!$C:$C,INDEX(F$3,1,1),Dados!$A:$A,INDEX($D:$E,MATCH("K",$D:$D,0),2))=0,"",SUMIFS(Dados!$G:$G,Dados!$E:$E,$B198,Dados!$C:$C,INDEX(F$3,1,1),Dados!$A:$A,INDEX($D:$E,MATCH("K",$D:$D,0),2))/COUNTIFS(Dados!$E:$E,$B198,Dados!$C:$C,INDEX(F$3,1,1),Dados!$A:$A,INDEX($D:$E,MATCH("K",$D:$D,0),2)))</f>
        <v/>
      </c>
      <c r="G198" s="68" t="str">
        <f ca="1">IF(COUNTIFS(Dados!$E:$E,$B198,Dados!$C:$C,INDEX(G$3,1,1),Dados!$A:$A,INDEX($D:$E,MATCH("K",$D:$D,0),2))=0,"",SUMIFS(Dados!$G:$G,Dados!$E:$E,$B198,Dados!$C:$C,INDEX(G$3,1,1),Dados!$A:$A,INDEX($D:$E,MATCH("K",$D:$D,0),2))/COUNTIFS(Dados!$E:$E,$B198,Dados!$C:$C,INDEX(G$3,1,1),Dados!$A:$A,INDEX($D:$E,MATCH("K",$D:$D,0),2)))</f>
        <v/>
      </c>
      <c r="H198" s="68" t="str">
        <f ca="1">IF(COUNTIFS(Dados!$E:$E,$B198,Dados!$C:$C,INDEX(H$3,1,1),Dados!$A:$A,INDEX($D:$E,MATCH("K",$D:$D,0),2))=0,"",SUMIFS(Dados!$G:$G,Dados!$E:$E,$B198,Dados!$C:$C,INDEX(H$3,1,1),Dados!$A:$A,INDEX($D:$E,MATCH("K",$D:$D,0),2))/COUNTIFS(Dados!$E:$E,$B198,Dados!$C:$C,INDEX(H$3,1,1),Dados!$A:$A,INDEX($D:$E,MATCH("K",$D:$D,0),2)))</f>
        <v/>
      </c>
      <c r="I198" s="68" t="str">
        <f ca="1">IF(COUNTIFS(Dados!$E:$E,$B198,Dados!$C:$C,INDEX(I$3,1,1),Dados!$A:$A,INDEX($D:$E,MATCH("K",$D:$D,0),2))=0,"",SUMIFS(Dados!$G:$G,Dados!$E:$E,$B198,Dados!$C:$C,INDEX(I$3,1,1),Dados!$A:$A,INDEX($D:$E,MATCH("K",$D:$D,0),2))/COUNTIFS(Dados!$E:$E,$B198,Dados!$C:$C,INDEX(I$3,1,1),Dados!$A:$A,INDEX($D:$E,MATCH("K",$D:$D,0),2)))</f>
        <v/>
      </c>
      <c r="J198" s="68" t="str">
        <f ca="1">IF(COUNTIFS(Dados!$E:$E,$B198,Dados!$C:$C,INDEX(J$3,1,1),Dados!$A:$A,INDEX($D:$E,MATCH("K",$D:$D,0),2))=0,"",SUMIFS(Dados!$G:$G,Dados!$E:$E,$B198,Dados!$C:$C,INDEX(J$3,1,1),Dados!$A:$A,INDEX($D:$E,MATCH("K",$D:$D,0),2))/COUNTIFS(Dados!$E:$E,$B198,Dados!$C:$C,INDEX(J$3,1,1),Dados!$A:$A,INDEX($D:$E,MATCH("K",$D:$D,0),2)))</f>
        <v/>
      </c>
      <c r="K198" s="68" t="str">
        <f ca="1">IF(COUNTIFS(Dados!$E:$E,$B198,Dados!$C:$C,INDEX(K$3,1,1),Dados!$A:$A,INDEX($D:$E,MATCH("K",$D:$D,0),2))=0,"",SUMIFS(Dados!$G:$G,Dados!$E:$E,$B198,Dados!$C:$C,INDEX(K$3,1,1),Dados!$A:$A,INDEX($D:$E,MATCH("K",$D:$D,0),2))/COUNTIFS(Dados!$E:$E,$B198,Dados!$C:$C,INDEX(K$3,1,1),Dados!$A:$A,INDEX($D:$E,MATCH("K",$D:$D,0),2)))</f>
        <v/>
      </c>
      <c r="L198" s="68" t="str">
        <f ca="1">IF(COUNTIFS(Dados!$E:$E,$B198,Dados!$C:$C,INDEX(L$3,1,1),Dados!$A:$A,INDEX($D:$E,MATCH("K",$D:$D,0),2))=0,"",SUMIFS(Dados!$G:$G,Dados!$E:$E,$B198,Dados!$C:$C,INDEX(L$3,1,1),Dados!$A:$A,INDEX($D:$E,MATCH("K",$D:$D,0),2))/COUNTIFS(Dados!$E:$E,$B198,Dados!$C:$C,INDEX(L$3,1,1),Dados!$A:$A,INDEX($D:$E,MATCH("K",$D:$D,0),2)))</f>
        <v/>
      </c>
      <c r="M198" s="68" t="str">
        <f ca="1">IF(COUNTIFS(Dados!$E:$E,$B198,Dados!$C:$C,INDEX(M$3,1,1),Dados!$A:$A,INDEX($D:$E,MATCH("K",$D:$D,0),2))=0,"",SUMIFS(Dados!$G:$G,Dados!$E:$E,$B198,Dados!$C:$C,INDEX(M$3,1,1),Dados!$A:$A,INDEX($D:$E,MATCH("K",$D:$D,0),2))/COUNTIFS(Dados!$E:$E,$B198,Dados!$C:$C,INDEX(M$3,1,1),Dados!$A:$A,INDEX($D:$E,MATCH("K",$D:$D,0),2)))</f>
        <v/>
      </c>
      <c r="N198" s="68" t="str">
        <f ca="1">IF(COUNTIFS(Dados!$E:$E,$B198,Dados!$C:$C,INDEX(N$3,1,1),Dados!$A:$A,INDEX($D:$E,MATCH("K",$D:$D,0),2))=0,"",SUMIFS(Dados!$G:$G,Dados!$E:$E,$B198,Dados!$C:$C,INDEX(N$3,1,1),Dados!$A:$A,INDEX($D:$E,MATCH("K",$D:$D,0),2))/COUNTIFS(Dados!$E:$E,$B198,Dados!$C:$C,INDEX(N$3,1,1),Dados!$A:$A,INDEX($D:$E,MATCH("K",$D:$D,0),2)))</f>
        <v/>
      </c>
      <c r="O198" s="68" t="str">
        <f ca="1">IF(COUNTIFS(Dados!$E:$E,$B198,Dados!$C:$C,INDEX(O$3,1,1),Dados!$A:$A,INDEX($D:$E,MATCH("K",$D:$D,0),2))=0,"",SUMIFS(Dados!$G:$G,Dados!$E:$E,$B198,Dados!$C:$C,INDEX(O$3,1,1),Dados!$A:$A,INDEX($D:$E,MATCH("K",$D:$D,0),2))/COUNTIFS(Dados!$E:$E,$B198,Dados!$C:$C,INDEX(O$3,1,1),Dados!$A:$A,INDEX($D:$E,MATCH("K",$D:$D,0),2)))</f>
        <v/>
      </c>
      <c r="P198" s="68" t="str">
        <f ca="1">IF(COUNTIFS(Dados!$E:$E,$B198,Dados!$C:$C,INDEX(P$3,1,1),Dados!$A:$A,INDEX($D:$E,MATCH("K",$D:$D,0),2))=0,"",SUMIFS(Dados!$G:$G,Dados!$E:$E,$B198,Dados!$C:$C,INDEX(P$3,1,1),Dados!$A:$A,INDEX($D:$E,MATCH("K",$D:$D,0),2))/COUNTIFS(Dados!$E:$E,$B198,Dados!$C:$C,INDEX(P$3,1,1),Dados!$A:$A,INDEX($D:$E,MATCH("K",$D:$D,0),2)))</f>
        <v/>
      </c>
      <c r="Q198" s="68" t="str">
        <f ca="1">IF(COUNTIFS(Dados!$E:$E,$B198,Dados!$C:$C,INDEX(Q$3,1,1),Dados!$A:$A,INDEX($D:$E,MATCH("K",$D:$D,0),2))=0,"",SUMIFS(Dados!$G:$G,Dados!$E:$E,$B198,Dados!$C:$C,INDEX(Q$3,1,1),Dados!$A:$A,INDEX($D:$E,MATCH("K",$D:$D,0),2))/COUNTIFS(Dados!$E:$E,$B198,Dados!$C:$C,INDEX(Q$3,1,1),Dados!$A:$A,INDEX($D:$E,MATCH("K",$D:$D,0),2)))</f>
        <v/>
      </c>
      <c r="R198" s="68" t="str">
        <f ca="1">IF(COUNTIFS(Dados!$E:$E,$B198,Dados!$C:$C,INDEX(R$3,1,1),Dados!$A:$A,INDEX($D:$E,MATCH("K",$D:$D,0),2))=0,"",SUMIFS(Dados!$G:$G,Dados!$E:$E,$B198,Dados!$C:$C,INDEX(R$3,1,1),Dados!$A:$A,INDEX($D:$E,MATCH("K",$D:$D,0),2))/COUNTIFS(Dados!$E:$E,$B198,Dados!$C:$C,INDEX(R$3,1,1),Dados!$A:$A,INDEX($D:$E,MATCH("K",$D:$D,0),2)))</f>
        <v/>
      </c>
      <c r="S198" s="68" t="str">
        <f ca="1">IF(COUNTIFS(Dados!$E:$E,$B198,Dados!$C:$C,INDEX(S$3,1,1),Dados!$A:$A,INDEX($D:$E,MATCH("K",$D:$D,0),2))=0,"",SUMIFS(Dados!$G:$G,Dados!$E:$E,$B198,Dados!$C:$C,INDEX(S$3,1,1),Dados!$A:$A,INDEX($D:$E,MATCH("K",$D:$D,0),2))/COUNTIFS(Dados!$E:$E,$B198,Dados!$C:$C,INDEX(S$3,1,1),Dados!$A:$A,INDEX($D:$E,MATCH("K",$D:$D,0),2)))</f>
        <v/>
      </c>
      <c r="T198" s="68" t="str">
        <f ca="1">IF(COUNTIFS(Dados!$E:$E,$B198,Dados!$C:$C,INDEX(T$3,1,1),Dados!$A:$A,INDEX($D:$E,MATCH("K",$D:$D,0),2))=0,"",SUMIFS(Dados!$G:$G,Dados!$E:$E,$B198,Dados!$C:$C,INDEX(T$3,1,1),Dados!$A:$A,INDEX($D:$E,MATCH("K",$D:$D,0),2))/COUNTIFS(Dados!$E:$E,$B198,Dados!$C:$C,INDEX(T$3,1,1),Dados!$A:$A,INDEX($D:$E,MATCH("K",$D:$D,0),2)))</f>
        <v/>
      </c>
      <c r="U198" s="68" t="str">
        <f ca="1">IF(COUNTIFS(Dados!$E:$E,$B198,Dados!$C:$C,INDEX(U$3,1,1),Dados!$A:$A,INDEX($D:$E,MATCH("K",$D:$D,0),2))=0,"",SUMIFS(Dados!$G:$G,Dados!$E:$E,$B198,Dados!$C:$C,INDEX(U$3,1,1),Dados!$A:$A,INDEX($D:$E,MATCH("K",$D:$D,0),2))/COUNTIFS(Dados!$E:$E,$B198,Dados!$C:$C,INDEX(U$3,1,1),Dados!$A:$A,INDEX($D:$E,MATCH("K",$D:$D,0),2)))</f>
        <v/>
      </c>
      <c r="V198" s="68" t="str">
        <f ca="1">IF(COUNTIFS(Dados!$E:$E,$B198,Dados!$C:$C,INDEX(V$3,1,1),Dados!$A:$A,INDEX($D:$E,MATCH("K",$D:$D,0),2))=0,"",SUMIFS(Dados!$G:$G,Dados!$E:$E,$B198,Dados!$C:$C,INDEX(V$3,1,1),Dados!$A:$A,INDEX($D:$E,MATCH("K",$D:$D,0),2))/COUNTIFS(Dados!$E:$E,$B198,Dados!$C:$C,INDEX(V$3,1,1),Dados!$A:$A,INDEX($D:$E,MATCH("K",$D:$D,0),2)))</f>
        <v/>
      </c>
    </row>
    <row r="199" spans="2:22" x14ac:dyDescent="0.25">
      <c r="B199" s="65" t="s">
        <v>65</v>
      </c>
      <c r="C199" s="72">
        <f>VLOOKUP(B199,B4:C22,2,0)</f>
        <v>7</v>
      </c>
      <c r="D199" s="66" t="str">
        <f ca="1">IF(COUNTIFS(Dados!$E:$E,$B199,Dados!$C:$C,INDEX(D$3,1,1),Dados!$A:$A,INDEX($D:$E,MATCH("K",$D:$D,0),2))=0,"",SUMIFS(Dados!$G:$G,Dados!$E:$E,$B199,Dados!$C:$C,INDEX(D$3,1,1),Dados!$A:$A,INDEX($D:$E,MATCH("K",$D:$D,0),2))/COUNTIFS(Dados!$E:$E,$B199,Dados!$C:$C,INDEX(D$3,1,1),Dados!$A:$A,INDEX($D:$E,MATCH("K",$D:$D,0),2)))</f>
        <v/>
      </c>
      <c r="E199" s="66" t="str">
        <f ca="1">IF(COUNTIFS(Dados!$E:$E,$B199,Dados!$C:$C,INDEX(E$3,1,1),Dados!$A:$A,INDEX($D:$E,MATCH("K",$D:$D,0),2))=0,"",SUMIFS(Dados!$G:$G,Dados!$E:$E,$B199,Dados!$C:$C,INDEX(E$3,1,1),Dados!$A:$A,INDEX($D:$E,MATCH("K",$D:$D,0),2))/COUNTIFS(Dados!$E:$E,$B199,Dados!$C:$C,INDEX(E$3,1,1),Dados!$A:$A,INDEX($D:$E,MATCH("K",$D:$D,0),2)))</f>
        <v/>
      </c>
      <c r="F199" s="66" t="str">
        <f ca="1">IF(COUNTIFS(Dados!$E:$E,$B199,Dados!$C:$C,INDEX(F$3,1,1),Dados!$A:$A,INDEX($D:$E,MATCH("K",$D:$D,0),2))=0,"",SUMIFS(Dados!$G:$G,Dados!$E:$E,$B199,Dados!$C:$C,INDEX(F$3,1,1),Dados!$A:$A,INDEX($D:$E,MATCH("K",$D:$D,0),2))/COUNTIFS(Dados!$E:$E,$B199,Dados!$C:$C,INDEX(F$3,1,1),Dados!$A:$A,INDEX($D:$E,MATCH("K",$D:$D,0),2)))</f>
        <v/>
      </c>
      <c r="G199" s="66" t="str">
        <f ca="1">IF(COUNTIFS(Dados!$E:$E,$B199,Dados!$C:$C,INDEX(G$3,1,1),Dados!$A:$A,INDEX($D:$E,MATCH("K",$D:$D,0),2))=0,"",SUMIFS(Dados!$G:$G,Dados!$E:$E,$B199,Dados!$C:$C,INDEX(G$3,1,1),Dados!$A:$A,INDEX($D:$E,MATCH("K",$D:$D,0),2))/COUNTIFS(Dados!$E:$E,$B199,Dados!$C:$C,INDEX(G$3,1,1),Dados!$A:$A,INDEX($D:$E,MATCH("K",$D:$D,0),2)))</f>
        <v/>
      </c>
      <c r="H199" s="66" t="str">
        <f ca="1">IF(COUNTIFS(Dados!$E:$E,$B199,Dados!$C:$C,INDEX(H$3,1,1),Dados!$A:$A,INDEX($D:$E,MATCH("K",$D:$D,0),2))=0,"",SUMIFS(Dados!$G:$G,Dados!$E:$E,$B199,Dados!$C:$C,INDEX(H$3,1,1),Dados!$A:$A,INDEX($D:$E,MATCH("K",$D:$D,0),2))/COUNTIFS(Dados!$E:$E,$B199,Dados!$C:$C,INDEX(H$3,1,1),Dados!$A:$A,INDEX($D:$E,MATCH("K",$D:$D,0),2)))</f>
        <v/>
      </c>
      <c r="I199" s="66" t="str">
        <f ca="1">IF(COUNTIFS(Dados!$E:$E,$B199,Dados!$C:$C,INDEX(I$3,1,1),Dados!$A:$A,INDEX($D:$E,MATCH("K",$D:$D,0),2))=0,"",SUMIFS(Dados!$G:$G,Dados!$E:$E,$B199,Dados!$C:$C,INDEX(I$3,1,1),Dados!$A:$A,INDEX($D:$E,MATCH("K",$D:$D,0),2))/COUNTIFS(Dados!$E:$E,$B199,Dados!$C:$C,INDEX(I$3,1,1),Dados!$A:$A,INDEX($D:$E,MATCH("K",$D:$D,0),2)))</f>
        <v/>
      </c>
      <c r="J199" s="66" t="str">
        <f ca="1">IF(COUNTIFS(Dados!$E:$E,$B199,Dados!$C:$C,INDEX(J$3,1,1),Dados!$A:$A,INDEX($D:$E,MATCH("K",$D:$D,0),2))=0,"",SUMIFS(Dados!$G:$G,Dados!$E:$E,$B199,Dados!$C:$C,INDEX(J$3,1,1),Dados!$A:$A,INDEX($D:$E,MATCH("K",$D:$D,0),2))/COUNTIFS(Dados!$E:$E,$B199,Dados!$C:$C,INDEX(J$3,1,1),Dados!$A:$A,INDEX($D:$E,MATCH("K",$D:$D,0),2)))</f>
        <v/>
      </c>
      <c r="K199" s="66" t="str">
        <f ca="1">IF(COUNTIFS(Dados!$E:$E,$B199,Dados!$C:$C,INDEX(K$3,1,1),Dados!$A:$A,INDEX($D:$E,MATCH("K",$D:$D,0),2))=0,"",SUMIFS(Dados!$G:$G,Dados!$E:$E,$B199,Dados!$C:$C,INDEX(K$3,1,1),Dados!$A:$A,INDEX($D:$E,MATCH("K",$D:$D,0),2))/COUNTIFS(Dados!$E:$E,$B199,Dados!$C:$C,INDEX(K$3,1,1),Dados!$A:$A,INDEX($D:$E,MATCH("K",$D:$D,0),2)))</f>
        <v/>
      </c>
      <c r="L199" s="66" t="str">
        <f ca="1">IF(COUNTIFS(Dados!$E:$E,$B199,Dados!$C:$C,INDEX(L$3,1,1),Dados!$A:$A,INDEX($D:$E,MATCH("K",$D:$D,0),2))=0,"",SUMIFS(Dados!$G:$G,Dados!$E:$E,$B199,Dados!$C:$C,INDEX(L$3,1,1),Dados!$A:$A,INDEX($D:$E,MATCH("K",$D:$D,0),2))/COUNTIFS(Dados!$E:$E,$B199,Dados!$C:$C,INDEX(L$3,1,1),Dados!$A:$A,INDEX($D:$E,MATCH("K",$D:$D,0),2)))</f>
        <v/>
      </c>
      <c r="M199" s="66" t="str">
        <f ca="1">IF(COUNTIFS(Dados!$E:$E,$B199,Dados!$C:$C,INDEX(M$3,1,1),Dados!$A:$A,INDEX($D:$E,MATCH("K",$D:$D,0),2))=0,"",SUMIFS(Dados!$G:$G,Dados!$E:$E,$B199,Dados!$C:$C,INDEX(M$3,1,1),Dados!$A:$A,INDEX($D:$E,MATCH("K",$D:$D,0),2))/COUNTIFS(Dados!$E:$E,$B199,Dados!$C:$C,INDEX(M$3,1,1),Dados!$A:$A,INDEX($D:$E,MATCH("K",$D:$D,0),2)))</f>
        <v/>
      </c>
      <c r="N199" s="66" t="str">
        <f ca="1">IF(COUNTIFS(Dados!$E:$E,$B199,Dados!$C:$C,INDEX(N$3,1,1),Dados!$A:$A,INDEX($D:$E,MATCH("K",$D:$D,0),2))=0,"",SUMIFS(Dados!$G:$G,Dados!$E:$E,$B199,Dados!$C:$C,INDEX(N$3,1,1),Dados!$A:$A,INDEX($D:$E,MATCH("K",$D:$D,0),2))/COUNTIFS(Dados!$E:$E,$B199,Dados!$C:$C,INDEX(N$3,1,1),Dados!$A:$A,INDEX($D:$E,MATCH("K",$D:$D,0),2)))</f>
        <v/>
      </c>
      <c r="O199" s="66" t="str">
        <f ca="1">IF(COUNTIFS(Dados!$E:$E,$B199,Dados!$C:$C,INDEX(O$3,1,1),Dados!$A:$A,INDEX($D:$E,MATCH("K",$D:$D,0),2))=0,"",SUMIFS(Dados!$G:$G,Dados!$E:$E,$B199,Dados!$C:$C,INDEX(O$3,1,1),Dados!$A:$A,INDEX($D:$E,MATCH("K",$D:$D,0),2))/COUNTIFS(Dados!$E:$E,$B199,Dados!$C:$C,INDEX(O$3,1,1),Dados!$A:$A,INDEX($D:$E,MATCH("K",$D:$D,0),2)))</f>
        <v/>
      </c>
      <c r="P199" s="66" t="str">
        <f ca="1">IF(COUNTIFS(Dados!$E:$E,$B199,Dados!$C:$C,INDEX(P$3,1,1),Dados!$A:$A,INDEX($D:$E,MATCH("K",$D:$D,0),2))=0,"",SUMIFS(Dados!$G:$G,Dados!$E:$E,$B199,Dados!$C:$C,INDEX(P$3,1,1),Dados!$A:$A,INDEX($D:$E,MATCH("K",$D:$D,0),2))/COUNTIFS(Dados!$E:$E,$B199,Dados!$C:$C,INDEX(P$3,1,1),Dados!$A:$A,INDEX($D:$E,MATCH("K",$D:$D,0),2)))</f>
        <v/>
      </c>
      <c r="Q199" s="66" t="str">
        <f ca="1">IF(COUNTIFS(Dados!$E:$E,$B199,Dados!$C:$C,INDEX(Q$3,1,1),Dados!$A:$A,INDEX($D:$E,MATCH("K",$D:$D,0),2))=0,"",SUMIFS(Dados!$G:$G,Dados!$E:$E,$B199,Dados!$C:$C,INDEX(Q$3,1,1),Dados!$A:$A,INDEX($D:$E,MATCH("K",$D:$D,0),2))/COUNTIFS(Dados!$E:$E,$B199,Dados!$C:$C,INDEX(Q$3,1,1),Dados!$A:$A,INDEX($D:$E,MATCH("K",$D:$D,0),2)))</f>
        <v/>
      </c>
      <c r="R199" s="66" t="str">
        <f ca="1">IF(COUNTIFS(Dados!$E:$E,$B199,Dados!$C:$C,INDEX(R$3,1,1),Dados!$A:$A,INDEX($D:$E,MATCH("K",$D:$D,0),2))=0,"",SUMIFS(Dados!$G:$G,Dados!$E:$E,$B199,Dados!$C:$C,INDEX(R$3,1,1),Dados!$A:$A,INDEX($D:$E,MATCH("K",$D:$D,0),2))/COUNTIFS(Dados!$E:$E,$B199,Dados!$C:$C,INDEX(R$3,1,1),Dados!$A:$A,INDEX($D:$E,MATCH("K",$D:$D,0),2)))</f>
        <v/>
      </c>
      <c r="S199" s="66" t="str">
        <f ca="1">IF(COUNTIFS(Dados!$E:$E,$B199,Dados!$C:$C,INDEX(S$3,1,1),Dados!$A:$A,INDEX($D:$E,MATCH("K",$D:$D,0),2))=0,"",SUMIFS(Dados!$G:$G,Dados!$E:$E,$B199,Dados!$C:$C,INDEX(S$3,1,1),Dados!$A:$A,INDEX($D:$E,MATCH("K",$D:$D,0),2))/COUNTIFS(Dados!$E:$E,$B199,Dados!$C:$C,INDEX(S$3,1,1),Dados!$A:$A,INDEX($D:$E,MATCH("K",$D:$D,0),2)))</f>
        <v/>
      </c>
      <c r="T199" s="66" t="str">
        <f ca="1">IF(COUNTIFS(Dados!$E:$E,$B199,Dados!$C:$C,INDEX(T$3,1,1),Dados!$A:$A,INDEX($D:$E,MATCH("K",$D:$D,0),2))=0,"",SUMIFS(Dados!$G:$G,Dados!$E:$E,$B199,Dados!$C:$C,INDEX(T$3,1,1),Dados!$A:$A,INDEX($D:$E,MATCH("K",$D:$D,0),2))/COUNTIFS(Dados!$E:$E,$B199,Dados!$C:$C,INDEX(T$3,1,1),Dados!$A:$A,INDEX($D:$E,MATCH("K",$D:$D,0),2)))</f>
        <v/>
      </c>
      <c r="U199" s="66" t="str">
        <f ca="1">IF(COUNTIFS(Dados!$E:$E,$B199,Dados!$C:$C,INDEX(U$3,1,1),Dados!$A:$A,INDEX($D:$E,MATCH("K",$D:$D,0),2))=0,"",SUMIFS(Dados!$G:$G,Dados!$E:$E,$B199,Dados!$C:$C,INDEX(U$3,1,1),Dados!$A:$A,INDEX($D:$E,MATCH("K",$D:$D,0),2))/COUNTIFS(Dados!$E:$E,$B199,Dados!$C:$C,INDEX(U$3,1,1),Dados!$A:$A,INDEX($D:$E,MATCH("K",$D:$D,0),2)))</f>
        <v/>
      </c>
      <c r="V199" s="66" t="str">
        <f ca="1">IF(COUNTIFS(Dados!$E:$E,$B199,Dados!$C:$C,INDEX(V$3,1,1),Dados!$A:$A,INDEX($D:$E,MATCH("K",$D:$D,0),2))=0,"",SUMIFS(Dados!$G:$G,Dados!$E:$E,$B199,Dados!$C:$C,INDEX(V$3,1,1),Dados!$A:$A,INDEX($D:$E,MATCH("K",$D:$D,0),2))/COUNTIFS(Dados!$E:$E,$B199,Dados!$C:$C,INDEX(V$3,1,1),Dados!$A:$A,INDEX($D:$E,MATCH("K",$D:$D,0),2)))</f>
        <v/>
      </c>
    </row>
    <row r="200" spans="2:22" x14ac:dyDescent="0.25">
      <c r="B200" s="67" t="s">
        <v>32</v>
      </c>
      <c r="C200" s="71">
        <f>VLOOKUP(B200,B4:C22,2,0)</f>
        <v>8</v>
      </c>
      <c r="D200" s="68" t="str">
        <f ca="1">IF(COUNTIFS(Dados!$E:$E,$B200,Dados!$C:$C,INDEX(D$3,1,1),Dados!$A:$A,INDEX($D:$E,MATCH("K",$D:$D,0),2))=0,"",SUMIFS(Dados!$G:$G,Dados!$E:$E,$B200,Dados!$C:$C,INDEX(D$3,1,1),Dados!$A:$A,INDEX($D:$E,MATCH("K",$D:$D,0),2))/COUNTIFS(Dados!$E:$E,$B200,Dados!$C:$C,INDEX(D$3,1,1),Dados!$A:$A,INDEX($D:$E,MATCH("K",$D:$D,0),2)))</f>
        <v/>
      </c>
      <c r="E200" s="68" t="str">
        <f ca="1">IF(COUNTIFS(Dados!$E:$E,$B200,Dados!$C:$C,INDEX(E$3,1,1),Dados!$A:$A,INDEX($D:$E,MATCH("K",$D:$D,0),2))=0,"",SUMIFS(Dados!$G:$G,Dados!$E:$E,$B200,Dados!$C:$C,INDEX(E$3,1,1),Dados!$A:$A,INDEX($D:$E,MATCH("K",$D:$D,0),2))/COUNTIFS(Dados!$E:$E,$B200,Dados!$C:$C,INDEX(E$3,1,1),Dados!$A:$A,INDEX($D:$E,MATCH("K",$D:$D,0),2)))</f>
        <v/>
      </c>
      <c r="F200" s="68" t="str">
        <f ca="1">IF(COUNTIFS(Dados!$E:$E,$B200,Dados!$C:$C,INDEX(F$3,1,1),Dados!$A:$A,INDEX($D:$E,MATCH("K",$D:$D,0),2))=0,"",SUMIFS(Dados!$G:$G,Dados!$E:$E,$B200,Dados!$C:$C,INDEX(F$3,1,1),Dados!$A:$A,INDEX($D:$E,MATCH("K",$D:$D,0),2))/COUNTIFS(Dados!$E:$E,$B200,Dados!$C:$C,INDEX(F$3,1,1),Dados!$A:$A,INDEX($D:$E,MATCH("K",$D:$D,0),2)))</f>
        <v/>
      </c>
      <c r="G200" s="68" t="str">
        <f ca="1">IF(COUNTIFS(Dados!$E:$E,$B200,Dados!$C:$C,INDEX(G$3,1,1),Dados!$A:$A,INDEX($D:$E,MATCH("K",$D:$D,0),2))=0,"",SUMIFS(Dados!$G:$G,Dados!$E:$E,$B200,Dados!$C:$C,INDEX(G$3,1,1),Dados!$A:$A,INDEX($D:$E,MATCH("K",$D:$D,0),2))/COUNTIFS(Dados!$E:$E,$B200,Dados!$C:$C,INDEX(G$3,1,1),Dados!$A:$A,INDEX($D:$E,MATCH("K",$D:$D,0),2)))</f>
        <v/>
      </c>
      <c r="H200" s="68" t="str">
        <f ca="1">IF(COUNTIFS(Dados!$E:$E,$B200,Dados!$C:$C,INDEX(H$3,1,1),Dados!$A:$A,INDEX($D:$E,MATCH("K",$D:$D,0),2))=0,"",SUMIFS(Dados!$G:$G,Dados!$E:$E,$B200,Dados!$C:$C,INDEX(H$3,1,1),Dados!$A:$A,INDEX($D:$E,MATCH("K",$D:$D,0),2))/COUNTIFS(Dados!$E:$E,$B200,Dados!$C:$C,INDEX(H$3,1,1),Dados!$A:$A,INDEX($D:$E,MATCH("K",$D:$D,0),2)))</f>
        <v/>
      </c>
      <c r="I200" s="68" t="str">
        <f ca="1">IF(COUNTIFS(Dados!$E:$E,$B200,Dados!$C:$C,INDEX(I$3,1,1),Dados!$A:$A,INDEX($D:$E,MATCH("K",$D:$D,0),2))=0,"",SUMIFS(Dados!$G:$G,Dados!$E:$E,$B200,Dados!$C:$C,INDEX(I$3,1,1),Dados!$A:$A,INDEX($D:$E,MATCH("K",$D:$D,0),2))/COUNTIFS(Dados!$E:$E,$B200,Dados!$C:$C,INDEX(I$3,1,1),Dados!$A:$A,INDEX($D:$E,MATCH("K",$D:$D,0),2)))</f>
        <v/>
      </c>
      <c r="J200" s="68" t="str">
        <f ca="1">IF(COUNTIFS(Dados!$E:$E,$B200,Dados!$C:$C,INDEX(J$3,1,1),Dados!$A:$A,INDEX($D:$E,MATCH("K",$D:$D,0),2))=0,"",SUMIFS(Dados!$G:$G,Dados!$E:$E,$B200,Dados!$C:$C,INDEX(J$3,1,1),Dados!$A:$A,INDEX($D:$E,MATCH("K",$D:$D,0),2))/COUNTIFS(Dados!$E:$E,$B200,Dados!$C:$C,INDEX(J$3,1,1),Dados!$A:$A,INDEX($D:$E,MATCH("K",$D:$D,0),2)))</f>
        <v/>
      </c>
      <c r="K200" s="68" t="str">
        <f ca="1">IF(COUNTIFS(Dados!$E:$E,$B200,Dados!$C:$C,INDEX(K$3,1,1),Dados!$A:$A,INDEX($D:$E,MATCH("K",$D:$D,0),2))=0,"",SUMIFS(Dados!$G:$G,Dados!$E:$E,$B200,Dados!$C:$C,INDEX(K$3,1,1),Dados!$A:$A,INDEX($D:$E,MATCH("K",$D:$D,0),2))/COUNTIFS(Dados!$E:$E,$B200,Dados!$C:$C,INDEX(K$3,1,1),Dados!$A:$A,INDEX($D:$E,MATCH("K",$D:$D,0),2)))</f>
        <v/>
      </c>
      <c r="L200" s="68" t="str">
        <f ca="1">IF(COUNTIFS(Dados!$E:$E,$B200,Dados!$C:$C,INDEX(L$3,1,1),Dados!$A:$A,INDEX($D:$E,MATCH("K",$D:$D,0),2))=0,"",SUMIFS(Dados!$G:$G,Dados!$E:$E,$B200,Dados!$C:$C,INDEX(L$3,1,1),Dados!$A:$A,INDEX($D:$E,MATCH("K",$D:$D,0),2))/COUNTIFS(Dados!$E:$E,$B200,Dados!$C:$C,INDEX(L$3,1,1),Dados!$A:$A,INDEX($D:$E,MATCH("K",$D:$D,0),2)))</f>
        <v/>
      </c>
      <c r="M200" s="68" t="str">
        <f ca="1">IF(COUNTIFS(Dados!$E:$E,$B200,Dados!$C:$C,INDEX(M$3,1,1),Dados!$A:$A,INDEX($D:$E,MATCH("K",$D:$D,0),2))=0,"",SUMIFS(Dados!$G:$G,Dados!$E:$E,$B200,Dados!$C:$C,INDEX(M$3,1,1),Dados!$A:$A,INDEX($D:$E,MATCH("K",$D:$D,0),2))/COUNTIFS(Dados!$E:$E,$B200,Dados!$C:$C,INDEX(M$3,1,1),Dados!$A:$A,INDEX($D:$E,MATCH("K",$D:$D,0),2)))</f>
        <v/>
      </c>
      <c r="N200" s="68" t="str">
        <f ca="1">IF(COUNTIFS(Dados!$E:$E,$B200,Dados!$C:$C,INDEX(N$3,1,1),Dados!$A:$A,INDEX($D:$E,MATCH("K",$D:$D,0),2))=0,"",SUMIFS(Dados!$G:$G,Dados!$E:$E,$B200,Dados!$C:$C,INDEX(N$3,1,1),Dados!$A:$A,INDEX($D:$E,MATCH("K",$D:$D,0),2))/COUNTIFS(Dados!$E:$E,$B200,Dados!$C:$C,INDEX(N$3,1,1),Dados!$A:$A,INDEX($D:$E,MATCH("K",$D:$D,0),2)))</f>
        <v/>
      </c>
      <c r="O200" s="68" t="str">
        <f ca="1">IF(COUNTIFS(Dados!$E:$E,$B200,Dados!$C:$C,INDEX(O$3,1,1),Dados!$A:$A,INDEX($D:$E,MATCH("K",$D:$D,0),2))=0,"",SUMIFS(Dados!$G:$G,Dados!$E:$E,$B200,Dados!$C:$C,INDEX(O$3,1,1),Dados!$A:$A,INDEX($D:$E,MATCH("K",$D:$D,0),2))/COUNTIFS(Dados!$E:$E,$B200,Dados!$C:$C,INDEX(O$3,1,1),Dados!$A:$A,INDEX($D:$E,MATCH("K",$D:$D,0),2)))</f>
        <v/>
      </c>
      <c r="P200" s="68" t="str">
        <f ca="1">IF(COUNTIFS(Dados!$E:$E,$B200,Dados!$C:$C,INDEX(P$3,1,1),Dados!$A:$A,INDEX($D:$E,MATCH("K",$D:$D,0),2))=0,"",SUMIFS(Dados!$G:$G,Dados!$E:$E,$B200,Dados!$C:$C,INDEX(P$3,1,1),Dados!$A:$A,INDEX($D:$E,MATCH("K",$D:$D,0),2))/COUNTIFS(Dados!$E:$E,$B200,Dados!$C:$C,INDEX(P$3,1,1),Dados!$A:$A,INDEX($D:$E,MATCH("K",$D:$D,0),2)))</f>
        <v/>
      </c>
      <c r="Q200" s="68" t="str">
        <f ca="1">IF(COUNTIFS(Dados!$E:$E,$B200,Dados!$C:$C,INDEX(Q$3,1,1),Dados!$A:$A,INDEX($D:$E,MATCH("K",$D:$D,0),2))=0,"",SUMIFS(Dados!$G:$G,Dados!$E:$E,$B200,Dados!$C:$C,INDEX(Q$3,1,1),Dados!$A:$A,INDEX($D:$E,MATCH("K",$D:$D,0),2))/COUNTIFS(Dados!$E:$E,$B200,Dados!$C:$C,INDEX(Q$3,1,1),Dados!$A:$A,INDEX($D:$E,MATCH("K",$D:$D,0),2)))</f>
        <v/>
      </c>
      <c r="R200" s="68" t="str">
        <f ca="1">IF(COUNTIFS(Dados!$E:$E,$B200,Dados!$C:$C,INDEX(R$3,1,1),Dados!$A:$A,INDEX($D:$E,MATCH("K",$D:$D,0),2))=0,"",SUMIFS(Dados!$G:$G,Dados!$E:$E,$B200,Dados!$C:$C,INDEX(R$3,1,1),Dados!$A:$A,INDEX($D:$E,MATCH("K",$D:$D,0),2))/COUNTIFS(Dados!$E:$E,$B200,Dados!$C:$C,INDEX(R$3,1,1),Dados!$A:$A,INDEX($D:$E,MATCH("K",$D:$D,0),2)))</f>
        <v/>
      </c>
      <c r="S200" s="68" t="str">
        <f ca="1">IF(COUNTIFS(Dados!$E:$E,$B200,Dados!$C:$C,INDEX(S$3,1,1),Dados!$A:$A,INDEX($D:$E,MATCH("K",$D:$D,0),2))=0,"",SUMIFS(Dados!$G:$G,Dados!$E:$E,$B200,Dados!$C:$C,INDEX(S$3,1,1),Dados!$A:$A,INDEX($D:$E,MATCH("K",$D:$D,0),2))/COUNTIFS(Dados!$E:$E,$B200,Dados!$C:$C,INDEX(S$3,1,1),Dados!$A:$A,INDEX($D:$E,MATCH("K",$D:$D,0),2)))</f>
        <v/>
      </c>
      <c r="T200" s="68" t="str">
        <f ca="1">IF(COUNTIFS(Dados!$E:$E,$B200,Dados!$C:$C,INDEX(T$3,1,1),Dados!$A:$A,INDEX($D:$E,MATCH("K",$D:$D,0),2))=0,"",SUMIFS(Dados!$G:$G,Dados!$E:$E,$B200,Dados!$C:$C,INDEX(T$3,1,1),Dados!$A:$A,INDEX($D:$E,MATCH("K",$D:$D,0),2))/COUNTIFS(Dados!$E:$E,$B200,Dados!$C:$C,INDEX(T$3,1,1),Dados!$A:$A,INDEX($D:$E,MATCH("K",$D:$D,0),2)))</f>
        <v/>
      </c>
      <c r="U200" s="68" t="str">
        <f ca="1">IF(COUNTIFS(Dados!$E:$E,$B200,Dados!$C:$C,INDEX(U$3,1,1),Dados!$A:$A,INDEX($D:$E,MATCH("K",$D:$D,0),2))=0,"",SUMIFS(Dados!$G:$G,Dados!$E:$E,$B200,Dados!$C:$C,INDEX(U$3,1,1),Dados!$A:$A,INDEX($D:$E,MATCH("K",$D:$D,0),2))/COUNTIFS(Dados!$E:$E,$B200,Dados!$C:$C,INDEX(U$3,1,1),Dados!$A:$A,INDEX($D:$E,MATCH("K",$D:$D,0),2)))</f>
        <v/>
      </c>
      <c r="V200" s="68" t="str">
        <f ca="1">IF(COUNTIFS(Dados!$E:$E,$B200,Dados!$C:$C,INDEX(V$3,1,1),Dados!$A:$A,INDEX($D:$E,MATCH("K",$D:$D,0),2))=0,"",SUMIFS(Dados!$G:$G,Dados!$E:$E,$B200,Dados!$C:$C,INDEX(V$3,1,1),Dados!$A:$A,INDEX($D:$E,MATCH("K",$D:$D,0),2))/COUNTIFS(Dados!$E:$E,$B200,Dados!$C:$C,INDEX(V$3,1,1),Dados!$A:$A,INDEX($D:$E,MATCH("K",$D:$D,0),2)))</f>
        <v/>
      </c>
    </row>
    <row r="201" spans="2:22" x14ac:dyDescent="0.25">
      <c r="B201" s="65" t="s">
        <v>44</v>
      </c>
      <c r="C201" s="72">
        <f>VLOOKUP(B201,B4:C22,2,0)</f>
        <v>9</v>
      </c>
      <c r="D201" s="66" t="str">
        <f ca="1">IF(COUNTIFS(Dados!$E:$E,$B201,Dados!$C:$C,INDEX(D$3,1,1),Dados!$A:$A,INDEX($D:$E,MATCH("K",$D:$D,0),2))=0,"",SUMIFS(Dados!$G:$G,Dados!$E:$E,$B201,Dados!$C:$C,INDEX(D$3,1,1),Dados!$A:$A,INDEX($D:$E,MATCH("K",$D:$D,0),2))/COUNTIFS(Dados!$E:$E,$B201,Dados!$C:$C,INDEX(D$3,1,1),Dados!$A:$A,INDEX($D:$E,MATCH("K",$D:$D,0),2)))</f>
        <v/>
      </c>
      <c r="E201" s="66" t="str">
        <f ca="1">IF(COUNTIFS(Dados!$E:$E,$B201,Dados!$C:$C,INDEX(E$3,1,1),Dados!$A:$A,INDEX($D:$E,MATCH("K",$D:$D,0),2))=0,"",SUMIFS(Dados!$G:$G,Dados!$E:$E,$B201,Dados!$C:$C,INDEX(E$3,1,1),Dados!$A:$A,INDEX($D:$E,MATCH("K",$D:$D,0),2))/COUNTIFS(Dados!$E:$E,$B201,Dados!$C:$C,INDEX(E$3,1,1),Dados!$A:$A,INDEX($D:$E,MATCH("K",$D:$D,0),2)))</f>
        <v/>
      </c>
      <c r="F201" s="66" t="str">
        <f ca="1">IF(COUNTIFS(Dados!$E:$E,$B201,Dados!$C:$C,INDEX(F$3,1,1),Dados!$A:$A,INDEX($D:$E,MATCH("K",$D:$D,0),2))=0,"",SUMIFS(Dados!$G:$G,Dados!$E:$E,$B201,Dados!$C:$C,INDEX(F$3,1,1),Dados!$A:$A,INDEX($D:$E,MATCH("K",$D:$D,0),2))/COUNTIFS(Dados!$E:$E,$B201,Dados!$C:$C,INDEX(F$3,1,1),Dados!$A:$A,INDEX($D:$E,MATCH("K",$D:$D,0),2)))</f>
        <v/>
      </c>
      <c r="G201" s="66" t="str">
        <f ca="1">IF(COUNTIFS(Dados!$E:$E,$B201,Dados!$C:$C,INDEX(G$3,1,1),Dados!$A:$A,INDEX($D:$E,MATCH("K",$D:$D,0),2))=0,"",SUMIFS(Dados!$G:$G,Dados!$E:$E,$B201,Dados!$C:$C,INDEX(G$3,1,1),Dados!$A:$A,INDEX($D:$E,MATCH("K",$D:$D,0),2))/COUNTIFS(Dados!$E:$E,$B201,Dados!$C:$C,INDEX(G$3,1,1),Dados!$A:$A,INDEX($D:$E,MATCH("K",$D:$D,0),2)))</f>
        <v/>
      </c>
      <c r="H201" s="66" t="str">
        <f ca="1">IF(COUNTIFS(Dados!$E:$E,$B201,Dados!$C:$C,INDEX(H$3,1,1),Dados!$A:$A,INDEX($D:$E,MATCH("K",$D:$D,0),2))=0,"",SUMIFS(Dados!$G:$G,Dados!$E:$E,$B201,Dados!$C:$C,INDEX(H$3,1,1),Dados!$A:$A,INDEX($D:$E,MATCH("K",$D:$D,0),2))/COUNTIFS(Dados!$E:$E,$B201,Dados!$C:$C,INDEX(H$3,1,1),Dados!$A:$A,INDEX($D:$E,MATCH("K",$D:$D,0),2)))</f>
        <v/>
      </c>
      <c r="I201" s="66" t="str">
        <f ca="1">IF(COUNTIFS(Dados!$E:$E,$B201,Dados!$C:$C,INDEX(I$3,1,1),Dados!$A:$A,INDEX($D:$E,MATCH("K",$D:$D,0),2))=0,"",SUMIFS(Dados!$G:$G,Dados!$E:$E,$B201,Dados!$C:$C,INDEX(I$3,1,1),Dados!$A:$A,INDEX($D:$E,MATCH("K",$D:$D,0),2))/COUNTIFS(Dados!$E:$E,$B201,Dados!$C:$C,INDEX(I$3,1,1),Dados!$A:$A,INDEX($D:$E,MATCH("K",$D:$D,0),2)))</f>
        <v/>
      </c>
      <c r="J201" s="66" t="str">
        <f ca="1">IF(COUNTIFS(Dados!$E:$E,$B201,Dados!$C:$C,INDEX(J$3,1,1),Dados!$A:$A,INDEX($D:$E,MATCH("K",$D:$D,0),2))=0,"",SUMIFS(Dados!$G:$G,Dados!$E:$E,$B201,Dados!$C:$C,INDEX(J$3,1,1),Dados!$A:$A,INDEX($D:$E,MATCH("K",$D:$D,0),2))/COUNTIFS(Dados!$E:$E,$B201,Dados!$C:$C,INDEX(J$3,1,1),Dados!$A:$A,INDEX($D:$E,MATCH("K",$D:$D,0),2)))</f>
        <v/>
      </c>
      <c r="K201" s="66" t="str">
        <f ca="1">IF(COUNTIFS(Dados!$E:$E,$B201,Dados!$C:$C,INDEX(K$3,1,1),Dados!$A:$A,INDEX($D:$E,MATCH("K",$D:$D,0),2))=0,"",SUMIFS(Dados!$G:$G,Dados!$E:$E,$B201,Dados!$C:$C,INDEX(K$3,1,1),Dados!$A:$A,INDEX($D:$E,MATCH("K",$D:$D,0),2))/COUNTIFS(Dados!$E:$E,$B201,Dados!$C:$C,INDEX(K$3,1,1),Dados!$A:$A,INDEX($D:$E,MATCH("K",$D:$D,0),2)))</f>
        <v/>
      </c>
      <c r="L201" s="66" t="str">
        <f ca="1">IF(COUNTIFS(Dados!$E:$E,$B201,Dados!$C:$C,INDEX(L$3,1,1),Dados!$A:$A,INDEX($D:$E,MATCH("K",$D:$D,0),2))=0,"",SUMIFS(Dados!$G:$G,Dados!$E:$E,$B201,Dados!$C:$C,INDEX(L$3,1,1),Dados!$A:$A,INDEX($D:$E,MATCH("K",$D:$D,0),2))/COUNTIFS(Dados!$E:$E,$B201,Dados!$C:$C,INDEX(L$3,1,1),Dados!$A:$A,INDEX($D:$E,MATCH("K",$D:$D,0),2)))</f>
        <v/>
      </c>
      <c r="M201" s="66" t="str">
        <f ca="1">IF(COUNTIFS(Dados!$E:$E,$B201,Dados!$C:$C,INDEX(M$3,1,1),Dados!$A:$A,INDEX($D:$E,MATCH("K",$D:$D,0),2))=0,"",SUMIFS(Dados!$G:$G,Dados!$E:$E,$B201,Dados!$C:$C,INDEX(M$3,1,1),Dados!$A:$A,INDEX($D:$E,MATCH("K",$D:$D,0),2))/COUNTIFS(Dados!$E:$E,$B201,Dados!$C:$C,INDEX(M$3,1,1),Dados!$A:$A,INDEX($D:$E,MATCH("K",$D:$D,0),2)))</f>
        <v/>
      </c>
      <c r="N201" s="66" t="str">
        <f ca="1">IF(COUNTIFS(Dados!$E:$E,$B201,Dados!$C:$C,INDEX(N$3,1,1),Dados!$A:$A,INDEX($D:$E,MATCH("K",$D:$D,0),2))=0,"",SUMIFS(Dados!$G:$G,Dados!$E:$E,$B201,Dados!$C:$C,INDEX(N$3,1,1),Dados!$A:$A,INDEX($D:$E,MATCH("K",$D:$D,0),2))/COUNTIFS(Dados!$E:$E,$B201,Dados!$C:$C,INDEX(N$3,1,1),Dados!$A:$A,INDEX($D:$E,MATCH("K",$D:$D,0),2)))</f>
        <v/>
      </c>
      <c r="O201" s="66" t="str">
        <f ca="1">IF(COUNTIFS(Dados!$E:$E,$B201,Dados!$C:$C,INDEX(O$3,1,1),Dados!$A:$A,INDEX($D:$E,MATCH("K",$D:$D,0),2))=0,"",SUMIFS(Dados!$G:$G,Dados!$E:$E,$B201,Dados!$C:$C,INDEX(O$3,1,1),Dados!$A:$A,INDEX($D:$E,MATCH("K",$D:$D,0),2))/COUNTIFS(Dados!$E:$E,$B201,Dados!$C:$C,INDEX(O$3,1,1),Dados!$A:$A,INDEX($D:$E,MATCH("K",$D:$D,0),2)))</f>
        <v/>
      </c>
      <c r="P201" s="66" t="str">
        <f ca="1">IF(COUNTIFS(Dados!$E:$E,$B201,Dados!$C:$C,INDEX(P$3,1,1),Dados!$A:$A,INDEX($D:$E,MATCH("K",$D:$D,0),2))=0,"",SUMIFS(Dados!$G:$G,Dados!$E:$E,$B201,Dados!$C:$C,INDEX(P$3,1,1),Dados!$A:$A,INDEX($D:$E,MATCH("K",$D:$D,0),2))/COUNTIFS(Dados!$E:$E,$B201,Dados!$C:$C,INDEX(P$3,1,1),Dados!$A:$A,INDEX($D:$E,MATCH("K",$D:$D,0),2)))</f>
        <v/>
      </c>
      <c r="Q201" s="66" t="str">
        <f ca="1">IF(COUNTIFS(Dados!$E:$E,$B201,Dados!$C:$C,INDEX(Q$3,1,1),Dados!$A:$A,INDEX($D:$E,MATCH("K",$D:$D,0),2))=0,"",SUMIFS(Dados!$G:$G,Dados!$E:$E,$B201,Dados!$C:$C,INDEX(Q$3,1,1),Dados!$A:$A,INDEX($D:$E,MATCH("K",$D:$D,0),2))/COUNTIFS(Dados!$E:$E,$B201,Dados!$C:$C,INDEX(Q$3,1,1),Dados!$A:$A,INDEX($D:$E,MATCH("K",$D:$D,0),2)))</f>
        <v/>
      </c>
      <c r="R201" s="66" t="str">
        <f ca="1">IF(COUNTIFS(Dados!$E:$E,$B201,Dados!$C:$C,INDEX(R$3,1,1),Dados!$A:$A,INDEX($D:$E,MATCH("K",$D:$D,0),2))=0,"",SUMIFS(Dados!$G:$G,Dados!$E:$E,$B201,Dados!$C:$C,INDEX(R$3,1,1),Dados!$A:$A,INDEX($D:$E,MATCH("K",$D:$D,0),2))/COUNTIFS(Dados!$E:$E,$B201,Dados!$C:$C,INDEX(R$3,1,1),Dados!$A:$A,INDEX($D:$E,MATCH("K",$D:$D,0),2)))</f>
        <v/>
      </c>
      <c r="S201" s="66" t="str">
        <f ca="1">IF(COUNTIFS(Dados!$E:$E,$B201,Dados!$C:$C,INDEX(S$3,1,1),Dados!$A:$A,INDEX($D:$E,MATCH("K",$D:$D,0),2))=0,"",SUMIFS(Dados!$G:$G,Dados!$E:$E,$B201,Dados!$C:$C,INDEX(S$3,1,1),Dados!$A:$A,INDEX($D:$E,MATCH("K",$D:$D,0),2))/COUNTIFS(Dados!$E:$E,$B201,Dados!$C:$C,INDEX(S$3,1,1),Dados!$A:$A,INDEX($D:$E,MATCH("K",$D:$D,0),2)))</f>
        <v/>
      </c>
      <c r="T201" s="66" t="str">
        <f ca="1">IF(COUNTIFS(Dados!$E:$E,$B201,Dados!$C:$C,INDEX(T$3,1,1),Dados!$A:$A,INDEX($D:$E,MATCH("K",$D:$D,0),2))=0,"",SUMIFS(Dados!$G:$G,Dados!$E:$E,$B201,Dados!$C:$C,INDEX(T$3,1,1),Dados!$A:$A,INDEX($D:$E,MATCH("K",$D:$D,0),2))/COUNTIFS(Dados!$E:$E,$B201,Dados!$C:$C,INDEX(T$3,1,1),Dados!$A:$A,INDEX($D:$E,MATCH("K",$D:$D,0),2)))</f>
        <v/>
      </c>
      <c r="U201" s="66" t="str">
        <f ca="1">IF(COUNTIFS(Dados!$E:$E,$B201,Dados!$C:$C,INDEX(U$3,1,1),Dados!$A:$A,INDEX($D:$E,MATCH("K",$D:$D,0),2))=0,"",SUMIFS(Dados!$G:$G,Dados!$E:$E,$B201,Dados!$C:$C,INDEX(U$3,1,1),Dados!$A:$A,INDEX($D:$E,MATCH("K",$D:$D,0),2))/COUNTIFS(Dados!$E:$E,$B201,Dados!$C:$C,INDEX(U$3,1,1),Dados!$A:$A,INDEX($D:$E,MATCH("K",$D:$D,0),2)))</f>
        <v/>
      </c>
      <c r="V201" s="66" t="str">
        <f ca="1">IF(COUNTIFS(Dados!$E:$E,$B201,Dados!$C:$C,INDEX(V$3,1,1),Dados!$A:$A,INDEX($D:$E,MATCH("K",$D:$D,0),2))=0,"",SUMIFS(Dados!$G:$G,Dados!$E:$E,$B201,Dados!$C:$C,INDEX(V$3,1,1),Dados!$A:$A,INDEX($D:$E,MATCH("K",$D:$D,0),2))/COUNTIFS(Dados!$E:$E,$B201,Dados!$C:$C,INDEX(V$3,1,1),Dados!$A:$A,INDEX($D:$E,MATCH("K",$D:$D,0),2)))</f>
        <v/>
      </c>
    </row>
    <row r="202" spans="2:22" x14ac:dyDescent="0.25">
      <c r="B202" s="67" t="s">
        <v>147</v>
      </c>
      <c r="C202" s="71">
        <f>VLOOKUP(B202,B4:C22,2,0)</f>
        <v>10</v>
      </c>
      <c r="D202" s="68" t="str">
        <f ca="1">IF(COUNTIFS(Dados!$E:$E,$B202,Dados!$C:$C,INDEX(D$3,1,1),Dados!$A:$A,INDEX($D:$E,MATCH("K",$D:$D,0),2))=0,"",SUMIFS(Dados!$G:$G,Dados!$E:$E,$B202,Dados!$C:$C,INDEX(D$3,1,1),Dados!$A:$A,INDEX($D:$E,MATCH("K",$D:$D,0),2))/COUNTIFS(Dados!$E:$E,$B202,Dados!$C:$C,INDEX(D$3,1,1),Dados!$A:$A,INDEX($D:$E,MATCH("K",$D:$D,0),2)))</f>
        <v/>
      </c>
      <c r="E202" s="68" t="str">
        <f ca="1">IF(COUNTIFS(Dados!$E:$E,$B202,Dados!$C:$C,INDEX(E$3,1,1),Dados!$A:$A,INDEX($D:$E,MATCH("K",$D:$D,0),2))=0,"",SUMIFS(Dados!$G:$G,Dados!$E:$E,$B202,Dados!$C:$C,INDEX(E$3,1,1),Dados!$A:$A,INDEX($D:$E,MATCH("K",$D:$D,0),2))/COUNTIFS(Dados!$E:$E,$B202,Dados!$C:$C,INDEX(E$3,1,1),Dados!$A:$A,INDEX($D:$E,MATCH("K",$D:$D,0),2)))</f>
        <v/>
      </c>
      <c r="F202" s="68" t="str">
        <f ca="1">IF(COUNTIFS(Dados!$E:$E,$B202,Dados!$C:$C,INDEX(F$3,1,1),Dados!$A:$A,INDEX($D:$E,MATCH("K",$D:$D,0),2))=0,"",SUMIFS(Dados!$G:$G,Dados!$E:$E,$B202,Dados!$C:$C,INDEX(F$3,1,1),Dados!$A:$A,INDEX($D:$E,MATCH("K",$D:$D,0),2))/COUNTIFS(Dados!$E:$E,$B202,Dados!$C:$C,INDEX(F$3,1,1),Dados!$A:$A,INDEX($D:$E,MATCH("K",$D:$D,0),2)))</f>
        <v/>
      </c>
      <c r="G202" s="68" t="str">
        <f ca="1">IF(COUNTIFS(Dados!$E:$E,$B202,Dados!$C:$C,INDEX(G$3,1,1),Dados!$A:$A,INDEX($D:$E,MATCH("K",$D:$D,0),2))=0,"",SUMIFS(Dados!$G:$G,Dados!$E:$E,$B202,Dados!$C:$C,INDEX(G$3,1,1),Dados!$A:$A,INDEX($D:$E,MATCH("K",$D:$D,0),2))/COUNTIFS(Dados!$E:$E,$B202,Dados!$C:$C,INDEX(G$3,1,1),Dados!$A:$A,INDEX($D:$E,MATCH("K",$D:$D,0),2)))</f>
        <v/>
      </c>
      <c r="H202" s="68" t="str">
        <f ca="1">IF(COUNTIFS(Dados!$E:$E,$B202,Dados!$C:$C,INDEX(H$3,1,1),Dados!$A:$A,INDEX($D:$E,MATCH("K",$D:$D,0),2))=0,"",SUMIFS(Dados!$G:$G,Dados!$E:$E,$B202,Dados!$C:$C,INDEX(H$3,1,1),Dados!$A:$A,INDEX($D:$E,MATCH("K",$D:$D,0),2))/COUNTIFS(Dados!$E:$E,$B202,Dados!$C:$C,INDEX(H$3,1,1),Dados!$A:$A,INDEX($D:$E,MATCH("K",$D:$D,0),2)))</f>
        <v/>
      </c>
      <c r="I202" s="68" t="str">
        <f ca="1">IF(COUNTIFS(Dados!$E:$E,$B202,Dados!$C:$C,INDEX(I$3,1,1),Dados!$A:$A,INDEX($D:$E,MATCH("K",$D:$D,0),2))=0,"",SUMIFS(Dados!$G:$G,Dados!$E:$E,$B202,Dados!$C:$C,INDEX(I$3,1,1),Dados!$A:$A,INDEX($D:$E,MATCH("K",$D:$D,0),2))/COUNTIFS(Dados!$E:$E,$B202,Dados!$C:$C,INDEX(I$3,1,1),Dados!$A:$A,INDEX($D:$E,MATCH("K",$D:$D,0),2)))</f>
        <v/>
      </c>
      <c r="J202" s="68" t="str">
        <f ca="1">IF(COUNTIFS(Dados!$E:$E,$B202,Dados!$C:$C,INDEX(J$3,1,1),Dados!$A:$A,INDEX($D:$E,MATCH("K",$D:$D,0),2))=0,"",SUMIFS(Dados!$G:$G,Dados!$E:$E,$B202,Dados!$C:$C,INDEX(J$3,1,1),Dados!$A:$A,INDEX($D:$E,MATCH("K",$D:$D,0),2))/COUNTIFS(Dados!$E:$E,$B202,Dados!$C:$C,INDEX(J$3,1,1),Dados!$A:$A,INDEX($D:$E,MATCH("K",$D:$D,0),2)))</f>
        <v/>
      </c>
      <c r="K202" s="68" t="str">
        <f ca="1">IF(COUNTIFS(Dados!$E:$E,$B202,Dados!$C:$C,INDEX(K$3,1,1),Dados!$A:$A,INDEX($D:$E,MATCH("K",$D:$D,0),2))=0,"",SUMIFS(Dados!$G:$G,Dados!$E:$E,$B202,Dados!$C:$C,INDEX(K$3,1,1),Dados!$A:$A,INDEX($D:$E,MATCH("K",$D:$D,0),2))/COUNTIFS(Dados!$E:$E,$B202,Dados!$C:$C,INDEX(K$3,1,1),Dados!$A:$A,INDEX($D:$E,MATCH("K",$D:$D,0),2)))</f>
        <v/>
      </c>
      <c r="L202" s="68" t="str">
        <f ca="1">IF(COUNTIFS(Dados!$E:$E,$B202,Dados!$C:$C,INDEX(L$3,1,1),Dados!$A:$A,INDEX($D:$E,MATCH("K",$D:$D,0),2))=0,"",SUMIFS(Dados!$G:$G,Dados!$E:$E,$B202,Dados!$C:$C,INDEX(L$3,1,1),Dados!$A:$A,INDEX($D:$E,MATCH("K",$D:$D,0),2))/COUNTIFS(Dados!$E:$E,$B202,Dados!$C:$C,INDEX(L$3,1,1),Dados!$A:$A,INDEX($D:$E,MATCH("K",$D:$D,0),2)))</f>
        <v/>
      </c>
      <c r="M202" s="68" t="str">
        <f ca="1">IF(COUNTIFS(Dados!$E:$E,$B202,Dados!$C:$C,INDEX(M$3,1,1),Dados!$A:$A,INDEX($D:$E,MATCH("K",$D:$D,0),2))=0,"",SUMIFS(Dados!$G:$G,Dados!$E:$E,$B202,Dados!$C:$C,INDEX(M$3,1,1),Dados!$A:$A,INDEX($D:$E,MATCH("K",$D:$D,0),2))/COUNTIFS(Dados!$E:$E,$B202,Dados!$C:$C,INDEX(M$3,1,1),Dados!$A:$A,INDEX($D:$E,MATCH("K",$D:$D,0),2)))</f>
        <v/>
      </c>
      <c r="N202" s="68" t="str">
        <f ca="1">IF(COUNTIFS(Dados!$E:$E,$B202,Dados!$C:$C,INDEX(N$3,1,1),Dados!$A:$A,INDEX($D:$E,MATCH("K",$D:$D,0),2))=0,"",SUMIFS(Dados!$G:$G,Dados!$E:$E,$B202,Dados!$C:$C,INDEX(N$3,1,1),Dados!$A:$A,INDEX($D:$E,MATCH("K",$D:$D,0),2))/COUNTIFS(Dados!$E:$E,$B202,Dados!$C:$C,INDEX(N$3,1,1),Dados!$A:$A,INDEX($D:$E,MATCH("K",$D:$D,0),2)))</f>
        <v/>
      </c>
      <c r="O202" s="68" t="str">
        <f ca="1">IF(COUNTIFS(Dados!$E:$E,$B202,Dados!$C:$C,INDEX(O$3,1,1),Dados!$A:$A,INDEX($D:$E,MATCH("K",$D:$D,0),2))=0,"",SUMIFS(Dados!$G:$G,Dados!$E:$E,$B202,Dados!$C:$C,INDEX(O$3,1,1),Dados!$A:$A,INDEX($D:$E,MATCH("K",$D:$D,0),2))/COUNTIFS(Dados!$E:$E,$B202,Dados!$C:$C,INDEX(O$3,1,1),Dados!$A:$A,INDEX($D:$E,MATCH("K",$D:$D,0),2)))</f>
        <v/>
      </c>
      <c r="P202" s="68" t="str">
        <f ca="1">IF(COUNTIFS(Dados!$E:$E,$B202,Dados!$C:$C,INDEX(P$3,1,1),Dados!$A:$A,INDEX($D:$E,MATCH("K",$D:$D,0),2))=0,"",SUMIFS(Dados!$G:$G,Dados!$E:$E,$B202,Dados!$C:$C,INDEX(P$3,1,1),Dados!$A:$A,INDEX($D:$E,MATCH("K",$D:$D,0),2))/COUNTIFS(Dados!$E:$E,$B202,Dados!$C:$C,INDEX(P$3,1,1),Dados!$A:$A,INDEX($D:$E,MATCH("K",$D:$D,0),2)))</f>
        <v/>
      </c>
      <c r="Q202" s="68" t="str">
        <f ca="1">IF(COUNTIFS(Dados!$E:$E,$B202,Dados!$C:$C,INDEX(Q$3,1,1),Dados!$A:$A,INDEX($D:$E,MATCH("K",$D:$D,0),2))=0,"",SUMIFS(Dados!$G:$G,Dados!$E:$E,$B202,Dados!$C:$C,INDEX(Q$3,1,1),Dados!$A:$A,INDEX($D:$E,MATCH("K",$D:$D,0),2))/COUNTIFS(Dados!$E:$E,$B202,Dados!$C:$C,INDEX(Q$3,1,1),Dados!$A:$A,INDEX($D:$E,MATCH("K",$D:$D,0),2)))</f>
        <v/>
      </c>
      <c r="R202" s="68" t="str">
        <f ca="1">IF(COUNTIFS(Dados!$E:$E,$B202,Dados!$C:$C,INDEX(R$3,1,1),Dados!$A:$A,INDEX($D:$E,MATCH("K",$D:$D,0),2))=0,"",SUMIFS(Dados!$G:$G,Dados!$E:$E,$B202,Dados!$C:$C,INDEX(R$3,1,1),Dados!$A:$A,INDEX($D:$E,MATCH("K",$D:$D,0),2))/COUNTIFS(Dados!$E:$E,$B202,Dados!$C:$C,INDEX(R$3,1,1),Dados!$A:$A,INDEX($D:$E,MATCH("K",$D:$D,0),2)))</f>
        <v/>
      </c>
      <c r="S202" s="68" t="str">
        <f ca="1">IF(COUNTIFS(Dados!$E:$E,$B202,Dados!$C:$C,INDEX(S$3,1,1),Dados!$A:$A,INDEX($D:$E,MATCH("K",$D:$D,0),2))=0,"",SUMIFS(Dados!$G:$G,Dados!$E:$E,$B202,Dados!$C:$C,INDEX(S$3,1,1),Dados!$A:$A,INDEX($D:$E,MATCH("K",$D:$D,0),2))/COUNTIFS(Dados!$E:$E,$B202,Dados!$C:$C,INDEX(S$3,1,1),Dados!$A:$A,INDEX($D:$E,MATCH("K",$D:$D,0),2)))</f>
        <v/>
      </c>
      <c r="T202" s="68" t="str">
        <f ca="1">IF(COUNTIFS(Dados!$E:$E,$B202,Dados!$C:$C,INDEX(T$3,1,1),Dados!$A:$A,INDEX($D:$E,MATCH("K",$D:$D,0),2))=0,"",SUMIFS(Dados!$G:$G,Dados!$E:$E,$B202,Dados!$C:$C,INDEX(T$3,1,1),Dados!$A:$A,INDEX($D:$E,MATCH("K",$D:$D,0),2))/COUNTIFS(Dados!$E:$E,$B202,Dados!$C:$C,INDEX(T$3,1,1),Dados!$A:$A,INDEX($D:$E,MATCH("K",$D:$D,0),2)))</f>
        <v/>
      </c>
      <c r="U202" s="68" t="str">
        <f ca="1">IF(COUNTIFS(Dados!$E:$E,$B202,Dados!$C:$C,INDEX(U$3,1,1),Dados!$A:$A,INDEX($D:$E,MATCH("K",$D:$D,0),2))=0,"",SUMIFS(Dados!$G:$G,Dados!$E:$E,$B202,Dados!$C:$C,INDEX(U$3,1,1),Dados!$A:$A,INDEX($D:$E,MATCH("K",$D:$D,0),2))/COUNTIFS(Dados!$E:$E,$B202,Dados!$C:$C,INDEX(U$3,1,1),Dados!$A:$A,INDEX($D:$E,MATCH("K",$D:$D,0),2)))</f>
        <v/>
      </c>
      <c r="V202" s="68" t="str">
        <f ca="1">IF(COUNTIFS(Dados!$E:$E,$B202,Dados!$C:$C,INDEX(V$3,1,1),Dados!$A:$A,INDEX($D:$E,MATCH("K",$D:$D,0),2))=0,"",SUMIFS(Dados!$G:$G,Dados!$E:$E,$B202,Dados!$C:$C,INDEX(V$3,1,1),Dados!$A:$A,INDEX($D:$E,MATCH("K",$D:$D,0),2))/COUNTIFS(Dados!$E:$E,$B202,Dados!$C:$C,INDEX(V$3,1,1),Dados!$A:$A,INDEX($D:$E,MATCH("K",$D:$D,0),2)))</f>
        <v/>
      </c>
    </row>
    <row r="203" spans="2:22" x14ac:dyDescent="0.25">
      <c r="B203" s="65" t="s">
        <v>898</v>
      </c>
      <c r="C203" s="72">
        <f>VLOOKUP(B203,B4:C22,2,0)</f>
        <v>11</v>
      </c>
      <c r="D203" s="66" t="str">
        <f ca="1">IF(COUNTIFS(Dados!$E:$E,$B203,Dados!$C:$C,INDEX(D$3,1,1),Dados!$A:$A,INDEX($D:$E,MATCH("K",$D:$D,0),2))=0,"",SUMIFS(Dados!$G:$G,Dados!$E:$E,$B203,Dados!$C:$C,INDEX(D$3,1,1),Dados!$A:$A,INDEX($D:$E,MATCH("K",$D:$D,0),2))/COUNTIFS(Dados!$E:$E,$B203,Dados!$C:$C,INDEX(D$3,1,1),Dados!$A:$A,INDEX($D:$E,MATCH("K",$D:$D,0),2)))</f>
        <v/>
      </c>
      <c r="E203" s="66" t="str">
        <f ca="1">IF(COUNTIFS(Dados!$E:$E,$B203,Dados!$C:$C,INDEX(E$3,1,1),Dados!$A:$A,INDEX($D:$E,MATCH("K",$D:$D,0),2))=0,"",SUMIFS(Dados!$G:$G,Dados!$E:$E,$B203,Dados!$C:$C,INDEX(E$3,1,1),Dados!$A:$A,INDEX($D:$E,MATCH("K",$D:$D,0),2))/COUNTIFS(Dados!$E:$E,$B203,Dados!$C:$C,INDEX(E$3,1,1),Dados!$A:$A,INDEX($D:$E,MATCH("K",$D:$D,0),2)))</f>
        <v/>
      </c>
      <c r="F203" s="66" t="str">
        <f ca="1">IF(COUNTIFS(Dados!$E:$E,$B203,Dados!$C:$C,INDEX(F$3,1,1),Dados!$A:$A,INDEX($D:$E,MATCH("K",$D:$D,0),2))=0,"",SUMIFS(Dados!$G:$G,Dados!$E:$E,$B203,Dados!$C:$C,INDEX(F$3,1,1),Dados!$A:$A,INDEX($D:$E,MATCH("K",$D:$D,0),2))/COUNTIFS(Dados!$E:$E,$B203,Dados!$C:$C,INDEX(F$3,1,1),Dados!$A:$A,INDEX($D:$E,MATCH("K",$D:$D,0),2)))</f>
        <v/>
      </c>
      <c r="G203" s="66" t="str">
        <f ca="1">IF(COUNTIFS(Dados!$E:$E,$B203,Dados!$C:$C,INDEX(G$3,1,1),Dados!$A:$A,INDEX($D:$E,MATCH("K",$D:$D,0),2))=0,"",SUMIFS(Dados!$G:$G,Dados!$E:$E,$B203,Dados!$C:$C,INDEX(G$3,1,1),Dados!$A:$A,INDEX($D:$E,MATCH("K",$D:$D,0),2))/COUNTIFS(Dados!$E:$E,$B203,Dados!$C:$C,INDEX(G$3,1,1),Dados!$A:$A,INDEX($D:$E,MATCH("K",$D:$D,0),2)))</f>
        <v/>
      </c>
      <c r="H203" s="66" t="str">
        <f ca="1">IF(COUNTIFS(Dados!$E:$E,$B203,Dados!$C:$C,INDEX(H$3,1,1),Dados!$A:$A,INDEX($D:$E,MATCH("K",$D:$D,0),2))=0,"",SUMIFS(Dados!$G:$G,Dados!$E:$E,$B203,Dados!$C:$C,INDEX(H$3,1,1),Dados!$A:$A,INDEX($D:$E,MATCH("K",$D:$D,0),2))/COUNTIFS(Dados!$E:$E,$B203,Dados!$C:$C,INDEX(H$3,1,1),Dados!$A:$A,INDEX($D:$E,MATCH("K",$D:$D,0),2)))</f>
        <v/>
      </c>
      <c r="I203" s="66" t="str">
        <f ca="1">IF(COUNTIFS(Dados!$E:$E,$B203,Dados!$C:$C,INDEX(I$3,1,1),Dados!$A:$A,INDEX($D:$E,MATCH("K",$D:$D,0),2))=0,"",SUMIFS(Dados!$G:$G,Dados!$E:$E,$B203,Dados!$C:$C,INDEX(I$3,1,1),Dados!$A:$A,INDEX($D:$E,MATCH("K",$D:$D,0),2))/COUNTIFS(Dados!$E:$E,$B203,Dados!$C:$C,INDEX(I$3,1,1),Dados!$A:$A,INDEX($D:$E,MATCH("K",$D:$D,0),2)))</f>
        <v/>
      </c>
      <c r="J203" s="66" t="str">
        <f ca="1">IF(COUNTIFS(Dados!$E:$E,$B203,Dados!$C:$C,INDEX(J$3,1,1),Dados!$A:$A,INDEX($D:$E,MATCH("K",$D:$D,0),2))=0,"",SUMIFS(Dados!$G:$G,Dados!$E:$E,$B203,Dados!$C:$C,INDEX(J$3,1,1),Dados!$A:$A,INDEX($D:$E,MATCH("K",$D:$D,0),2))/COUNTIFS(Dados!$E:$E,$B203,Dados!$C:$C,INDEX(J$3,1,1),Dados!$A:$A,INDEX($D:$E,MATCH("K",$D:$D,0),2)))</f>
        <v/>
      </c>
      <c r="K203" s="66" t="str">
        <f ca="1">IF(COUNTIFS(Dados!$E:$E,$B203,Dados!$C:$C,INDEX(K$3,1,1),Dados!$A:$A,INDEX($D:$E,MATCH("K",$D:$D,0),2))=0,"",SUMIFS(Dados!$G:$G,Dados!$E:$E,$B203,Dados!$C:$C,INDEX(K$3,1,1),Dados!$A:$A,INDEX($D:$E,MATCH("K",$D:$D,0),2))/COUNTIFS(Dados!$E:$E,$B203,Dados!$C:$C,INDEX(K$3,1,1),Dados!$A:$A,INDEX($D:$E,MATCH("K",$D:$D,0),2)))</f>
        <v/>
      </c>
      <c r="L203" s="66" t="str">
        <f ca="1">IF(COUNTIFS(Dados!$E:$E,$B203,Dados!$C:$C,INDEX(L$3,1,1),Dados!$A:$A,INDEX($D:$E,MATCH("K",$D:$D,0),2))=0,"",SUMIFS(Dados!$G:$G,Dados!$E:$E,$B203,Dados!$C:$C,INDEX(L$3,1,1),Dados!$A:$A,INDEX($D:$E,MATCH("K",$D:$D,0),2))/COUNTIFS(Dados!$E:$E,$B203,Dados!$C:$C,INDEX(L$3,1,1),Dados!$A:$A,INDEX($D:$E,MATCH("K",$D:$D,0),2)))</f>
        <v/>
      </c>
      <c r="M203" s="66" t="str">
        <f ca="1">IF(COUNTIFS(Dados!$E:$E,$B203,Dados!$C:$C,INDEX(M$3,1,1),Dados!$A:$A,INDEX($D:$E,MATCH("K",$D:$D,0),2))=0,"",SUMIFS(Dados!$G:$G,Dados!$E:$E,$B203,Dados!$C:$C,INDEX(M$3,1,1),Dados!$A:$A,INDEX($D:$E,MATCH("K",$D:$D,0),2))/COUNTIFS(Dados!$E:$E,$B203,Dados!$C:$C,INDEX(M$3,1,1),Dados!$A:$A,INDEX($D:$E,MATCH("K",$D:$D,0),2)))</f>
        <v/>
      </c>
      <c r="N203" s="66" t="str">
        <f ca="1">IF(COUNTIFS(Dados!$E:$E,$B203,Dados!$C:$C,INDEX(N$3,1,1),Dados!$A:$A,INDEX($D:$E,MATCH("K",$D:$D,0),2))=0,"",SUMIFS(Dados!$G:$G,Dados!$E:$E,$B203,Dados!$C:$C,INDEX(N$3,1,1),Dados!$A:$A,INDEX($D:$E,MATCH("K",$D:$D,0),2))/COUNTIFS(Dados!$E:$E,$B203,Dados!$C:$C,INDEX(N$3,1,1),Dados!$A:$A,INDEX($D:$E,MATCH("K",$D:$D,0),2)))</f>
        <v/>
      </c>
      <c r="O203" s="66" t="str">
        <f ca="1">IF(COUNTIFS(Dados!$E:$E,$B203,Dados!$C:$C,INDEX(O$3,1,1),Dados!$A:$A,INDEX($D:$E,MATCH("K",$D:$D,0),2))=0,"",SUMIFS(Dados!$G:$G,Dados!$E:$E,$B203,Dados!$C:$C,INDEX(O$3,1,1),Dados!$A:$A,INDEX($D:$E,MATCH("K",$D:$D,0),2))/COUNTIFS(Dados!$E:$E,$B203,Dados!$C:$C,INDEX(O$3,1,1),Dados!$A:$A,INDEX($D:$E,MATCH("K",$D:$D,0),2)))</f>
        <v/>
      </c>
      <c r="P203" s="66" t="str">
        <f ca="1">IF(COUNTIFS(Dados!$E:$E,$B203,Dados!$C:$C,INDEX(P$3,1,1),Dados!$A:$A,INDEX($D:$E,MATCH("K",$D:$D,0),2))=0,"",SUMIFS(Dados!$G:$G,Dados!$E:$E,$B203,Dados!$C:$C,INDEX(P$3,1,1),Dados!$A:$A,INDEX($D:$E,MATCH("K",$D:$D,0),2))/COUNTIFS(Dados!$E:$E,$B203,Dados!$C:$C,INDEX(P$3,1,1),Dados!$A:$A,INDEX($D:$E,MATCH("K",$D:$D,0),2)))</f>
        <v/>
      </c>
      <c r="Q203" s="66" t="str">
        <f ca="1">IF(COUNTIFS(Dados!$E:$E,$B203,Dados!$C:$C,INDEX(Q$3,1,1),Dados!$A:$A,INDEX($D:$E,MATCH("K",$D:$D,0),2))=0,"",SUMIFS(Dados!$G:$G,Dados!$E:$E,$B203,Dados!$C:$C,INDEX(Q$3,1,1),Dados!$A:$A,INDEX($D:$E,MATCH("K",$D:$D,0),2))/COUNTIFS(Dados!$E:$E,$B203,Dados!$C:$C,INDEX(Q$3,1,1),Dados!$A:$A,INDEX($D:$E,MATCH("K",$D:$D,0),2)))</f>
        <v/>
      </c>
      <c r="R203" s="66" t="str">
        <f ca="1">IF(COUNTIFS(Dados!$E:$E,$B203,Dados!$C:$C,INDEX(R$3,1,1),Dados!$A:$A,INDEX($D:$E,MATCH("K",$D:$D,0),2))=0,"",SUMIFS(Dados!$G:$G,Dados!$E:$E,$B203,Dados!$C:$C,INDEX(R$3,1,1),Dados!$A:$A,INDEX($D:$E,MATCH("K",$D:$D,0),2))/COUNTIFS(Dados!$E:$E,$B203,Dados!$C:$C,INDEX(R$3,1,1),Dados!$A:$A,INDEX($D:$E,MATCH("K",$D:$D,0),2)))</f>
        <v/>
      </c>
      <c r="S203" s="66" t="str">
        <f ca="1">IF(COUNTIFS(Dados!$E:$E,$B203,Dados!$C:$C,INDEX(S$3,1,1),Dados!$A:$A,INDEX($D:$E,MATCH("K",$D:$D,0),2))=0,"",SUMIFS(Dados!$G:$G,Dados!$E:$E,$B203,Dados!$C:$C,INDEX(S$3,1,1),Dados!$A:$A,INDEX($D:$E,MATCH("K",$D:$D,0),2))/COUNTIFS(Dados!$E:$E,$B203,Dados!$C:$C,INDEX(S$3,1,1),Dados!$A:$A,INDEX($D:$E,MATCH("K",$D:$D,0),2)))</f>
        <v/>
      </c>
      <c r="T203" s="66" t="str">
        <f ca="1">IF(COUNTIFS(Dados!$E:$E,$B203,Dados!$C:$C,INDEX(T$3,1,1),Dados!$A:$A,INDEX($D:$E,MATCH("K",$D:$D,0),2))=0,"",SUMIFS(Dados!$G:$G,Dados!$E:$E,$B203,Dados!$C:$C,INDEX(T$3,1,1),Dados!$A:$A,INDEX($D:$E,MATCH("K",$D:$D,0),2))/COUNTIFS(Dados!$E:$E,$B203,Dados!$C:$C,INDEX(T$3,1,1),Dados!$A:$A,INDEX($D:$E,MATCH("K",$D:$D,0),2)))</f>
        <v/>
      </c>
      <c r="U203" s="66" t="str">
        <f ca="1">IF(COUNTIFS(Dados!$E:$E,$B203,Dados!$C:$C,INDEX(U$3,1,1),Dados!$A:$A,INDEX($D:$E,MATCH("K",$D:$D,0),2))=0,"",SUMIFS(Dados!$G:$G,Dados!$E:$E,$B203,Dados!$C:$C,INDEX(U$3,1,1),Dados!$A:$A,INDEX($D:$E,MATCH("K",$D:$D,0),2))/COUNTIFS(Dados!$E:$E,$B203,Dados!$C:$C,INDEX(U$3,1,1),Dados!$A:$A,INDEX($D:$E,MATCH("K",$D:$D,0),2)))</f>
        <v/>
      </c>
      <c r="V203" s="66" t="str">
        <f ca="1">IF(COUNTIFS(Dados!$E:$E,$B203,Dados!$C:$C,INDEX(V$3,1,1),Dados!$A:$A,INDEX($D:$E,MATCH("K",$D:$D,0),2))=0,"",SUMIFS(Dados!$G:$G,Dados!$E:$E,$B203,Dados!$C:$C,INDEX(V$3,1,1),Dados!$A:$A,INDEX($D:$E,MATCH("K",$D:$D,0),2))/COUNTIFS(Dados!$E:$E,$B203,Dados!$C:$C,INDEX(V$3,1,1),Dados!$A:$A,INDEX($D:$E,MATCH("K",$D:$D,0),2)))</f>
        <v/>
      </c>
    </row>
    <row r="204" spans="2:22" x14ac:dyDescent="0.25">
      <c r="B204" s="67" t="s">
        <v>1301</v>
      </c>
      <c r="C204" s="71">
        <f>VLOOKUP(B204,B4:C22,2,0)</f>
        <v>12</v>
      </c>
      <c r="D204" s="68" t="str">
        <f ca="1">IF(COUNTIFS(Dados!$E:$E,$B204,Dados!$C:$C,INDEX(D$3,1,1),Dados!$A:$A,INDEX($D:$E,MATCH("K",$D:$D,0),2))=0,"",SUMIFS(Dados!$G:$G,Dados!$E:$E,$B204,Dados!$C:$C,INDEX(D$3,1,1),Dados!$A:$A,INDEX($D:$E,MATCH("K",$D:$D,0),2))/COUNTIFS(Dados!$E:$E,$B204,Dados!$C:$C,INDEX(D$3,1,1),Dados!$A:$A,INDEX($D:$E,MATCH("K",$D:$D,0),2)))</f>
        <v/>
      </c>
      <c r="E204" s="68" t="str">
        <f ca="1">IF(COUNTIFS(Dados!$E:$E,$B204,Dados!$C:$C,INDEX(E$3,1,1),Dados!$A:$A,INDEX($D:$E,MATCH("K",$D:$D,0),2))=0,"",SUMIFS(Dados!$G:$G,Dados!$E:$E,$B204,Dados!$C:$C,INDEX(E$3,1,1),Dados!$A:$A,INDEX($D:$E,MATCH("K",$D:$D,0),2))/COUNTIFS(Dados!$E:$E,$B204,Dados!$C:$C,INDEX(E$3,1,1),Dados!$A:$A,INDEX($D:$E,MATCH("K",$D:$D,0),2)))</f>
        <v/>
      </c>
      <c r="F204" s="68" t="str">
        <f ca="1">IF(COUNTIFS(Dados!$E:$E,$B204,Dados!$C:$C,INDEX(F$3,1,1),Dados!$A:$A,INDEX($D:$E,MATCH("K",$D:$D,0),2))=0,"",SUMIFS(Dados!$G:$G,Dados!$E:$E,$B204,Dados!$C:$C,INDEX(F$3,1,1),Dados!$A:$A,INDEX($D:$E,MATCH("K",$D:$D,0),2))/COUNTIFS(Dados!$E:$E,$B204,Dados!$C:$C,INDEX(F$3,1,1),Dados!$A:$A,INDEX($D:$E,MATCH("K",$D:$D,0),2)))</f>
        <v/>
      </c>
      <c r="G204" s="68" t="str">
        <f ca="1">IF(COUNTIFS(Dados!$E:$E,$B204,Dados!$C:$C,INDEX(G$3,1,1),Dados!$A:$A,INDEX($D:$E,MATCH("K",$D:$D,0),2))=0,"",SUMIFS(Dados!$G:$G,Dados!$E:$E,$B204,Dados!$C:$C,INDEX(G$3,1,1),Dados!$A:$A,INDEX($D:$E,MATCH("K",$D:$D,0),2))/COUNTIFS(Dados!$E:$E,$B204,Dados!$C:$C,INDEX(G$3,1,1),Dados!$A:$A,INDEX($D:$E,MATCH("K",$D:$D,0),2)))</f>
        <v/>
      </c>
      <c r="H204" s="68" t="str">
        <f ca="1">IF(COUNTIFS(Dados!$E:$E,$B204,Dados!$C:$C,INDEX(H$3,1,1),Dados!$A:$A,INDEX($D:$E,MATCH("K",$D:$D,0),2))=0,"",SUMIFS(Dados!$G:$G,Dados!$E:$E,$B204,Dados!$C:$C,INDEX(H$3,1,1),Dados!$A:$A,INDEX($D:$E,MATCH("K",$D:$D,0),2))/COUNTIFS(Dados!$E:$E,$B204,Dados!$C:$C,INDEX(H$3,1,1),Dados!$A:$A,INDEX($D:$E,MATCH("K",$D:$D,0),2)))</f>
        <v/>
      </c>
      <c r="I204" s="68" t="str">
        <f ca="1">IF(COUNTIFS(Dados!$E:$E,$B204,Dados!$C:$C,INDEX(I$3,1,1),Dados!$A:$A,INDEX($D:$E,MATCH("K",$D:$D,0),2))=0,"",SUMIFS(Dados!$G:$G,Dados!$E:$E,$B204,Dados!$C:$C,INDEX(I$3,1,1),Dados!$A:$A,INDEX($D:$E,MATCH("K",$D:$D,0),2))/COUNTIFS(Dados!$E:$E,$B204,Dados!$C:$C,INDEX(I$3,1,1),Dados!$A:$A,INDEX($D:$E,MATCH("K",$D:$D,0),2)))</f>
        <v/>
      </c>
      <c r="J204" s="68" t="str">
        <f ca="1">IF(COUNTIFS(Dados!$E:$E,$B204,Dados!$C:$C,INDEX(J$3,1,1),Dados!$A:$A,INDEX($D:$E,MATCH("K",$D:$D,0),2))=0,"",SUMIFS(Dados!$G:$G,Dados!$E:$E,$B204,Dados!$C:$C,INDEX(J$3,1,1),Dados!$A:$A,INDEX($D:$E,MATCH("K",$D:$D,0),2))/COUNTIFS(Dados!$E:$E,$B204,Dados!$C:$C,INDEX(J$3,1,1),Dados!$A:$A,INDEX($D:$E,MATCH("K",$D:$D,0),2)))</f>
        <v/>
      </c>
      <c r="K204" s="68" t="str">
        <f ca="1">IF(COUNTIFS(Dados!$E:$E,$B204,Dados!$C:$C,INDEX(K$3,1,1),Dados!$A:$A,INDEX($D:$E,MATCH("K",$D:$D,0),2))=0,"",SUMIFS(Dados!$G:$G,Dados!$E:$E,$B204,Dados!$C:$C,INDEX(K$3,1,1),Dados!$A:$A,INDEX($D:$E,MATCH("K",$D:$D,0),2))/COUNTIFS(Dados!$E:$E,$B204,Dados!$C:$C,INDEX(K$3,1,1),Dados!$A:$A,INDEX($D:$E,MATCH("K",$D:$D,0),2)))</f>
        <v/>
      </c>
      <c r="L204" s="68" t="str">
        <f ca="1">IF(COUNTIFS(Dados!$E:$E,$B204,Dados!$C:$C,INDEX(L$3,1,1),Dados!$A:$A,INDEX($D:$E,MATCH("K",$D:$D,0),2))=0,"",SUMIFS(Dados!$G:$G,Dados!$E:$E,$B204,Dados!$C:$C,INDEX(L$3,1,1),Dados!$A:$A,INDEX($D:$E,MATCH("K",$D:$D,0),2))/COUNTIFS(Dados!$E:$E,$B204,Dados!$C:$C,INDEX(L$3,1,1),Dados!$A:$A,INDEX($D:$E,MATCH("K",$D:$D,0),2)))</f>
        <v/>
      </c>
      <c r="M204" s="68" t="str">
        <f ca="1">IF(COUNTIFS(Dados!$E:$E,$B204,Dados!$C:$C,INDEX(M$3,1,1),Dados!$A:$A,INDEX($D:$E,MATCH("K",$D:$D,0),2))=0,"",SUMIFS(Dados!$G:$G,Dados!$E:$E,$B204,Dados!$C:$C,INDEX(M$3,1,1),Dados!$A:$A,INDEX($D:$E,MATCH("K",$D:$D,0),2))/COUNTIFS(Dados!$E:$E,$B204,Dados!$C:$C,INDEX(M$3,1,1),Dados!$A:$A,INDEX($D:$E,MATCH("K",$D:$D,0),2)))</f>
        <v/>
      </c>
      <c r="N204" s="68" t="str">
        <f ca="1">IF(COUNTIFS(Dados!$E:$E,$B204,Dados!$C:$C,INDEX(N$3,1,1),Dados!$A:$A,INDEX($D:$E,MATCH("K",$D:$D,0),2))=0,"",SUMIFS(Dados!$G:$G,Dados!$E:$E,$B204,Dados!$C:$C,INDEX(N$3,1,1),Dados!$A:$A,INDEX($D:$E,MATCH("K",$D:$D,0),2))/COUNTIFS(Dados!$E:$E,$B204,Dados!$C:$C,INDEX(N$3,1,1),Dados!$A:$A,INDEX($D:$E,MATCH("K",$D:$D,0),2)))</f>
        <v/>
      </c>
      <c r="O204" s="68" t="str">
        <f ca="1">IF(COUNTIFS(Dados!$E:$E,$B204,Dados!$C:$C,INDEX(O$3,1,1),Dados!$A:$A,INDEX($D:$E,MATCH("K",$D:$D,0),2))=0,"",SUMIFS(Dados!$G:$G,Dados!$E:$E,$B204,Dados!$C:$C,INDEX(O$3,1,1),Dados!$A:$A,INDEX($D:$E,MATCH("K",$D:$D,0),2))/COUNTIFS(Dados!$E:$E,$B204,Dados!$C:$C,INDEX(O$3,1,1),Dados!$A:$A,INDEX($D:$E,MATCH("K",$D:$D,0),2)))</f>
        <v/>
      </c>
      <c r="P204" s="68" t="str">
        <f ca="1">IF(COUNTIFS(Dados!$E:$E,$B204,Dados!$C:$C,INDEX(P$3,1,1),Dados!$A:$A,INDEX($D:$E,MATCH("K",$D:$D,0),2))=0,"",SUMIFS(Dados!$G:$G,Dados!$E:$E,$B204,Dados!$C:$C,INDEX(P$3,1,1),Dados!$A:$A,INDEX($D:$E,MATCH("K",$D:$D,0),2))/COUNTIFS(Dados!$E:$E,$B204,Dados!$C:$C,INDEX(P$3,1,1),Dados!$A:$A,INDEX($D:$E,MATCH("K",$D:$D,0),2)))</f>
        <v/>
      </c>
      <c r="Q204" s="68" t="str">
        <f ca="1">IF(COUNTIFS(Dados!$E:$E,$B204,Dados!$C:$C,INDEX(Q$3,1,1),Dados!$A:$A,INDEX($D:$E,MATCH("K",$D:$D,0),2))=0,"",SUMIFS(Dados!$G:$G,Dados!$E:$E,$B204,Dados!$C:$C,INDEX(Q$3,1,1),Dados!$A:$A,INDEX($D:$E,MATCH("K",$D:$D,0),2))/COUNTIFS(Dados!$E:$E,$B204,Dados!$C:$C,INDEX(Q$3,1,1),Dados!$A:$A,INDEX($D:$E,MATCH("K",$D:$D,0),2)))</f>
        <v/>
      </c>
      <c r="R204" s="68" t="str">
        <f ca="1">IF(COUNTIFS(Dados!$E:$E,$B204,Dados!$C:$C,INDEX(R$3,1,1),Dados!$A:$A,INDEX($D:$E,MATCH("K",$D:$D,0),2))=0,"",SUMIFS(Dados!$G:$G,Dados!$E:$E,$B204,Dados!$C:$C,INDEX(R$3,1,1),Dados!$A:$A,INDEX($D:$E,MATCH("K",$D:$D,0),2))/COUNTIFS(Dados!$E:$E,$B204,Dados!$C:$C,INDEX(R$3,1,1),Dados!$A:$A,INDEX($D:$E,MATCH("K",$D:$D,0),2)))</f>
        <v/>
      </c>
      <c r="S204" s="68" t="str">
        <f ca="1">IF(COUNTIFS(Dados!$E:$E,$B204,Dados!$C:$C,INDEX(S$3,1,1),Dados!$A:$A,INDEX($D:$E,MATCH("K",$D:$D,0),2))=0,"",SUMIFS(Dados!$G:$G,Dados!$E:$E,$B204,Dados!$C:$C,INDEX(S$3,1,1),Dados!$A:$A,INDEX($D:$E,MATCH("K",$D:$D,0),2))/COUNTIFS(Dados!$E:$E,$B204,Dados!$C:$C,INDEX(S$3,1,1),Dados!$A:$A,INDEX($D:$E,MATCH("K",$D:$D,0),2)))</f>
        <v/>
      </c>
      <c r="T204" s="68" t="str">
        <f ca="1">IF(COUNTIFS(Dados!$E:$E,$B204,Dados!$C:$C,INDEX(T$3,1,1),Dados!$A:$A,INDEX($D:$E,MATCH("K",$D:$D,0),2))=0,"",SUMIFS(Dados!$G:$G,Dados!$E:$E,$B204,Dados!$C:$C,INDEX(T$3,1,1),Dados!$A:$A,INDEX($D:$E,MATCH("K",$D:$D,0),2))/COUNTIFS(Dados!$E:$E,$B204,Dados!$C:$C,INDEX(T$3,1,1),Dados!$A:$A,INDEX($D:$E,MATCH("K",$D:$D,0),2)))</f>
        <v/>
      </c>
      <c r="U204" s="68" t="str">
        <f ca="1">IF(COUNTIFS(Dados!$E:$E,$B204,Dados!$C:$C,INDEX(U$3,1,1),Dados!$A:$A,INDEX($D:$E,MATCH("K",$D:$D,0),2))=0,"",SUMIFS(Dados!$G:$G,Dados!$E:$E,$B204,Dados!$C:$C,INDEX(U$3,1,1),Dados!$A:$A,INDEX($D:$E,MATCH("K",$D:$D,0),2))/COUNTIFS(Dados!$E:$E,$B204,Dados!$C:$C,INDEX(U$3,1,1),Dados!$A:$A,INDEX($D:$E,MATCH("K",$D:$D,0),2)))</f>
        <v/>
      </c>
      <c r="V204" s="68" t="str">
        <f ca="1">IF(COUNTIFS(Dados!$E:$E,$B204,Dados!$C:$C,INDEX(V$3,1,1),Dados!$A:$A,INDEX($D:$E,MATCH("K",$D:$D,0),2))=0,"",SUMIFS(Dados!$G:$G,Dados!$E:$E,$B204,Dados!$C:$C,INDEX(V$3,1,1),Dados!$A:$A,INDEX($D:$E,MATCH("K",$D:$D,0),2))/COUNTIFS(Dados!$E:$E,$B204,Dados!$C:$C,INDEX(V$3,1,1),Dados!$A:$A,INDEX($D:$E,MATCH("K",$D:$D,0),2)))</f>
        <v/>
      </c>
    </row>
    <row r="205" spans="2:22" x14ac:dyDescent="0.25">
      <c r="B205" s="65" t="s">
        <v>1302</v>
      </c>
      <c r="C205" s="72">
        <f>VLOOKUP(B205,B4:C22,2,0)</f>
        <v>13</v>
      </c>
      <c r="D205" s="66" t="str">
        <f ca="1">IF(COUNTIFS(Dados!$E:$E,$B205,Dados!$C:$C,INDEX(D$3,1,1),Dados!$A:$A,INDEX($D:$E,MATCH("K",$D:$D,0),2))=0,"",SUMIFS(Dados!$G:$G,Dados!$E:$E,$B205,Dados!$C:$C,INDEX(D$3,1,1),Dados!$A:$A,INDEX($D:$E,MATCH("K",$D:$D,0),2))/COUNTIFS(Dados!$E:$E,$B205,Dados!$C:$C,INDEX(D$3,1,1),Dados!$A:$A,INDEX($D:$E,MATCH("K",$D:$D,0),2)))</f>
        <v/>
      </c>
      <c r="E205" s="66" t="str">
        <f ca="1">IF(COUNTIFS(Dados!$E:$E,$B205,Dados!$C:$C,INDEX(E$3,1,1),Dados!$A:$A,INDEX($D:$E,MATCH("K",$D:$D,0),2))=0,"",SUMIFS(Dados!$G:$G,Dados!$E:$E,$B205,Dados!$C:$C,INDEX(E$3,1,1),Dados!$A:$A,INDEX($D:$E,MATCH("K",$D:$D,0),2))/COUNTIFS(Dados!$E:$E,$B205,Dados!$C:$C,INDEX(E$3,1,1),Dados!$A:$A,INDEX($D:$E,MATCH("K",$D:$D,0),2)))</f>
        <v/>
      </c>
      <c r="F205" s="66" t="str">
        <f ca="1">IF(COUNTIFS(Dados!$E:$E,$B205,Dados!$C:$C,INDEX(F$3,1,1),Dados!$A:$A,INDEX($D:$E,MATCH("K",$D:$D,0),2))=0,"",SUMIFS(Dados!$G:$G,Dados!$E:$E,$B205,Dados!$C:$C,INDEX(F$3,1,1),Dados!$A:$A,INDEX($D:$E,MATCH("K",$D:$D,0),2))/COUNTIFS(Dados!$E:$E,$B205,Dados!$C:$C,INDEX(F$3,1,1),Dados!$A:$A,INDEX($D:$E,MATCH("K",$D:$D,0),2)))</f>
        <v/>
      </c>
      <c r="G205" s="66" t="str">
        <f ca="1">IF(COUNTIFS(Dados!$E:$E,$B205,Dados!$C:$C,INDEX(G$3,1,1),Dados!$A:$A,INDEX($D:$E,MATCH("K",$D:$D,0),2))=0,"",SUMIFS(Dados!$G:$G,Dados!$E:$E,$B205,Dados!$C:$C,INDEX(G$3,1,1),Dados!$A:$A,INDEX($D:$E,MATCH("K",$D:$D,0),2))/COUNTIFS(Dados!$E:$E,$B205,Dados!$C:$C,INDEX(G$3,1,1),Dados!$A:$A,INDEX($D:$E,MATCH("K",$D:$D,0),2)))</f>
        <v/>
      </c>
      <c r="H205" s="66" t="str">
        <f ca="1">IF(COUNTIFS(Dados!$E:$E,$B205,Dados!$C:$C,INDEX(H$3,1,1),Dados!$A:$A,INDEX($D:$E,MATCH("K",$D:$D,0),2))=0,"",SUMIFS(Dados!$G:$G,Dados!$E:$E,$B205,Dados!$C:$C,INDEX(H$3,1,1),Dados!$A:$A,INDEX($D:$E,MATCH("K",$D:$D,0),2))/COUNTIFS(Dados!$E:$E,$B205,Dados!$C:$C,INDEX(H$3,1,1),Dados!$A:$A,INDEX($D:$E,MATCH("K",$D:$D,0),2)))</f>
        <v/>
      </c>
      <c r="I205" s="66" t="str">
        <f ca="1">IF(COUNTIFS(Dados!$E:$E,$B205,Dados!$C:$C,INDEX(I$3,1,1),Dados!$A:$A,INDEX($D:$E,MATCH("K",$D:$D,0),2))=0,"",SUMIFS(Dados!$G:$G,Dados!$E:$E,$B205,Dados!$C:$C,INDEX(I$3,1,1),Dados!$A:$A,INDEX($D:$E,MATCH("K",$D:$D,0),2))/COUNTIFS(Dados!$E:$E,$B205,Dados!$C:$C,INDEX(I$3,1,1),Dados!$A:$A,INDEX($D:$E,MATCH("K",$D:$D,0),2)))</f>
        <v/>
      </c>
      <c r="J205" s="66" t="str">
        <f ca="1">IF(COUNTIFS(Dados!$E:$E,$B205,Dados!$C:$C,INDEX(J$3,1,1),Dados!$A:$A,INDEX($D:$E,MATCH("K",$D:$D,0),2))=0,"",SUMIFS(Dados!$G:$G,Dados!$E:$E,$B205,Dados!$C:$C,INDEX(J$3,1,1),Dados!$A:$A,INDEX($D:$E,MATCH("K",$D:$D,0),2))/COUNTIFS(Dados!$E:$E,$B205,Dados!$C:$C,INDEX(J$3,1,1),Dados!$A:$A,INDEX($D:$E,MATCH("K",$D:$D,0),2)))</f>
        <v/>
      </c>
      <c r="K205" s="66" t="str">
        <f ca="1">IF(COUNTIFS(Dados!$E:$E,$B205,Dados!$C:$C,INDEX(K$3,1,1),Dados!$A:$A,INDEX($D:$E,MATCH("K",$D:$D,0),2))=0,"",SUMIFS(Dados!$G:$G,Dados!$E:$E,$B205,Dados!$C:$C,INDEX(K$3,1,1),Dados!$A:$A,INDEX($D:$E,MATCH("K",$D:$D,0),2))/COUNTIFS(Dados!$E:$E,$B205,Dados!$C:$C,INDEX(K$3,1,1),Dados!$A:$A,INDEX($D:$E,MATCH("K",$D:$D,0),2)))</f>
        <v/>
      </c>
      <c r="L205" s="66" t="str">
        <f ca="1">IF(COUNTIFS(Dados!$E:$E,$B205,Dados!$C:$C,INDEX(L$3,1,1),Dados!$A:$A,INDEX($D:$E,MATCH("K",$D:$D,0),2))=0,"",SUMIFS(Dados!$G:$G,Dados!$E:$E,$B205,Dados!$C:$C,INDEX(L$3,1,1),Dados!$A:$A,INDEX($D:$E,MATCH("K",$D:$D,0),2))/COUNTIFS(Dados!$E:$E,$B205,Dados!$C:$C,INDEX(L$3,1,1),Dados!$A:$A,INDEX($D:$E,MATCH("K",$D:$D,0),2)))</f>
        <v/>
      </c>
      <c r="M205" s="66" t="str">
        <f ca="1">IF(COUNTIFS(Dados!$E:$E,$B205,Dados!$C:$C,INDEX(M$3,1,1),Dados!$A:$A,INDEX($D:$E,MATCH("K",$D:$D,0),2))=0,"",SUMIFS(Dados!$G:$G,Dados!$E:$E,$B205,Dados!$C:$C,INDEX(M$3,1,1),Dados!$A:$A,INDEX($D:$E,MATCH("K",$D:$D,0),2))/COUNTIFS(Dados!$E:$E,$B205,Dados!$C:$C,INDEX(M$3,1,1),Dados!$A:$A,INDEX($D:$E,MATCH("K",$D:$D,0),2)))</f>
        <v/>
      </c>
      <c r="N205" s="66" t="str">
        <f ca="1">IF(COUNTIFS(Dados!$E:$E,$B205,Dados!$C:$C,INDEX(N$3,1,1),Dados!$A:$A,INDEX($D:$E,MATCH("K",$D:$D,0),2))=0,"",SUMIFS(Dados!$G:$G,Dados!$E:$E,$B205,Dados!$C:$C,INDEX(N$3,1,1),Dados!$A:$A,INDEX($D:$E,MATCH("K",$D:$D,0),2))/COUNTIFS(Dados!$E:$E,$B205,Dados!$C:$C,INDEX(N$3,1,1),Dados!$A:$A,INDEX($D:$E,MATCH("K",$D:$D,0),2)))</f>
        <v/>
      </c>
      <c r="O205" s="66" t="str">
        <f ca="1">IF(COUNTIFS(Dados!$E:$E,$B205,Dados!$C:$C,INDEX(O$3,1,1),Dados!$A:$A,INDEX($D:$E,MATCH("K",$D:$D,0),2))=0,"",SUMIFS(Dados!$G:$G,Dados!$E:$E,$B205,Dados!$C:$C,INDEX(O$3,1,1),Dados!$A:$A,INDEX($D:$E,MATCH("K",$D:$D,0),2))/COUNTIFS(Dados!$E:$E,$B205,Dados!$C:$C,INDEX(O$3,1,1),Dados!$A:$A,INDEX($D:$E,MATCH("K",$D:$D,0),2)))</f>
        <v/>
      </c>
      <c r="P205" s="66" t="str">
        <f ca="1">IF(COUNTIFS(Dados!$E:$E,$B205,Dados!$C:$C,INDEX(P$3,1,1),Dados!$A:$A,INDEX($D:$E,MATCH("K",$D:$D,0),2))=0,"",SUMIFS(Dados!$G:$G,Dados!$E:$E,$B205,Dados!$C:$C,INDEX(P$3,1,1),Dados!$A:$A,INDEX($D:$E,MATCH("K",$D:$D,0),2))/COUNTIFS(Dados!$E:$E,$B205,Dados!$C:$C,INDEX(P$3,1,1),Dados!$A:$A,INDEX($D:$E,MATCH("K",$D:$D,0),2)))</f>
        <v/>
      </c>
      <c r="Q205" s="66" t="str">
        <f ca="1">IF(COUNTIFS(Dados!$E:$E,$B205,Dados!$C:$C,INDEX(Q$3,1,1),Dados!$A:$A,INDEX($D:$E,MATCH("K",$D:$D,0),2))=0,"",SUMIFS(Dados!$G:$G,Dados!$E:$E,$B205,Dados!$C:$C,INDEX(Q$3,1,1),Dados!$A:$A,INDEX($D:$E,MATCH("K",$D:$D,0),2))/COUNTIFS(Dados!$E:$E,$B205,Dados!$C:$C,INDEX(Q$3,1,1),Dados!$A:$A,INDEX($D:$E,MATCH("K",$D:$D,0),2)))</f>
        <v/>
      </c>
      <c r="R205" s="66" t="str">
        <f ca="1">IF(COUNTIFS(Dados!$E:$E,$B205,Dados!$C:$C,INDEX(R$3,1,1),Dados!$A:$A,INDEX($D:$E,MATCH("K",$D:$D,0),2))=0,"",SUMIFS(Dados!$G:$G,Dados!$E:$E,$B205,Dados!$C:$C,INDEX(R$3,1,1),Dados!$A:$A,INDEX($D:$E,MATCH("K",$D:$D,0),2))/COUNTIFS(Dados!$E:$E,$B205,Dados!$C:$C,INDEX(R$3,1,1),Dados!$A:$A,INDEX($D:$E,MATCH("K",$D:$D,0),2)))</f>
        <v/>
      </c>
      <c r="S205" s="66" t="str">
        <f ca="1">IF(COUNTIFS(Dados!$E:$E,$B205,Dados!$C:$C,INDEX(S$3,1,1),Dados!$A:$A,INDEX($D:$E,MATCH("K",$D:$D,0),2))=0,"",SUMIFS(Dados!$G:$G,Dados!$E:$E,$B205,Dados!$C:$C,INDEX(S$3,1,1),Dados!$A:$A,INDEX($D:$E,MATCH("K",$D:$D,0),2))/COUNTIFS(Dados!$E:$E,$B205,Dados!$C:$C,INDEX(S$3,1,1),Dados!$A:$A,INDEX($D:$E,MATCH("K",$D:$D,0),2)))</f>
        <v/>
      </c>
      <c r="T205" s="66" t="str">
        <f ca="1">IF(COUNTIFS(Dados!$E:$E,$B205,Dados!$C:$C,INDEX(T$3,1,1),Dados!$A:$A,INDEX($D:$E,MATCH("K",$D:$D,0),2))=0,"",SUMIFS(Dados!$G:$G,Dados!$E:$E,$B205,Dados!$C:$C,INDEX(T$3,1,1),Dados!$A:$A,INDEX($D:$E,MATCH("K",$D:$D,0),2))/COUNTIFS(Dados!$E:$E,$B205,Dados!$C:$C,INDEX(T$3,1,1),Dados!$A:$A,INDEX($D:$E,MATCH("K",$D:$D,0),2)))</f>
        <v/>
      </c>
      <c r="U205" s="66" t="str">
        <f ca="1">IF(COUNTIFS(Dados!$E:$E,$B205,Dados!$C:$C,INDEX(U$3,1,1),Dados!$A:$A,INDEX($D:$E,MATCH("K",$D:$D,0),2))=0,"",SUMIFS(Dados!$G:$G,Dados!$E:$E,$B205,Dados!$C:$C,INDEX(U$3,1,1),Dados!$A:$A,INDEX($D:$E,MATCH("K",$D:$D,0),2))/COUNTIFS(Dados!$E:$E,$B205,Dados!$C:$C,INDEX(U$3,1,1),Dados!$A:$A,INDEX($D:$E,MATCH("K",$D:$D,0),2)))</f>
        <v/>
      </c>
      <c r="V205" s="66" t="str">
        <f ca="1">IF(COUNTIFS(Dados!$E:$E,$B205,Dados!$C:$C,INDEX(V$3,1,1),Dados!$A:$A,INDEX($D:$E,MATCH("K",$D:$D,0),2))=0,"",SUMIFS(Dados!$G:$G,Dados!$E:$E,$B205,Dados!$C:$C,INDEX(V$3,1,1),Dados!$A:$A,INDEX($D:$E,MATCH("K",$D:$D,0),2))/COUNTIFS(Dados!$E:$E,$B205,Dados!$C:$C,INDEX(V$3,1,1),Dados!$A:$A,INDEX($D:$E,MATCH("K",$D:$D,0),2)))</f>
        <v/>
      </c>
    </row>
    <row r="206" spans="2:22" x14ac:dyDescent="0.25">
      <c r="B206" s="67" t="s">
        <v>1296</v>
      </c>
      <c r="C206" s="71">
        <f>VLOOKUP(B206,B4:C22,2,0)</f>
        <v>14</v>
      </c>
      <c r="D206" s="68" t="str">
        <f ca="1">IF(COUNTIFS(Dados!$E:$E,$B206,Dados!$C:$C,INDEX(D$3,1,1),Dados!$A:$A,INDEX($D:$E,MATCH("K",$D:$D,0),2))=0,"",SUMIFS(Dados!$G:$G,Dados!$E:$E,$B206,Dados!$C:$C,INDEX(D$3,1,1),Dados!$A:$A,INDEX($D:$E,MATCH("K",$D:$D,0),2))/COUNTIFS(Dados!$E:$E,$B206,Dados!$C:$C,INDEX(D$3,1,1),Dados!$A:$A,INDEX($D:$E,MATCH("K",$D:$D,0),2)))</f>
        <v/>
      </c>
      <c r="E206" s="68" t="str">
        <f ca="1">IF(COUNTIFS(Dados!$E:$E,$B206,Dados!$C:$C,INDEX(E$3,1,1),Dados!$A:$A,INDEX($D:$E,MATCH("K",$D:$D,0),2))=0,"",SUMIFS(Dados!$G:$G,Dados!$E:$E,$B206,Dados!$C:$C,INDEX(E$3,1,1),Dados!$A:$A,INDEX($D:$E,MATCH("K",$D:$D,0),2))/COUNTIFS(Dados!$E:$E,$B206,Dados!$C:$C,INDEX(E$3,1,1),Dados!$A:$A,INDEX($D:$E,MATCH("K",$D:$D,0),2)))</f>
        <v/>
      </c>
      <c r="F206" s="68" t="str">
        <f ca="1">IF(COUNTIFS(Dados!$E:$E,$B206,Dados!$C:$C,INDEX(F$3,1,1),Dados!$A:$A,INDEX($D:$E,MATCH("K",$D:$D,0),2))=0,"",SUMIFS(Dados!$G:$G,Dados!$E:$E,$B206,Dados!$C:$C,INDEX(F$3,1,1),Dados!$A:$A,INDEX($D:$E,MATCH("K",$D:$D,0),2))/COUNTIFS(Dados!$E:$E,$B206,Dados!$C:$C,INDEX(F$3,1,1),Dados!$A:$A,INDEX($D:$E,MATCH("K",$D:$D,0),2)))</f>
        <v/>
      </c>
      <c r="G206" s="68" t="str">
        <f ca="1">IF(COUNTIFS(Dados!$E:$E,$B206,Dados!$C:$C,INDEX(G$3,1,1),Dados!$A:$A,INDEX($D:$E,MATCH("K",$D:$D,0),2))=0,"",SUMIFS(Dados!$G:$G,Dados!$E:$E,$B206,Dados!$C:$C,INDEX(G$3,1,1),Dados!$A:$A,INDEX($D:$E,MATCH("K",$D:$D,0),2))/COUNTIFS(Dados!$E:$E,$B206,Dados!$C:$C,INDEX(G$3,1,1),Dados!$A:$A,INDEX($D:$E,MATCH("K",$D:$D,0),2)))</f>
        <v/>
      </c>
      <c r="H206" s="68" t="str">
        <f ca="1">IF(COUNTIFS(Dados!$E:$E,$B206,Dados!$C:$C,INDEX(H$3,1,1),Dados!$A:$A,INDEX($D:$E,MATCH("K",$D:$D,0),2))=0,"",SUMIFS(Dados!$G:$G,Dados!$E:$E,$B206,Dados!$C:$C,INDEX(H$3,1,1),Dados!$A:$A,INDEX($D:$E,MATCH("K",$D:$D,0),2))/COUNTIFS(Dados!$E:$E,$B206,Dados!$C:$C,INDEX(H$3,1,1),Dados!$A:$A,INDEX($D:$E,MATCH("K",$D:$D,0),2)))</f>
        <v/>
      </c>
      <c r="I206" s="68" t="str">
        <f ca="1">IF(COUNTIFS(Dados!$E:$E,$B206,Dados!$C:$C,INDEX(I$3,1,1),Dados!$A:$A,INDEX($D:$E,MATCH("K",$D:$D,0),2))=0,"",SUMIFS(Dados!$G:$G,Dados!$E:$E,$B206,Dados!$C:$C,INDEX(I$3,1,1),Dados!$A:$A,INDEX($D:$E,MATCH("K",$D:$D,0),2))/COUNTIFS(Dados!$E:$E,$B206,Dados!$C:$C,INDEX(I$3,1,1),Dados!$A:$A,INDEX($D:$E,MATCH("K",$D:$D,0),2)))</f>
        <v/>
      </c>
      <c r="J206" s="68" t="str">
        <f ca="1">IF(COUNTIFS(Dados!$E:$E,$B206,Dados!$C:$C,INDEX(J$3,1,1),Dados!$A:$A,INDEX($D:$E,MATCH("K",$D:$D,0),2))=0,"",SUMIFS(Dados!$G:$G,Dados!$E:$E,$B206,Dados!$C:$C,INDEX(J$3,1,1),Dados!$A:$A,INDEX($D:$E,MATCH("K",$D:$D,0),2))/COUNTIFS(Dados!$E:$E,$B206,Dados!$C:$C,INDEX(J$3,1,1),Dados!$A:$A,INDEX($D:$E,MATCH("K",$D:$D,0),2)))</f>
        <v/>
      </c>
      <c r="K206" s="68" t="str">
        <f ca="1">IF(COUNTIFS(Dados!$E:$E,$B206,Dados!$C:$C,INDEX(K$3,1,1),Dados!$A:$A,INDEX($D:$E,MATCH("K",$D:$D,0),2))=0,"",SUMIFS(Dados!$G:$G,Dados!$E:$E,$B206,Dados!$C:$C,INDEX(K$3,1,1),Dados!$A:$A,INDEX($D:$E,MATCH("K",$D:$D,0),2))/COUNTIFS(Dados!$E:$E,$B206,Dados!$C:$C,INDEX(K$3,1,1),Dados!$A:$A,INDEX($D:$E,MATCH("K",$D:$D,0),2)))</f>
        <v/>
      </c>
      <c r="L206" s="68" t="str">
        <f ca="1">IF(COUNTIFS(Dados!$E:$E,$B206,Dados!$C:$C,INDEX(L$3,1,1),Dados!$A:$A,INDEX($D:$E,MATCH("K",$D:$D,0),2))=0,"",SUMIFS(Dados!$G:$G,Dados!$E:$E,$B206,Dados!$C:$C,INDEX(L$3,1,1),Dados!$A:$A,INDEX($D:$E,MATCH("K",$D:$D,0),2))/COUNTIFS(Dados!$E:$E,$B206,Dados!$C:$C,INDEX(L$3,1,1),Dados!$A:$A,INDEX($D:$E,MATCH("K",$D:$D,0),2)))</f>
        <v/>
      </c>
      <c r="M206" s="68" t="str">
        <f ca="1">IF(COUNTIFS(Dados!$E:$E,$B206,Dados!$C:$C,INDEX(M$3,1,1),Dados!$A:$A,INDEX($D:$E,MATCH("K",$D:$D,0),2))=0,"",SUMIFS(Dados!$G:$G,Dados!$E:$E,$B206,Dados!$C:$C,INDEX(M$3,1,1),Dados!$A:$A,INDEX($D:$E,MATCH("K",$D:$D,0),2))/COUNTIFS(Dados!$E:$E,$B206,Dados!$C:$C,INDEX(M$3,1,1),Dados!$A:$A,INDEX($D:$E,MATCH("K",$D:$D,0),2)))</f>
        <v/>
      </c>
      <c r="N206" s="68" t="str">
        <f ca="1">IF(COUNTIFS(Dados!$E:$E,$B206,Dados!$C:$C,INDEX(N$3,1,1),Dados!$A:$A,INDEX($D:$E,MATCH("K",$D:$D,0),2))=0,"",SUMIFS(Dados!$G:$G,Dados!$E:$E,$B206,Dados!$C:$C,INDEX(N$3,1,1),Dados!$A:$A,INDEX($D:$E,MATCH("K",$D:$D,0),2))/COUNTIFS(Dados!$E:$E,$B206,Dados!$C:$C,INDEX(N$3,1,1),Dados!$A:$A,INDEX($D:$E,MATCH("K",$D:$D,0),2)))</f>
        <v/>
      </c>
      <c r="O206" s="68" t="str">
        <f ca="1">IF(COUNTIFS(Dados!$E:$E,$B206,Dados!$C:$C,INDEX(O$3,1,1),Dados!$A:$A,INDEX($D:$E,MATCH("K",$D:$D,0),2))=0,"",SUMIFS(Dados!$G:$G,Dados!$E:$E,$B206,Dados!$C:$C,INDEX(O$3,1,1),Dados!$A:$A,INDEX($D:$E,MATCH("K",$D:$D,0),2))/COUNTIFS(Dados!$E:$E,$B206,Dados!$C:$C,INDEX(O$3,1,1),Dados!$A:$A,INDEX($D:$E,MATCH("K",$D:$D,0),2)))</f>
        <v/>
      </c>
      <c r="P206" s="68" t="str">
        <f ca="1">IF(COUNTIFS(Dados!$E:$E,$B206,Dados!$C:$C,INDEX(P$3,1,1),Dados!$A:$A,INDEX($D:$E,MATCH("K",$D:$D,0),2))=0,"",SUMIFS(Dados!$G:$G,Dados!$E:$E,$B206,Dados!$C:$C,INDEX(P$3,1,1),Dados!$A:$A,INDEX($D:$E,MATCH("K",$D:$D,0),2))/COUNTIFS(Dados!$E:$E,$B206,Dados!$C:$C,INDEX(P$3,1,1),Dados!$A:$A,INDEX($D:$E,MATCH("K",$D:$D,0),2)))</f>
        <v/>
      </c>
      <c r="Q206" s="68" t="str">
        <f ca="1">IF(COUNTIFS(Dados!$E:$E,$B206,Dados!$C:$C,INDEX(Q$3,1,1),Dados!$A:$A,INDEX($D:$E,MATCH("K",$D:$D,0),2))=0,"",SUMIFS(Dados!$G:$G,Dados!$E:$E,$B206,Dados!$C:$C,INDEX(Q$3,1,1),Dados!$A:$A,INDEX($D:$E,MATCH("K",$D:$D,0),2))/COUNTIFS(Dados!$E:$E,$B206,Dados!$C:$C,INDEX(Q$3,1,1),Dados!$A:$A,INDEX($D:$E,MATCH("K",$D:$D,0),2)))</f>
        <v/>
      </c>
      <c r="R206" s="68" t="str">
        <f ca="1">IF(COUNTIFS(Dados!$E:$E,$B206,Dados!$C:$C,INDEX(R$3,1,1),Dados!$A:$A,INDEX($D:$E,MATCH("K",$D:$D,0),2))=0,"",SUMIFS(Dados!$G:$G,Dados!$E:$E,$B206,Dados!$C:$C,INDEX(R$3,1,1),Dados!$A:$A,INDEX($D:$E,MATCH("K",$D:$D,0),2))/COUNTIFS(Dados!$E:$E,$B206,Dados!$C:$C,INDEX(R$3,1,1),Dados!$A:$A,INDEX($D:$E,MATCH("K",$D:$D,0),2)))</f>
        <v/>
      </c>
      <c r="S206" s="68" t="str">
        <f ca="1">IF(COUNTIFS(Dados!$E:$E,$B206,Dados!$C:$C,INDEX(S$3,1,1),Dados!$A:$A,INDEX($D:$E,MATCH("K",$D:$D,0),2))=0,"",SUMIFS(Dados!$G:$G,Dados!$E:$E,$B206,Dados!$C:$C,INDEX(S$3,1,1),Dados!$A:$A,INDEX($D:$E,MATCH("K",$D:$D,0),2))/COUNTIFS(Dados!$E:$E,$B206,Dados!$C:$C,INDEX(S$3,1,1),Dados!$A:$A,INDEX($D:$E,MATCH("K",$D:$D,0),2)))</f>
        <v/>
      </c>
      <c r="T206" s="68" t="str">
        <f ca="1">IF(COUNTIFS(Dados!$E:$E,$B206,Dados!$C:$C,INDEX(T$3,1,1),Dados!$A:$A,INDEX($D:$E,MATCH("K",$D:$D,0),2))=0,"",SUMIFS(Dados!$G:$G,Dados!$E:$E,$B206,Dados!$C:$C,INDEX(T$3,1,1),Dados!$A:$A,INDEX($D:$E,MATCH("K",$D:$D,0),2))/COUNTIFS(Dados!$E:$E,$B206,Dados!$C:$C,INDEX(T$3,1,1),Dados!$A:$A,INDEX($D:$E,MATCH("K",$D:$D,0),2)))</f>
        <v/>
      </c>
      <c r="U206" s="68" t="str">
        <f ca="1">IF(COUNTIFS(Dados!$E:$E,$B206,Dados!$C:$C,INDEX(U$3,1,1),Dados!$A:$A,INDEX($D:$E,MATCH("K",$D:$D,0),2))=0,"",SUMIFS(Dados!$G:$G,Dados!$E:$E,$B206,Dados!$C:$C,INDEX(U$3,1,1),Dados!$A:$A,INDEX($D:$E,MATCH("K",$D:$D,0),2))/COUNTIFS(Dados!$E:$E,$B206,Dados!$C:$C,INDEX(U$3,1,1),Dados!$A:$A,INDEX($D:$E,MATCH("K",$D:$D,0),2)))</f>
        <v/>
      </c>
      <c r="V206" s="68" t="str">
        <f ca="1">IF(COUNTIFS(Dados!$E:$E,$B206,Dados!$C:$C,INDEX(V$3,1,1),Dados!$A:$A,INDEX($D:$E,MATCH("K",$D:$D,0),2))=0,"",SUMIFS(Dados!$G:$G,Dados!$E:$E,$B206,Dados!$C:$C,INDEX(V$3,1,1),Dados!$A:$A,INDEX($D:$E,MATCH("K",$D:$D,0),2))/COUNTIFS(Dados!$E:$E,$B206,Dados!$C:$C,INDEX(V$3,1,1),Dados!$A:$A,INDEX($D:$E,MATCH("K",$D:$D,0),2)))</f>
        <v/>
      </c>
    </row>
    <row r="207" spans="2:22" x14ac:dyDescent="0.25">
      <c r="B207" s="65" t="s">
        <v>33</v>
      </c>
      <c r="C207" s="72">
        <f>VLOOKUP(B207,B4:C22,2,0)</f>
        <v>15</v>
      </c>
      <c r="D207" s="66" t="str">
        <f ca="1">IF(COUNTIFS(Dados!$E:$E,$B207,Dados!$C:$C,INDEX(D$3,1,1),Dados!$A:$A,INDEX($D:$E,MATCH("K",$D:$D,0),2))=0,"",SUMIFS(Dados!$G:$G,Dados!$E:$E,$B207,Dados!$C:$C,INDEX(D$3,1,1),Dados!$A:$A,INDEX($D:$E,MATCH("K",$D:$D,0),2))/COUNTIFS(Dados!$E:$E,$B207,Dados!$C:$C,INDEX(D$3,1,1),Dados!$A:$A,INDEX($D:$E,MATCH("K",$D:$D,0),2)))</f>
        <v/>
      </c>
      <c r="E207" s="66" t="str">
        <f ca="1">IF(COUNTIFS(Dados!$E:$E,$B207,Dados!$C:$C,INDEX(E$3,1,1),Dados!$A:$A,INDEX($D:$E,MATCH("K",$D:$D,0),2))=0,"",SUMIFS(Dados!$G:$G,Dados!$E:$E,$B207,Dados!$C:$C,INDEX(E$3,1,1),Dados!$A:$A,INDEX($D:$E,MATCH("K",$D:$D,0),2))/COUNTIFS(Dados!$E:$E,$B207,Dados!$C:$C,INDEX(E$3,1,1),Dados!$A:$A,INDEX($D:$E,MATCH("K",$D:$D,0),2)))</f>
        <v/>
      </c>
      <c r="F207" s="66" t="str">
        <f ca="1">IF(COUNTIFS(Dados!$E:$E,$B207,Dados!$C:$C,INDEX(F$3,1,1),Dados!$A:$A,INDEX($D:$E,MATCH("K",$D:$D,0),2))=0,"",SUMIFS(Dados!$G:$G,Dados!$E:$E,$B207,Dados!$C:$C,INDEX(F$3,1,1),Dados!$A:$A,INDEX($D:$E,MATCH("K",$D:$D,0),2))/COUNTIFS(Dados!$E:$E,$B207,Dados!$C:$C,INDEX(F$3,1,1),Dados!$A:$A,INDEX($D:$E,MATCH("K",$D:$D,0),2)))</f>
        <v/>
      </c>
      <c r="G207" s="66" t="str">
        <f ca="1">IF(COUNTIFS(Dados!$E:$E,$B207,Dados!$C:$C,INDEX(G$3,1,1),Dados!$A:$A,INDEX($D:$E,MATCH("K",$D:$D,0),2))=0,"",SUMIFS(Dados!$G:$G,Dados!$E:$E,$B207,Dados!$C:$C,INDEX(G$3,1,1),Dados!$A:$A,INDEX($D:$E,MATCH("K",$D:$D,0),2))/COUNTIFS(Dados!$E:$E,$B207,Dados!$C:$C,INDEX(G$3,1,1),Dados!$A:$A,INDEX($D:$E,MATCH("K",$D:$D,0),2)))</f>
        <v/>
      </c>
      <c r="H207" s="66" t="str">
        <f ca="1">IF(COUNTIFS(Dados!$E:$E,$B207,Dados!$C:$C,INDEX(H$3,1,1),Dados!$A:$A,INDEX($D:$E,MATCH("K",$D:$D,0),2))=0,"",SUMIFS(Dados!$G:$G,Dados!$E:$E,$B207,Dados!$C:$C,INDEX(H$3,1,1),Dados!$A:$A,INDEX($D:$E,MATCH("K",$D:$D,0),2))/COUNTIFS(Dados!$E:$E,$B207,Dados!$C:$C,INDEX(H$3,1,1),Dados!$A:$A,INDEX($D:$E,MATCH("K",$D:$D,0),2)))</f>
        <v/>
      </c>
      <c r="I207" s="66" t="str">
        <f ca="1">IF(COUNTIFS(Dados!$E:$E,$B207,Dados!$C:$C,INDEX(I$3,1,1),Dados!$A:$A,INDEX($D:$E,MATCH("K",$D:$D,0),2))=0,"",SUMIFS(Dados!$G:$G,Dados!$E:$E,$B207,Dados!$C:$C,INDEX(I$3,1,1),Dados!$A:$A,INDEX($D:$E,MATCH("K",$D:$D,0),2))/COUNTIFS(Dados!$E:$E,$B207,Dados!$C:$C,INDEX(I$3,1,1),Dados!$A:$A,INDEX($D:$E,MATCH("K",$D:$D,0),2)))</f>
        <v/>
      </c>
      <c r="J207" s="66" t="str">
        <f ca="1">IF(COUNTIFS(Dados!$E:$E,$B207,Dados!$C:$C,INDEX(J$3,1,1),Dados!$A:$A,INDEX($D:$E,MATCH("K",$D:$D,0),2))=0,"",SUMIFS(Dados!$G:$G,Dados!$E:$E,$B207,Dados!$C:$C,INDEX(J$3,1,1),Dados!$A:$A,INDEX($D:$E,MATCH("K",$D:$D,0),2))/COUNTIFS(Dados!$E:$E,$B207,Dados!$C:$C,INDEX(J$3,1,1),Dados!$A:$A,INDEX($D:$E,MATCH("K",$D:$D,0),2)))</f>
        <v/>
      </c>
      <c r="K207" s="66" t="str">
        <f ca="1">IF(COUNTIFS(Dados!$E:$E,$B207,Dados!$C:$C,INDEX(K$3,1,1),Dados!$A:$A,INDEX($D:$E,MATCH("K",$D:$D,0),2))=0,"",SUMIFS(Dados!$G:$G,Dados!$E:$E,$B207,Dados!$C:$C,INDEX(K$3,1,1),Dados!$A:$A,INDEX($D:$E,MATCH("K",$D:$D,0),2))/COUNTIFS(Dados!$E:$E,$B207,Dados!$C:$C,INDEX(K$3,1,1),Dados!$A:$A,INDEX($D:$E,MATCH("K",$D:$D,0),2)))</f>
        <v/>
      </c>
      <c r="L207" s="66" t="str">
        <f ca="1">IF(COUNTIFS(Dados!$E:$E,$B207,Dados!$C:$C,INDEX(L$3,1,1),Dados!$A:$A,INDEX($D:$E,MATCH("K",$D:$D,0),2))=0,"",SUMIFS(Dados!$G:$G,Dados!$E:$E,$B207,Dados!$C:$C,INDEX(L$3,1,1),Dados!$A:$A,INDEX($D:$E,MATCH("K",$D:$D,0),2))/COUNTIFS(Dados!$E:$E,$B207,Dados!$C:$C,INDEX(L$3,1,1),Dados!$A:$A,INDEX($D:$E,MATCH("K",$D:$D,0),2)))</f>
        <v/>
      </c>
      <c r="M207" s="66" t="str">
        <f ca="1">IF(COUNTIFS(Dados!$E:$E,$B207,Dados!$C:$C,INDEX(M$3,1,1),Dados!$A:$A,INDEX($D:$E,MATCH("K",$D:$D,0),2))=0,"",SUMIFS(Dados!$G:$G,Dados!$E:$E,$B207,Dados!$C:$C,INDEX(M$3,1,1),Dados!$A:$A,INDEX($D:$E,MATCH("K",$D:$D,0),2))/COUNTIFS(Dados!$E:$E,$B207,Dados!$C:$C,INDEX(M$3,1,1),Dados!$A:$A,INDEX($D:$E,MATCH("K",$D:$D,0),2)))</f>
        <v/>
      </c>
      <c r="N207" s="66" t="str">
        <f ca="1">IF(COUNTIFS(Dados!$E:$E,$B207,Dados!$C:$C,INDEX(N$3,1,1),Dados!$A:$A,INDEX($D:$E,MATCH("K",$D:$D,0),2))=0,"",SUMIFS(Dados!$G:$G,Dados!$E:$E,$B207,Dados!$C:$C,INDEX(N$3,1,1),Dados!$A:$A,INDEX($D:$E,MATCH("K",$D:$D,0),2))/COUNTIFS(Dados!$E:$E,$B207,Dados!$C:$C,INDEX(N$3,1,1),Dados!$A:$A,INDEX($D:$E,MATCH("K",$D:$D,0),2)))</f>
        <v/>
      </c>
      <c r="O207" s="66" t="str">
        <f ca="1">IF(COUNTIFS(Dados!$E:$E,$B207,Dados!$C:$C,INDEX(O$3,1,1),Dados!$A:$A,INDEX($D:$E,MATCH("K",$D:$D,0),2))=0,"",SUMIFS(Dados!$G:$G,Dados!$E:$E,$B207,Dados!$C:$C,INDEX(O$3,1,1),Dados!$A:$A,INDEX($D:$E,MATCH("K",$D:$D,0),2))/COUNTIFS(Dados!$E:$E,$B207,Dados!$C:$C,INDEX(O$3,1,1),Dados!$A:$A,INDEX($D:$E,MATCH("K",$D:$D,0),2)))</f>
        <v/>
      </c>
      <c r="P207" s="66" t="str">
        <f ca="1">IF(COUNTIFS(Dados!$E:$E,$B207,Dados!$C:$C,INDEX(P$3,1,1),Dados!$A:$A,INDEX($D:$E,MATCH("K",$D:$D,0),2))=0,"",SUMIFS(Dados!$G:$G,Dados!$E:$E,$B207,Dados!$C:$C,INDEX(P$3,1,1),Dados!$A:$A,INDEX($D:$E,MATCH("K",$D:$D,0),2))/COUNTIFS(Dados!$E:$E,$B207,Dados!$C:$C,INDEX(P$3,1,1),Dados!$A:$A,INDEX($D:$E,MATCH("K",$D:$D,0),2)))</f>
        <v/>
      </c>
      <c r="Q207" s="66" t="str">
        <f ca="1">IF(COUNTIFS(Dados!$E:$E,$B207,Dados!$C:$C,INDEX(Q$3,1,1),Dados!$A:$A,INDEX($D:$E,MATCH("K",$D:$D,0),2))=0,"",SUMIFS(Dados!$G:$G,Dados!$E:$E,$B207,Dados!$C:$C,INDEX(Q$3,1,1),Dados!$A:$A,INDEX($D:$E,MATCH("K",$D:$D,0),2))/COUNTIFS(Dados!$E:$E,$B207,Dados!$C:$C,INDEX(Q$3,1,1),Dados!$A:$A,INDEX($D:$E,MATCH("K",$D:$D,0),2)))</f>
        <v/>
      </c>
      <c r="R207" s="66" t="str">
        <f ca="1">IF(COUNTIFS(Dados!$E:$E,$B207,Dados!$C:$C,INDEX(R$3,1,1),Dados!$A:$A,INDEX($D:$E,MATCH("K",$D:$D,0),2))=0,"",SUMIFS(Dados!$G:$G,Dados!$E:$E,$B207,Dados!$C:$C,INDEX(R$3,1,1),Dados!$A:$A,INDEX($D:$E,MATCH("K",$D:$D,0),2))/COUNTIFS(Dados!$E:$E,$B207,Dados!$C:$C,INDEX(R$3,1,1),Dados!$A:$A,INDEX($D:$E,MATCH("K",$D:$D,0),2)))</f>
        <v/>
      </c>
      <c r="S207" s="66" t="str">
        <f ca="1">IF(COUNTIFS(Dados!$E:$E,$B207,Dados!$C:$C,INDEX(S$3,1,1),Dados!$A:$A,INDEX($D:$E,MATCH("K",$D:$D,0),2))=0,"",SUMIFS(Dados!$G:$G,Dados!$E:$E,$B207,Dados!$C:$C,INDEX(S$3,1,1),Dados!$A:$A,INDEX($D:$E,MATCH("K",$D:$D,0),2))/COUNTIFS(Dados!$E:$E,$B207,Dados!$C:$C,INDEX(S$3,1,1),Dados!$A:$A,INDEX($D:$E,MATCH("K",$D:$D,0),2)))</f>
        <v/>
      </c>
      <c r="T207" s="66" t="str">
        <f ca="1">IF(COUNTIFS(Dados!$E:$E,$B207,Dados!$C:$C,INDEX(T$3,1,1),Dados!$A:$A,INDEX($D:$E,MATCH("K",$D:$D,0),2))=0,"",SUMIFS(Dados!$G:$G,Dados!$E:$E,$B207,Dados!$C:$C,INDEX(T$3,1,1),Dados!$A:$A,INDEX($D:$E,MATCH("K",$D:$D,0),2))/COUNTIFS(Dados!$E:$E,$B207,Dados!$C:$C,INDEX(T$3,1,1),Dados!$A:$A,INDEX($D:$E,MATCH("K",$D:$D,0),2)))</f>
        <v/>
      </c>
      <c r="U207" s="66" t="str">
        <f ca="1">IF(COUNTIFS(Dados!$E:$E,$B207,Dados!$C:$C,INDEX(U$3,1,1),Dados!$A:$A,INDEX($D:$E,MATCH("K",$D:$D,0),2))=0,"",SUMIFS(Dados!$G:$G,Dados!$E:$E,$B207,Dados!$C:$C,INDEX(U$3,1,1),Dados!$A:$A,INDEX($D:$E,MATCH("K",$D:$D,0),2))/COUNTIFS(Dados!$E:$E,$B207,Dados!$C:$C,INDEX(U$3,1,1),Dados!$A:$A,INDEX($D:$E,MATCH("K",$D:$D,0),2)))</f>
        <v/>
      </c>
      <c r="V207" s="66" t="str">
        <f ca="1">IF(COUNTIFS(Dados!$E:$E,$B207,Dados!$C:$C,INDEX(V$3,1,1),Dados!$A:$A,INDEX($D:$E,MATCH("K",$D:$D,0),2))=0,"",SUMIFS(Dados!$G:$G,Dados!$E:$E,$B207,Dados!$C:$C,INDEX(V$3,1,1),Dados!$A:$A,INDEX($D:$E,MATCH("K",$D:$D,0),2))/COUNTIFS(Dados!$E:$E,$B207,Dados!$C:$C,INDEX(V$3,1,1),Dados!$A:$A,INDEX($D:$E,MATCH("K",$D:$D,0),2)))</f>
        <v/>
      </c>
    </row>
    <row r="208" spans="2:22" x14ac:dyDescent="0.25">
      <c r="B208" s="67" t="s">
        <v>1299</v>
      </c>
      <c r="C208" s="71">
        <f>VLOOKUP(B208,B4:C22,2,0)</f>
        <v>16</v>
      </c>
      <c r="D208" s="68" t="str">
        <f ca="1">IF(COUNTIFS(Dados!$E:$E,$B208,Dados!$C:$C,INDEX(D$3,1,1),Dados!$A:$A,INDEX($D:$E,MATCH("K",$D:$D,0),2))=0,"",SUMIFS(Dados!$G:$G,Dados!$E:$E,$B208,Dados!$C:$C,INDEX(D$3,1,1),Dados!$A:$A,INDEX($D:$E,MATCH("K",$D:$D,0),2))/COUNTIFS(Dados!$E:$E,$B208,Dados!$C:$C,INDEX(D$3,1,1),Dados!$A:$A,INDEX($D:$E,MATCH("K",$D:$D,0),2)))</f>
        <v/>
      </c>
      <c r="E208" s="68" t="str">
        <f ca="1">IF(COUNTIFS(Dados!$E:$E,$B208,Dados!$C:$C,INDEX(E$3,1,1),Dados!$A:$A,INDEX($D:$E,MATCH("K",$D:$D,0),2))=0,"",SUMIFS(Dados!$G:$G,Dados!$E:$E,$B208,Dados!$C:$C,INDEX(E$3,1,1),Dados!$A:$A,INDEX($D:$E,MATCH("K",$D:$D,0),2))/COUNTIFS(Dados!$E:$E,$B208,Dados!$C:$C,INDEX(E$3,1,1),Dados!$A:$A,INDEX($D:$E,MATCH("K",$D:$D,0),2)))</f>
        <v/>
      </c>
      <c r="F208" s="68" t="str">
        <f ca="1">IF(COUNTIFS(Dados!$E:$E,$B208,Dados!$C:$C,INDEX(F$3,1,1),Dados!$A:$A,INDEX($D:$E,MATCH("K",$D:$D,0),2))=0,"",SUMIFS(Dados!$G:$G,Dados!$E:$E,$B208,Dados!$C:$C,INDEX(F$3,1,1),Dados!$A:$A,INDEX($D:$E,MATCH("K",$D:$D,0),2))/COUNTIFS(Dados!$E:$E,$B208,Dados!$C:$C,INDEX(F$3,1,1),Dados!$A:$A,INDEX($D:$E,MATCH("K",$D:$D,0),2)))</f>
        <v/>
      </c>
      <c r="G208" s="68" t="str">
        <f ca="1">IF(COUNTIFS(Dados!$E:$E,$B208,Dados!$C:$C,INDEX(G$3,1,1),Dados!$A:$A,INDEX($D:$E,MATCH("K",$D:$D,0),2))=0,"",SUMIFS(Dados!$G:$G,Dados!$E:$E,$B208,Dados!$C:$C,INDEX(G$3,1,1),Dados!$A:$A,INDEX($D:$E,MATCH("K",$D:$D,0),2))/COUNTIFS(Dados!$E:$E,$B208,Dados!$C:$C,INDEX(G$3,1,1),Dados!$A:$A,INDEX($D:$E,MATCH("K",$D:$D,0),2)))</f>
        <v/>
      </c>
      <c r="H208" s="68" t="str">
        <f ca="1">IF(COUNTIFS(Dados!$E:$E,$B208,Dados!$C:$C,INDEX(H$3,1,1),Dados!$A:$A,INDEX($D:$E,MATCH("K",$D:$D,0),2))=0,"",SUMIFS(Dados!$G:$G,Dados!$E:$E,$B208,Dados!$C:$C,INDEX(H$3,1,1),Dados!$A:$A,INDEX($D:$E,MATCH("K",$D:$D,0),2))/COUNTIFS(Dados!$E:$E,$B208,Dados!$C:$C,INDEX(H$3,1,1),Dados!$A:$A,INDEX($D:$E,MATCH("K",$D:$D,0),2)))</f>
        <v/>
      </c>
      <c r="I208" s="68" t="str">
        <f ca="1">IF(COUNTIFS(Dados!$E:$E,$B208,Dados!$C:$C,INDEX(I$3,1,1),Dados!$A:$A,INDEX($D:$E,MATCH("K",$D:$D,0),2))=0,"",SUMIFS(Dados!$G:$G,Dados!$E:$E,$B208,Dados!$C:$C,INDEX(I$3,1,1),Dados!$A:$A,INDEX($D:$E,MATCH("K",$D:$D,0),2))/COUNTIFS(Dados!$E:$E,$B208,Dados!$C:$C,INDEX(I$3,1,1),Dados!$A:$A,INDEX($D:$E,MATCH("K",$D:$D,0),2)))</f>
        <v/>
      </c>
      <c r="J208" s="68" t="str">
        <f ca="1">IF(COUNTIFS(Dados!$E:$E,$B208,Dados!$C:$C,INDEX(J$3,1,1),Dados!$A:$A,INDEX($D:$E,MATCH("K",$D:$D,0),2))=0,"",SUMIFS(Dados!$G:$G,Dados!$E:$E,$B208,Dados!$C:$C,INDEX(J$3,1,1),Dados!$A:$A,INDEX($D:$E,MATCH("K",$D:$D,0),2))/COUNTIFS(Dados!$E:$E,$B208,Dados!$C:$C,INDEX(J$3,1,1),Dados!$A:$A,INDEX($D:$E,MATCH("K",$D:$D,0),2)))</f>
        <v/>
      </c>
      <c r="K208" s="68" t="str">
        <f ca="1">IF(COUNTIFS(Dados!$E:$E,$B208,Dados!$C:$C,INDEX(K$3,1,1),Dados!$A:$A,INDEX($D:$E,MATCH("K",$D:$D,0),2))=0,"",SUMIFS(Dados!$G:$G,Dados!$E:$E,$B208,Dados!$C:$C,INDEX(K$3,1,1),Dados!$A:$A,INDEX($D:$E,MATCH("K",$D:$D,0),2))/COUNTIFS(Dados!$E:$E,$B208,Dados!$C:$C,INDEX(K$3,1,1),Dados!$A:$A,INDEX($D:$E,MATCH("K",$D:$D,0),2)))</f>
        <v/>
      </c>
      <c r="L208" s="68" t="str">
        <f ca="1">IF(COUNTIFS(Dados!$E:$E,$B208,Dados!$C:$C,INDEX(L$3,1,1),Dados!$A:$A,INDEX($D:$E,MATCH("K",$D:$D,0),2))=0,"",SUMIFS(Dados!$G:$G,Dados!$E:$E,$B208,Dados!$C:$C,INDEX(L$3,1,1),Dados!$A:$A,INDEX($D:$E,MATCH("K",$D:$D,0),2))/COUNTIFS(Dados!$E:$E,$B208,Dados!$C:$C,INDEX(L$3,1,1),Dados!$A:$A,INDEX($D:$E,MATCH("K",$D:$D,0),2)))</f>
        <v/>
      </c>
      <c r="M208" s="68" t="str">
        <f ca="1">IF(COUNTIFS(Dados!$E:$E,$B208,Dados!$C:$C,INDEX(M$3,1,1),Dados!$A:$A,INDEX($D:$E,MATCH("K",$D:$D,0),2))=0,"",SUMIFS(Dados!$G:$G,Dados!$E:$E,$B208,Dados!$C:$C,INDEX(M$3,1,1),Dados!$A:$A,INDEX($D:$E,MATCH("K",$D:$D,0),2))/COUNTIFS(Dados!$E:$E,$B208,Dados!$C:$C,INDEX(M$3,1,1),Dados!$A:$A,INDEX($D:$E,MATCH("K",$D:$D,0),2)))</f>
        <v/>
      </c>
      <c r="N208" s="68" t="str">
        <f ca="1">IF(COUNTIFS(Dados!$E:$E,$B208,Dados!$C:$C,INDEX(N$3,1,1),Dados!$A:$A,INDEX($D:$E,MATCH("K",$D:$D,0),2))=0,"",SUMIFS(Dados!$G:$G,Dados!$E:$E,$B208,Dados!$C:$C,INDEX(N$3,1,1),Dados!$A:$A,INDEX($D:$E,MATCH("K",$D:$D,0),2))/COUNTIFS(Dados!$E:$E,$B208,Dados!$C:$C,INDEX(N$3,1,1),Dados!$A:$A,INDEX($D:$E,MATCH("K",$D:$D,0),2)))</f>
        <v/>
      </c>
      <c r="O208" s="68" t="str">
        <f ca="1">IF(COUNTIFS(Dados!$E:$E,$B208,Dados!$C:$C,INDEX(O$3,1,1),Dados!$A:$A,INDEX($D:$E,MATCH("K",$D:$D,0),2))=0,"",SUMIFS(Dados!$G:$G,Dados!$E:$E,$B208,Dados!$C:$C,INDEX(O$3,1,1),Dados!$A:$A,INDEX($D:$E,MATCH("K",$D:$D,0),2))/COUNTIFS(Dados!$E:$E,$B208,Dados!$C:$C,INDEX(O$3,1,1),Dados!$A:$A,INDEX($D:$E,MATCH("K",$D:$D,0),2)))</f>
        <v/>
      </c>
      <c r="P208" s="68" t="str">
        <f ca="1">IF(COUNTIFS(Dados!$E:$E,$B208,Dados!$C:$C,INDEX(P$3,1,1),Dados!$A:$A,INDEX($D:$E,MATCH("K",$D:$D,0),2))=0,"",SUMIFS(Dados!$G:$G,Dados!$E:$E,$B208,Dados!$C:$C,INDEX(P$3,1,1),Dados!$A:$A,INDEX($D:$E,MATCH("K",$D:$D,0),2))/COUNTIFS(Dados!$E:$E,$B208,Dados!$C:$C,INDEX(P$3,1,1),Dados!$A:$A,INDEX($D:$E,MATCH("K",$D:$D,0),2)))</f>
        <v/>
      </c>
      <c r="Q208" s="68" t="str">
        <f ca="1">IF(COUNTIFS(Dados!$E:$E,$B208,Dados!$C:$C,INDEX(Q$3,1,1),Dados!$A:$A,INDEX($D:$E,MATCH("K",$D:$D,0),2))=0,"",SUMIFS(Dados!$G:$G,Dados!$E:$E,$B208,Dados!$C:$C,INDEX(Q$3,1,1),Dados!$A:$A,INDEX($D:$E,MATCH("K",$D:$D,0),2))/COUNTIFS(Dados!$E:$E,$B208,Dados!$C:$C,INDEX(Q$3,1,1),Dados!$A:$A,INDEX($D:$E,MATCH("K",$D:$D,0),2)))</f>
        <v/>
      </c>
      <c r="R208" s="68" t="str">
        <f ca="1">IF(COUNTIFS(Dados!$E:$E,$B208,Dados!$C:$C,INDEX(R$3,1,1),Dados!$A:$A,INDEX($D:$E,MATCH("K",$D:$D,0),2))=0,"",SUMIFS(Dados!$G:$G,Dados!$E:$E,$B208,Dados!$C:$C,INDEX(R$3,1,1),Dados!$A:$A,INDEX($D:$E,MATCH("K",$D:$D,0),2))/COUNTIFS(Dados!$E:$E,$B208,Dados!$C:$C,INDEX(R$3,1,1),Dados!$A:$A,INDEX($D:$E,MATCH("K",$D:$D,0),2)))</f>
        <v/>
      </c>
      <c r="S208" s="68" t="str">
        <f ca="1">IF(COUNTIFS(Dados!$E:$E,$B208,Dados!$C:$C,INDEX(S$3,1,1),Dados!$A:$A,INDEX($D:$E,MATCH("K",$D:$D,0),2))=0,"",SUMIFS(Dados!$G:$G,Dados!$E:$E,$B208,Dados!$C:$C,INDEX(S$3,1,1),Dados!$A:$A,INDEX($D:$E,MATCH("K",$D:$D,0),2))/COUNTIFS(Dados!$E:$E,$B208,Dados!$C:$C,INDEX(S$3,1,1),Dados!$A:$A,INDEX($D:$E,MATCH("K",$D:$D,0),2)))</f>
        <v/>
      </c>
      <c r="T208" s="68" t="str">
        <f ca="1">IF(COUNTIFS(Dados!$E:$E,$B208,Dados!$C:$C,INDEX(T$3,1,1),Dados!$A:$A,INDEX($D:$E,MATCH("K",$D:$D,0),2))=0,"",SUMIFS(Dados!$G:$G,Dados!$E:$E,$B208,Dados!$C:$C,INDEX(T$3,1,1),Dados!$A:$A,INDEX($D:$E,MATCH("K",$D:$D,0),2))/COUNTIFS(Dados!$E:$E,$B208,Dados!$C:$C,INDEX(T$3,1,1),Dados!$A:$A,INDEX($D:$E,MATCH("K",$D:$D,0),2)))</f>
        <v/>
      </c>
      <c r="U208" s="68" t="str">
        <f ca="1">IF(COUNTIFS(Dados!$E:$E,$B208,Dados!$C:$C,INDEX(U$3,1,1),Dados!$A:$A,INDEX($D:$E,MATCH("K",$D:$D,0),2))=0,"",SUMIFS(Dados!$G:$G,Dados!$E:$E,$B208,Dados!$C:$C,INDEX(U$3,1,1),Dados!$A:$A,INDEX($D:$E,MATCH("K",$D:$D,0),2))/COUNTIFS(Dados!$E:$E,$B208,Dados!$C:$C,INDEX(U$3,1,1),Dados!$A:$A,INDEX($D:$E,MATCH("K",$D:$D,0),2)))</f>
        <v/>
      </c>
      <c r="V208" s="68" t="str">
        <f ca="1">IF(COUNTIFS(Dados!$E:$E,$B208,Dados!$C:$C,INDEX(V$3,1,1),Dados!$A:$A,INDEX($D:$E,MATCH("K",$D:$D,0),2))=0,"",SUMIFS(Dados!$G:$G,Dados!$E:$E,$B208,Dados!$C:$C,INDEX(V$3,1,1),Dados!$A:$A,INDEX($D:$E,MATCH("K",$D:$D,0),2))/COUNTIFS(Dados!$E:$E,$B208,Dados!$C:$C,INDEX(V$3,1,1),Dados!$A:$A,INDEX($D:$E,MATCH("K",$D:$D,0),2)))</f>
        <v/>
      </c>
    </row>
    <row r="209" spans="2:22" x14ac:dyDescent="0.25">
      <c r="B209" s="65" t="s">
        <v>374</v>
      </c>
      <c r="C209" s="72">
        <f>VLOOKUP(B209,B4:C22,2,0)</f>
        <v>17</v>
      </c>
      <c r="D209" s="66" t="str">
        <f ca="1">IF(COUNTIFS(Dados!$E:$E,$B209,Dados!$C:$C,INDEX(D$3,1,1),Dados!$A:$A,INDEX($D:$E,MATCH("K",$D:$D,0),2))=0,"",SUMIFS(Dados!$G:$G,Dados!$E:$E,$B209,Dados!$C:$C,INDEX(D$3,1,1),Dados!$A:$A,INDEX($D:$E,MATCH("K",$D:$D,0),2))/COUNTIFS(Dados!$E:$E,$B209,Dados!$C:$C,INDEX(D$3,1,1),Dados!$A:$A,INDEX($D:$E,MATCH("K",$D:$D,0),2)))</f>
        <v/>
      </c>
      <c r="E209" s="66" t="str">
        <f ca="1">IF(COUNTIFS(Dados!$E:$E,$B209,Dados!$C:$C,INDEX(E$3,1,1),Dados!$A:$A,INDEX($D:$E,MATCH("K",$D:$D,0),2))=0,"",SUMIFS(Dados!$G:$G,Dados!$E:$E,$B209,Dados!$C:$C,INDEX(E$3,1,1),Dados!$A:$A,INDEX($D:$E,MATCH("K",$D:$D,0),2))/COUNTIFS(Dados!$E:$E,$B209,Dados!$C:$C,INDEX(E$3,1,1),Dados!$A:$A,INDEX($D:$E,MATCH("K",$D:$D,0),2)))</f>
        <v/>
      </c>
      <c r="F209" s="66" t="str">
        <f ca="1">IF(COUNTIFS(Dados!$E:$E,$B209,Dados!$C:$C,INDEX(F$3,1,1),Dados!$A:$A,INDEX($D:$E,MATCH("K",$D:$D,0),2))=0,"",SUMIFS(Dados!$G:$G,Dados!$E:$E,$B209,Dados!$C:$C,INDEX(F$3,1,1),Dados!$A:$A,INDEX($D:$E,MATCH("K",$D:$D,0),2))/COUNTIFS(Dados!$E:$E,$B209,Dados!$C:$C,INDEX(F$3,1,1),Dados!$A:$A,INDEX($D:$E,MATCH("K",$D:$D,0),2)))</f>
        <v/>
      </c>
      <c r="G209" s="66" t="str">
        <f ca="1">IF(COUNTIFS(Dados!$E:$E,$B209,Dados!$C:$C,INDEX(G$3,1,1),Dados!$A:$A,INDEX($D:$E,MATCH("K",$D:$D,0),2))=0,"",SUMIFS(Dados!$G:$G,Dados!$E:$E,$B209,Dados!$C:$C,INDEX(G$3,1,1),Dados!$A:$A,INDEX($D:$E,MATCH("K",$D:$D,0),2))/COUNTIFS(Dados!$E:$E,$B209,Dados!$C:$C,INDEX(G$3,1,1),Dados!$A:$A,INDEX($D:$E,MATCH("K",$D:$D,0),2)))</f>
        <v/>
      </c>
      <c r="H209" s="66" t="str">
        <f ca="1">IF(COUNTIFS(Dados!$E:$E,$B209,Dados!$C:$C,INDEX(H$3,1,1),Dados!$A:$A,INDEX($D:$E,MATCH("K",$D:$D,0),2))=0,"",SUMIFS(Dados!$G:$G,Dados!$E:$E,$B209,Dados!$C:$C,INDEX(H$3,1,1),Dados!$A:$A,INDEX($D:$E,MATCH("K",$D:$D,0),2))/COUNTIFS(Dados!$E:$E,$B209,Dados!$C:$C,INDEX(H$3,1,1),Dados!$A:$A,INDEX($D:$E,MATCH("K",$D:$D,0),2)))</f>
        <v/>
      </c>
      <c r="I209" s="66" t="str">
        <f ca="1">IF(COUNTIFS(Dados!$E:$E,$B209,Dados!$C:$C,INDEX(I$3,1,1),Dados!$A:$A,INDEX($D:$E,MATCH("K",$D:$D,0),2))=0,"",SUMIFS(Dados!$G:$G,Dados!$E:$E,$B209,Dados!$C:$C,INDEX(I$3,1,1),Dados!$A:$A,INDEX($D:$E,MATCH("K",$D:$D,0),2))/COUNTIFS(Dados!$E:$E,$B209,Dados!$C:$C,INDEX(I$3,1,1),Dados!$A:$A,INDEX($D:$E,MATCH("K",$D:$D,0),2)))</f>
        <v/>
      </c>
      <c r="J209" s="66" t="str">
        <f ca="1">IF(COUNTIFS(Dados!$E:$E,$B209,Dados!$C:$C,INDEX(J$3,1,1),Dados!$A:$A,INDEX($D:$E,MATCH("K",$D:$D,0),2))=0,"",SUMIFS(Dados!$G:$G,Dados!$E:$E,$B209,Dados!$C:$C,INDEX(J$3,1,1),Dados!$A:$A,INDEX($D:$E,MATCH("K",$D:$D,0),2))/COUNTIFS(Dados!$E:$E,$B209,Dados!$C:$C,INDEX(J$3,1,1),Dados!$A:$A,INDEX($D:$E,MATCH("K",$D:$D,0),2)))</f>
        <v/>
      </c>
      <c r="K209" s="66" t="str">
        <f ca="1">IF(COUNTIFS(Dados!$E:$E,$B209,Dados!$C:$C,INDEX(K$3,1,1),Dados!$A:$A,INDEX($D:$E,MATCH("K",$D:$D,0),2))=0,"",SUMIFS(Dados!$G:$G,Dados!$E:$E,$B209,Dados!$C:$C,INDEX(K$3,1,1),Dados!$A:$A,INDEX($D:$E,MATCH("K",$D:$D,0),2))/COUNTIFS(Dados!$E:$E,$B209,Dados!$C:$C,INDEX(K$3,1,1),Dados!$A:$A,INDEX($D:$E,MATCH("K",$D:$D,0),2)))</f>
        <v/>
      </c>
      <c r="L209" s="66" t="str">
        <f ca="1">IF(COUNTIFS(Dados!$E:$E,$B209,Dados!$C:$C,INDEX(L$3,1,1),Dados!$A:$A,INDEX($D:$E,MATCH("K",$D:$D,0),2))=0,"",SUMIFS(Dados!$G:$G,Dados!$E:$E,$B209,Dados!$C:$C,INDEX(L$3,1,1),Dados!$A:$A,INDEX($D:$E,MATCH("K",$D:$D,0),2))/COUNTIFS(Dados!$E:$E,$B209,Dados!$C:$C,INDEX(L$3,1,1),Dados!$A:$A,INDEX($D:$E,MATCH("K",$D:$D,0),2)))</f>
        <v/>
      </c>
      <c r="M209" s="66" t="str">
        <f ca="1">IF(COUNTIFS(Dados!$E:$E,$B209,Dados!$C:$C,INDEX(M$3,1,1),Dados!$A:$A,INDEX($D:$E,MATCH("K",$D:$D,0),2))=0,"",SUMIFS(Dados!$G:$G,Dados!$E:$E,$B209,Dados!$C:$C,INDEX(M$3,1,1),Dados!$A:$A,INDEX($D:$E,MATCH("K",$D:$D,0),2))/COUNTIFS(Dados!$E:$E,$B209,Dados!$C:$C,INDEX(M$3,1,1),Dados!$A:$A,INDEX($D:$E,MATCH("K",$D:$D,0),2)))</f>
        <v/>
      </c>
      <c r="N209" s="66" t="str">
        <f ca="1">IF(COUNTIFS(Dados!$E:$E,$B209,Dados!$C:$C,INDEX(N$3,1,1),Dados!$A:$A,INDEX($D:$E,MATCH("K",$D:$D,0),2))=0,"",SUMIFS(Dados!$G:$G,Dados!$E:$E,$B209,Dados!$C:$C,INDEX(N$3,1,1),Dados!$A:$A,INDEX($D:$E,MATCH("K",$D:$D,0),2))/COUNTIFS(Dados!$E:$E,$B209,Dados!$C:$C,INDEX(N$3,1,1),Dados!$A:$A,INDEX($D:$E,MATCH("K",$D:$D,0),2)))</f>
        <v/>
      </c>
      <c r="O209" s="66" t="str">
        <f ca="1">IF(COUNTIFS(Dados!$E:$E,$B209,Dados!$C:$C,INDEX(O$3,1,1),Dados!$A:$A,INDEX($D:$E,MATCH("K",$D:$D,0),2))=0,"",SUMIFS(Dados!$G:$G,Dados!$E:$E,$B209,Dados!$C:$C,INDEX(O$3,1,1),Dados!$A:$A,INDEX($D:$E,MATCH("K",$D:$D,0),2))/COUNTIFS(Dados!$E:$E,$B209,Dados!$C:$C,INDEX(O$3,1,1),Dados!$A:$A,INDEX($D:$E,MATCH("K",$D:$D,0),2)))</f>
        <v/>
      </c>
      <c r="P209" s="66" t="str">
        <f ca="1">IF(COUNTIFS(Dados!$E:$E,$B209,Dados!$C:$C,INDEX(P$3,1,1),Dados!$A:$A,INDEX($D:$E,MATCH("K",$D:$D,0),2))=0,"",SUMIFS(Dados!$G:$G,Dados!$E:$E,$B209,Dados!$C:$C,INDEX(P$3,1,1),Dados!$A:$A,INDEX($D:$E,MATCH("K",$D:$D,0),2))/COUNTIFS(Dados!$E:$E,$B209,Dados!$C:$C,INDEX(P$3,1,1),Dados!$A:$A,INDEX($D:$E,MATCH("K",$D:$D,0),2)))</f>
        <v/>
      </c>
      <c r="Q209" s="66" t="str">
        <f ca="1">IF(COUNTIFS(Dados!$E:$E,$B209,Dados!$C:$C,INDEX(Q$3,1,1),Dados!$A:$A,INDEX($D:$E,MATCH("K",$D:$D,0),2))=0,"",SUMIFS(Dados!$G:$G,Dados!$E:$E,$B209,Dados!$C:$C,INDEX(Q$3,1,1),Dados!$A:$A,INDEX($D:$E,MATCH("K",$D:$D,0),2))/COUNTIFS(Dados!$E:$E,$B209,Dados!$C:$C,INDEX(Q$3,1,1),Dados!$A:$A,INDEX($D:$E,MATCH("K",$D:$D,0),2)))</f>
        <v/>
      </c>
      <c r="R209" s="66" t="str">
        <f ca="1">IF(COUNTIFS(Dados!$E:$E,$B209,Dados!$C:$C,INDEX(R$3,1,1),Dados!$A:$A,INDEX($D:$E,MATCH("K",$D:$D,0),2))=0,"",SUMIFS(Dados!$G:$G,Dados!$E:$E,$B209,Dados!$C:$C,INDEX(R$3,1,1),Dados!$A:$A,INDEX($D:$E,MATCH("K",$D:$D,0),2))/COUNTIFS(Dados!$E:$E,$B209,Dados!$C:$C,INDEX(R$3,1,1),Dados!$A:$A,INDEX($D:$E,MATCH("K",$D:$D,0),2)))</f>
        <v/>
      </c>
      <c r="S209" s="66" t="str">
        <f ca="1">IF(COUNTIFS(Dados!$E:$E,$B209,Dados!$C:$C,INDEX(S$3,1,1),Dados!$A:$A,INDEX($D:$E,MATCH("K",$D:$D,0),2))=0,"",SUMIFS(Dados!$G:$G,Dados!$E:$E,$B209,Dados!$C:$C,INDEX(S$3,1,1),Dados!$A:$A,INDEX($D:$E,MATCH("K",$D:$D,0),2))/COUNTIFS(Dados!$E:$E,$B209,Dados!$C:$C,INDEX(S$3,1,1),Dados!$A:$A,INDEX($D:$E,MATCH("K",$D:$D,0),2)))</f>
        <v/>
      </c>
      <c r="T209" s="66" t="str">
        <f ca="1">IF(COUNTIFS(Dados!$E:$E,$B209,Dados!$C:$C,INDEX(T$3,1,1),Dados!$A:$A,INDEX($D:$E,MATCH("K",$D:$D,0),2))=0,"",SUMIFS(Dados!$G:$G,Dados!$E:$E,$B209,Dados!$C:$C,INDEX(T$3,1,1),Dados!$A:$A,INDEX($D:$E,MATCH("K",$D:$D,0),2))/COUNTIFS(Dados!$E:$E,$B209,Dados!$C:$C,INDEX(T$3,1,1),Dados!$A:$A,INDEX($D:$E,MATCH("K",$D:$D,0),2)))</f>
        <v/>
      </c>
      <c r="U209" s="66" t="str">
        <f ca="1">IF(COUNTIFS(Dados!$E:$E,$B209,Dados!$C:$C,INDEX(U$3,1,1),Dados!$A:$A,INDEX($D:$E,MATCH("K",$D:$D,0),2))=0,"",SUMIFS(Dados!$G:$G,Dados!$E:$E,$B209,Dados!$C:$C,INDEX(U$3,1,1),Dados!$A:$A,INDEX($D:$E,MATCH("K",$D:$D,0),2))/COUNTIFS(Dados!$E:$E,$B209,Dados!$C:$C,INDEX(U$3,1,1),Dados!$A:$A,INDEX($D:$E,MATCH("K",$D:$D,0),2)))</f>
        <v/>
      </c>
      <c r="V209" s="66" t="str">
        <f ca="1">IF(COUNTIFS(Dados!$E:$E,$B209,Dados!$C:$C,INDEX(V$3,1,1),Dados!$A:$A,INDEX($D:$E,MATCH("K",$D:$D,0),2))=0,"",SUMIFS(Dados!$G:$G,Dados!$E:$E,$B209,Dados!$C:$C,INDEX(V$3,1,1),Dados!$A:$A,INDEX($D:$E,MATCH("K",$D:$D,0),2))/COUNTIFS(Dados!$E:$E,$B209,Dados!$C:$C,INDEX(V$3,1,1),Dados!$A:$A,INDEX($D:$E,MATCH("K",$D:$D,0),2)))</f>
        <v/>
      </c>
    </row>
    <row r="210" spans="2:22" x14ac:dyDescent="0.25">
      <c r="B210" s="67" t="s">
        <v>375</v>
      </c>
      <c r="C210" s="71">
        <f>VLOOKUP(B210,B4:C22,2,0)</f>
        <v>18</v>
      </c>
      <c r="D210" s="68" t="str">
        <f ca="1">IF(COUNTIFS(Dados!$E:$E,$B210,Dados!$C:$C,INDEX(D$3,1,1),Dados!$A:$A,INDEX($D:$E,MATCH("K",$D:$D,0),2))=0,"",SUMIFS(Dados!$G:$G,Dados!$E:$E,$B210,Dados!$C:$C,INDEX(D$3,1,1),Dados!$A:$A,INDEX($D:$E,MATCH("K",$D:$D,0),2))/COUNTIFS(Dados!$E:$E,$B210,Dados!$C:$C,INDEX(D$3,1,1),Dados!$A:$A,INDEX($D:$E,MATCH("K",$D:$D,0),2)))</f>
        <v/>
      </c>
      <c r="E210" s="68" t="str">
        <f ca="1">IF(COUNTIFS(Dados!$E:$E,$B210,Dados!$C:$C,INDEX(E$3,1,1),Dados!$A:$A,INDEX($D:$E,MATCH("K",$D:$D,0),2))=0,"",SUMIFS(Dados!$G:$G,Dados!$E:$E,$B210,Dados!$C:$C,INDEX(E$3,1,1),Dados!$A:$A,INDEX($D:$E,MATCH("K",$D:$D,0),2))/COUNTIFS(Dados!$E:$E,$B210,Dados!$C:$C,INDEX(E$3,1,1),Dados!$A:$A,INDEX($D:$E,MATCH("K",$D:$D,0),2)))</f>
        <v/>
      </c>
      <c r="F210" s="68" t="str">
        <f ca="1">IF(COUNTIFS(Dados!$E:$E,$B210,Dados!$C:$C,INDEX(F$3,1,1),Dados!$A:$A,INDEX($D:$E,MATCH("K",$D:$D,0),2))=0,"",SUMIFS(Dados!$G:$G,Dados!$E:$E,$B210,Dados!$C:$C,INDEX(F$3,1,1),Dados!$A:$A,INDEX($D:$E,MATCH("K",$D:$D,0),2))/COUNTIFS(Dados!$E:$E,$B210,Dados!$C:$C,INDEX(F$3,1,1),Dados!$A:$A,INDEX($D:$E,MATCH("K",$D:$D,0),2)))</f>
        <v/>
      </c>
      <c r="G210" s="68" t="str">
        <f ca="1">IF(COUNTIFS(Dados!$E:$E,$B210,Dados!$C:$C,INDEX(G$3,1,1),Dados!$A:$A,INDEX($D:$E,MATCH("K",$D:$D,0),2))=0,"",SUMIFS(Dados!$G:$G,Dados!$E:$E,$B210,Dados!$C:$C,INDEX(G$3,1,1),Dados!$A:$A,INDEX($D:$E,MATCH("K",$D:$D,0),2))/COUNTIFS(Dados!$E:$E,$B210,Dados!$C:$C,INDEX(G$3,1,1),Dados!$A:$A,INDEX($D:$E,MATCH("K",$D:$D,0),2)))</f>
        <v/>
      </c>
      <c r="H210" s="68" t="str">
        <f ca="1">IF(COUNTIFS(Dados!$E:$E,$B210,Dados!$C:$C,INDEX(H$3,1,1),Dados!$A:$A,INDEX($D:$E,MATCH("K",$D:$D,0),2))=0,"",SUMIFS(Dados!$G:$G,Dados!$E:$E,$B210,Dados!$C:$C,INDEX(H$3,1,1),Dados!$A:$A,INDEX($D:$E,MATCH("K",$D:$D,0),2))/COUNTIFS(Dados!$E:$E,$B210,Dados!$C:$C,INDEX(H$3,1,1),Dados!$A:$A,INDEX($D:$E,MATCH("K",$D:$D,0),2)))</f>
        <v/>
      </c>
      <c r="I210" s="68" t="str">
        <f ca="1">IF(COUNTIFS(Dados!$E:$E,$B210,Dados!$C:$C,INDEX(I$3,1,1),Dados!$A:$A,INDEX($D:$E,MATCH("K",$D:$D,0),2))=0,"",SUMIFS(Dados!$G:$G,Dados!$E:$E,$B210,Dados!$C:$C,INDEX(I$3,1,1),Dados!$A:$A,INDEX($D:$E,MATCH("K",$D:$D,0),2))/COUNTIFS(Dados!$E:$E,$B210,Dados!$C:$C,INDEX(I$3,1,1),Dados!$A:$A,INDEX($D:$E,MATCH("K",$D:$D,0),2)))</f>
        <v/>
      </c>
      <c r="J210" s="68" t="str">
        <f ca="1">IF(COUNTIFS(Dados!$E:$E,$B210,Dados!$C:$C,INDEX(J$3,1,1),Dados!$A:$A,INDEX($D:$E,MATCH("K",$D:$D,0),2))=0,"",SUMIFS(Dados!$G:$G,Dados!$E:$E,$B210,Dados!$C:$C,INDEX(J$3,1,1),Dados!$A:$A,INDEX($D:$E,MATCH("K",$D:$D,0),2))/COUNTIFS(Dados!$E:$E,$B210,Dados!$C:$C,INDEX(J$3,1,1),Dados!$A:$A,INDEX($D:$E,MATCH("K",$D:$D,0),2)))</f>
        <v/>
      </c>
      <c r="K210" s="68" t="str">
        <f ca="1">IF(COUNTIFS(Dados!$E:$E,$B210,Dados!$C:$C,INDEX(K$3,1,1),Dados!$A:$A,INDEX($D:$E,MATCH("K",$D:$D,0),2))=0,"",SUMIFS(Dados!$G:$G,Dados!$E:$E,$B210,Dados!$C:$C,INDEX(K$3,1,1),Dados!$A:$A,INDEX($D:$E,MATCH("K",$D:$D,0),2))/COUNTIFS(Dados!$E:$E,$B210,Dados!$C:$C,INDEX(K$3,1,1),Dados!$A:$A,INDEX($D:$E,MATCH("K",$D:$D,0),2)))</f>
        <v/>
      </c>
      <c r="L210" s="68" t="str">
        <f ca="1">IF(COUNTIFS(Dados!$E:$E,$B210,Dados!$C:$C,INDEX(L$3,1,1),Dados!$A:$A,INDEX($D:$E,MATCH("K",$D:$D,0),2))=0,"",SUMIFS(Dados!$G:$G,Dados!$E:$E,$B210,Dados!$C:$C,INDEX(L$3,1,1),Dados!$A:$A,INDEX($D:$E,MATCH("K",$D:$D,0),2))/COUNTIFS(Dados!$E:$E,$B210,Dados!$C:$C,INDEX(L$3,1,1),Dados!$A:$A,INDEX($D:$E,MATCH("K",$D:$D,0),2)))</f>
        <v/>
      </c>
      <c r="M210" s="68" t="str">
        <f ca="1">IF(COUNTIFS(Dados!$E:$E,$B210,Dados!$C:$C,INDEX(M$3,1,1),Dados!$A:$A,INDEX($D:$E,MATCH("K",$D:$D,0),2))=0,"",SUMIFS(Dados!$G:$G,Dados!$E:$E,$B210,Dados!$C:$C,INDEX(M$3,1,1),Dados!$A:$A,INDEX($D:$E,MATCH("K",$D:$D,0),2))/COUNTIFS(Dados!$E:$E,$B210,Dados!$C:$C,INDEX(M$3,1,1),Dados!$A:$A,INDEX($D:$E,MATCH("K",$D:$D,0),2)))</f>
        <v/>
      </c>
      <c r="N210" s="68" t="str">
        <f ca="1">IF(COUNTIFS(Dados!$E:$E,$B210,Dados!$C:$C,INDEX(N$3,1,1),Dados!$A:$A,INDEX($D:$E,MATCH("K",$D:$D,0),2))=0,"",SUMIFS(Dados!$G:$G,Dados!$E:$E,$B210,Dados!$C:$C,INDEX(N$3,1,1),Dados!$A:$A,INDEX($D:$E,MATCH("K",$D:$D,0),2))/COUNTIFS(Dados!$E:$E,$B210,Dados!$C:$C,INDEX(N$3,1,1),Dados!$A:$A,INDEX($D:$E,MATCH("K",$D:$D,0),2)))</f>
        <v/>
      </c>
      <c r="O210" s="68" t="str">
        <f ca="1">IF(COUNTIFS(Dados!$E:$E,$B210,Dados!$C:$C,INDEX(O$3,1,1),Dados!$A:$A,INDEX($D:$E,MATCH("K",$D:$D,0),2))=0,"",SUMIFS(Dados!$G:$G,Dados!$E:$E,$B210,Dados!$C:$C,INDEX(O$3,1,1),Dados!$A:$A,INDEX($D:$E,MATCH("K",$D:$D,0),2))/COUNTIFS(Dados!$E:$E,$B210,Dados!$C:$C,INDEX(O$3,1,1),Dados!$A:$A,INDEX($D:$E,MATCH("K",$D:$D,0),2)))</f>
        <v/>
      </c>
      <c r="P210" s="68" t="str">
        <f ca="1">IF(COUNTIFS(Dados!$E:$E,$B210,Dados!$C:$C,INDEX(P$3,1,1),Dados!$A:$A,INDEX($D:$E,MATCH("K",$D:$D,0),2))=0,"",SUMIFS(Dados!$G:$G,Dados!$E:$E,$B210,Dados!$C:$C,INDEX(P$3,1,1),Dados!$A:$A,INDEX($D:$E,MATCH("K",$D:$D,0),2))/COUNTIFS(Dados!$E:$E,$B210,Dados!$C:$C,INDEX(P$3,1,1),Dados!$A:$A,INDEX($D:$E,MATCH("K",$D:$D,0),2)))</f>
        <v/>
      </c>
      <c r="Q210" s="68" t="str">
        <f ca="1">IF(COUNTIFS(Dados!$E:$E,$B210,Dados!$C:$C,INDEX(Q$3,1,1),Dados!$A:$A,INDEX($D:$E,MATCH("K",$D:$D,0),2))=0,"",SUMIFS(Dados!$G:$G,Dados!$E:$E,$B210,Dados!$C:$C,INDEX(Q$3,1,1),Dados!$A:$A,INDEX($D:$E,MATCH("K",$D:$D,0),2))/COUNTIFS(Dados!$E:$E,$B210,Dados!$C:$C,INDEX(Q$3,1,1),Dados!$A:$A,INDEX($D:$E,MATCH("K",$D:$D,0),2)))</f>
        <v/>
      </c>
      <c r="R210" s="68" t="str">
        <f ca="1">IF(COUNTIFS(Dados!$E:$E,$B210,Dados!$C:$C,INDEX(R$3,1,1),Dados!$A:$A,INDEX($D:$E,MATCH("K",$D:$D,0),2))=0,"",SUMIFS(Dados!$G:$G,Dados!$E:$E,$B210,Dados!$C:$C,INDEX(R$3,1,1),Dados!$A:$A,INDEX($D:$E,MATCH("K",$D:$D,0),2))/COUNTIFS(Dados!$E:$E,$B210,Dados!$C:$C,INDEX(R$3,1,1),Dados!$A:$A,INDEX($D:$E,MATCH("K",$D:$D,0),2)))</f>
        <v/>
      </c>
      <c r="S210" s="68" t="str">
        <f ca="1">IF(COUNTIFS(Dados!$E:$E,$B210,Dados!$C:$C,INDEX(S$3,1,1),Dados!$A:$A,INDEX($D:$E,MATCH("K",$D:$D,0),2))=0,"",SUMIFS(Dados!$G:$G,Dados!$E:$E,$B210,Dados!$C:$C,INDEX(S$3,1,1),Dados!$A:$A,INDEX($D:$E,MATCH("K",$D:$D,0),2))/COUNTIFS(Dados!$E:$E,$B210,Dados!$C:$C,INDEX(S$3,1,1),Dados!$A:$A,INDEX($D:$E,MATCH("K",$D:$D,0),2)))</f>
        <v/>
      </c>
      <c r="T210" s="68" t="str">
        <f ca="1">IF(COUNTIFS(Dados!$E:$E,$B210,Dados!$C:$C,INDEX(T$3,1,1),Dados!$A:$A,INDEX($D:$E,MATCH("K",$D:$D,0),2))=0,"",SUMIFS(Dados!$G:$G,Dados!$E:$E,$B210,Dados!$C:$C,INDEX(T$3,1,1),Dados!$A:$A,INDEX($D:$E,MATCH("K",$D:$D,0),2))/COUNTIFS(Dados!$E:$E,$B210,Dados!$C:$C,INDEX(T$3,1,1),Dados!$A:$A,INDEX($D:$E,MATCH("K",$D:$D,0),2)))</f>
        <v/>
      </c>
      <c r="U210" s="68" t="str">
        <f ca="1">IF(COUNTIFS(Dados!$E:$E,$B210,Dados!$C:$C,INDEX(U$3,1,1),Dados!$A:$A,INDEX($D:$E,MATCH("K",$D:$D,0),2))=0,"",SUMIFS(Dados!$G:$G,Dados!$E:$E,$B210,Dados!$C:$C,INDEX(U$3,1,1),Dados!$A:$A,INDEX($D:$E,MATCH("K",$D:$D,0),2))/COUNTIFS(Dados!$E:$E,$B210,Dados!$C:$C,INDEX(U$3,1,1),Dados!$A:$A,INDEX($D:$E,MATCH("K",$D:$D,0),2)))</f>
        <v/>
      </c>
      <c r="V210" s="68" t="str">
        <f ca="1">IF(COUNTIFS(Dados!$E:$E,$B210,Dados!$C:$C,INDEX(V$3,1,1),Dados!$A:$A,INDEX($D:$E,MATCH("K",$D:$D,0),2))=0,"",SUMIFS(Dados!$G:$G,Dados!$E:$E,$B210,Dados!$C:$C,INDEX(V$3,1,1),Dados!$A:$A,INDEX($D:$E,MATCH("K",$D:$D,0),2))/COUNTIFS(Dados!$E:$E,$B210,Dados!$C:$C,INDEX(V$3,1,1),Dados!$A:$A,INDEX($D:$E,MATCH("K",$D:$D,0),2)))</f>
        <v/>
      </c>
    </row>
    <row r="211" spans="2:22" x14ac:dyDescent="0.25">
      <c r="B211" s="65" t="s">
        <v>1300</v>
      </c>
      <c r="C211" s="72">
        <f>VLOOKUP(B211,B4:C22,2,0)</f>
        <v>19</v>
      </c>
      <c r="D211" s="66" t="str">
        <f ca="1">IF(COUNTIFS(Dados!$E:$E,$B211,Dados!$C:$C,INDEX(D$3,1,1),Dados!$A:$A,INDEX($D:$E,MATCH("K",$D:$D,0),2))=0,"",SUMIFS(Dados!$G:$G,Dados!$E:$E,$B211,Dados!$C:$C,INDEX(D$3,1,1),Dados!$A:$A,INDEX($D:$E,MATCH("K",$D:$D,0),2))/COUNTIFS(Dados!$E:$E,$B211,Dados!$C:$C,INDEX(D$3,1,1),Dados!$A:$A,INDEX($D:$E,MATCH("K",$D:$D,0),2)))</f>
        <v/>
      </c>
      <c r="E211" s="66" t="str">
        <f ca="1">IF(COUNTIFS(Dados!$E:$E,$B211,Dados!$C:$C,INDEX(E$3,1,1),Dados!$A:$A,INDEX($D:$E,MATCH("K",$D:$D,0),2))=0,"",SUMIFS(Dados!$G:$G,Dados!$E:$E,$B211,Dados!$C:$C,INDEX(E$3,1,1),Dados!$A:$A,INDEX($D:$E,MATCH("K",$D:$D,0),2))/COUNTIFS(Dados!$E:$E,$B211,Dados!$C:$C,INDEX(E$3,1,1),Dados!$A:$A,INDEX($D:$E,MATCH("K",$D:$D,0),2)))</f>
        <v/>
      </c>
      <c r="F211" s="66" t="str">
        <f ca="1">IF(COUNTIFS(Dados!$E:$E,$B211,Dados!$C:$C,INDEX(F$3,1,1),Dados!$A:$A,INDEX($D:$E,MATCH("K",$D:$D,0),2))=0,"",SUMIFS(Dados!$G:$G,Dados!$E:$E,$B211,Dados!$C:$C,INDEX(F$3,1,1),Dados!$A:$A,INDEX($D:$E,MATCH("K",$D:$D,0),2))/COUNTIFS(Dados!$E:$E,$B211,Dados!$C:$C,INDEX(F$3,1,1),Dados!$A:$A,INDEX($D:$E,MATCH("K",$D:$D,0),2)))</f>
        <v/>
      </c>
      <c r="G211" s="66" t="str">
        <f ca="1">IF(COUNTIFS(Dados!$E:$E,$B211,Dados!$C:$C,INDEX(G$3,1,1),Dados!$A:$A,INDEX($D:$E,MATCH("K",$D:$D,0),2))=0,"",SUMIFS(Dados!$G:$G,Dados!$E:$E,$B211,Dados!$C:$C,INDEX(G$3,1,1),Dados!$A:$A,INDEX($D:$E,MATCH("K",$D:$D,0),2))/COUNTIFS(Dados!$E:$E,$B211,Dados!$C:$C,INDEX(G$3,1,1),Dados!$A:$A,INDEX($D:$E,MATCH("K",$D:$D,0),2)))</f>
        <v/>
      </c>
      <c r="H211" s="66" t="str">
        <f ca="1">IF(COUNTIFS(Dados!$E:$E,$B211,Dados!$C:$C,INDEX(H$3,1,1),Dados!$A:$A,INDEX($D:$E,MATCH("K",$D:$D,0),2))=0,"",SUMIFS(Dados!$G:$G,Dados!$E:$E,$B211,Dados!$C:$C,INDEX(H$3,1,1),Dados!$A:$A,INDEX($D:$E,MATCH("K",$D:$D,0),2))/COUNTIFS(Dados!$E:$E,$B211,Dados!$C:$C,INDEX(H$3,1,1),Dados!$A:$A,INDEX($D:$E,MATCH("K",$D:$D,0),2)))</f>
        <v/>
      </c>
      <c r="I211" s="66" t="str">
        <f ca="1">IF(COUNTIFS(Dados!$E:$E,$B211,Dados!$C:$C,INDEX(I$3,1,1),Dados!$A:$A,INDEX($D:$E,MATCH("K",$D:$D,0),2))=0,"",SUMIFS(Dados!$G:$G,Dados!$E:$E,$B211,Dados!$C:$C,INDEX(I$3,1,1),Dados!$A:$A,INDEX($D:$E,MATCH("K",$D:$D,0),2))/COUNTIFS(Dados!$E:$E,$B211,Dados!$C:$C,INDEX(I$3,1,1),Dados!$A:$A,INDEX($D:$E,MATCH("K",$D:$D,0),2)))</f>
        <v/>
      </c>
      <c r="J211" s="66" t="str">
        <f ca="1">IF(COUNTIFS(Dados!$E:$E,$B211,Dados!$C:$C,INDEX(J$3,1,1),Dados!$A:$A,INDEX($D:$E,MATCH("K",$D:$D,0),2))=0,"",SUMIFS(Dados!$G:$G,Dados!$E:$E,$B211,Dados!$C:$C,INDEX(J$3,1,1),Dados!$A:$A,INDEX($D:$E,MATCH("K",$D:$D,0),2))/COUNTIFS(Dados!$E:$E,$B211,Dados!$C:$C,INDEX(J$3,1,1),Dados!$A:$A,INDEX($D:$E,MATCH("K",$D:$D,0),2)))</f>
        <v/>
      </c>
      <c r="K211" s="66" t="str">
        <f ca="1">IF(COUNTIFS(Dados!$E:$E,$B211,Dados!$C:$C,INDEX(K$3,1,1),Dados!$A:$A,INDEX($D:$E,MATCH("K",$D:$D,0),2))=0,"",SUMIFS(Dados!$G:$G,Dados!$E:$E,$B211,Dados!$C:$C,INDEX(K$3,1,1),Dados!$A:$A,INDEX($D:$E,MATCH("K",$D:$D,0),2))/COUNTIFS(Dados!$E:$E,$B211,Dados!$C:$C,INDEX(K$3,1,1),Dados!$A:$A,INDEX($D:$E,MATCH("K",$D:$D,0),2)))</f>
        <v/>
      </c>
      <c r="L211" s="66" t="str">
        <f ca="1">IF(COUNTIFS(Dados!$E:$E,$B211,Dados!$C:$C,INDEX(L$3,1,1),Dados!$A:$A,INDEX($D:$E,MATCH("K",$D:$D,0),2))=0,"",SUMIFS(Dados!$G:$G,Dados!$E:$E,$B211,Dados!$C:$C,INDEX(L$3,1,1),Dados!$A:$A,INDEX($D:$E,MATCH("K",$D:$D,0),2))/COUNTIFS(Dados!$E:$E,$B211,Dados!$C:$C,INDEX(L$3,1,1),Dados!$A:$A,INDEX($D:$E,MATCH("K",$D:$D,0),2)))</f>
        <v/>
      </c>
      <c r="M211" s="66" t="str">
        <f ca="1">IF(COUNTIFS(Dados!$E:$E,$B211,Dados!$C:$C,INDEX(M$3,1,1),Dados!$A:$A,INDEX($D:$E,MATCH("K",$D:$D,0),2))=0,"",SUMIFS(Dados!$G:$G,Dados!$E:$E,$B211,Dados!$C:$C,INDEX(M$3,1,1),Dados!$A:$A,INDEX($D:$E,MATCH("K",$D:$D,0),2))/COUNTIFS(Dados!$E:$E,$B211,Dados!$C:$C,INDEX(M$3,1,1),Dados!$A:$A,INDEX($D:$E,MATCH("K",$D:$D,0),2)))</f>
        <v/>
      </c>
      <c r="N211" s="66" t="str">
        <f ca="1">IF(COUNTIFS(Dados!$E:$E,$B211,Dados!$C:$C,INDEX(N$3,1,1),Dados!$A:$A,INDEX($D:$E,MATCH("K",$D:$D,0),2))=0,"",SUMIFS(Dados!$G:$G,Dados!$E:$E,$B211,Dados!$C:$C,INDEX(N$3,1,1),Dados!$A:$A,INDEX($D:$E,MATCH("K",$D:$D,0),2))/COUNTIFS(Dados!$E:$E,$B211,Dados!$C:$C,INDEX(N$3,1,1),Dados!$A:$A,INDEX($D:$E,MATCH("K",$D:$D,0),2)))</f>
        <v/>
      </c>
      <c r="O211" s="66" t="str">
        <f ca="1">IF(COUNTIFS(Dados!$E:$E,$B211,Dados!$C:$C,INDEX(O$3,1,1),Dados!$A:$A,INDEX($D:$E,MATCH("K",$D:$D,0),2))=0,"",SUMIFS(Dados!$G:$G,Dados!$E:$E,$B211,Dados!$C:$C,INDEX(O$3,1,1),Dados!$A:$A,INDEX($D:$E,MATCH("K",$D:$D,0),2))/COUNTIFS(Dados!$E:$E,$B211,Dados!$C:$C,INDEX(O$3,1,1),Dados!$A:$A,INDEX($D:$E,MATCH("K",$D:$D,0),2)))</f>
        <v/>
      </c>
      <c r="P211" s="66" t="str">
        <f ca="1">IF(COUNTIFS(Dados!$E:$E,$B211,Dados!$C:$C,INDEX(P$3,1,1),Dados!$A:$A,INDEX($D:$E,MATCH("K",$D:$D,0),2))=0,"",SUMIFS(Dados!$G:$G,Dados!$E:$E,$B211,Dados!$C:$C,INDEX(P$3,1,1),Dados!$A:$A,INDEX($D:$E,MATCH("K",$D:$D,0),2))/COUNTIFS(Dados!$E:$E,$B211,Dados!$C:$C,INDEX(P$3,1,1),Dados!$A:$A,INDEX($D:$E,MATCH("K",$D:$D,0),2)))</f>
        <v/>
      </c>
      <c r="Q211" s="66" t="str">
        <f ca="1">IF(COUNTIFS(Dados!$E:$E,$B211,Dados!$C:$C,INDEX(Q$3,1,1),Dados!$A:$A,INDEX($D:$E,MATCH("K",$D:$D,0),2))=0,"",SUMIFS(Dados!$G:$G,Dados!$E:$E,$B211,Dados!$C:$C,INDEX(Q$3,1,1),Dados!$A:$A,INDEX($D:$E,MATCH("K",$D:$D,0),2))/COUNTIFS(Dados!$E:$E,$B211,Dados!$C:$C,INDEX(Q$3,1,1),Dados!$A:$A,INDEX($D:$E,MATCH("K",$D:$D,0),2)))</f>
        <v/>
      </c>
      <c r="R211" s="66" t="str">
        <f ca="1">IF(COUNTIFS(Dados!$E:$E,$B211,Dados!$C:$C,INDEX(R$3,1,1),Dados!$A:$A,INDEX($D:$E,MATCH("K",$D:$D,0),2))=0,"",SUMIFS(Dados!$G:$G,Dados!$E:$E,$B211,Dados!$C:$C,INDEX(R$3,1,1),Dados!$A:$A,INDEX($D:$E,MATCH("K",$D:$D,0),2))/COUNTIFS(Dados!$E:$E,$B211,Dados!$C:$C,INDEX(R$3,1,1),Dados!$A:$A,INDEX($D:$E,MATCH("K",$D:$D,0),2)))</f>
        <v/>
      </c>
      <c r="S211" s="66" t="str">
        <f ca="1">IF(COUNTIFS(Dados!$E:$E,$B211,Dados!$C:$C,INDEX(S$3,1,1),Dados!$A:$A,INDEX($D:$E,MATCH("K",$D:$D,0),2))=0,"",SUMIFS(Dados!$G:$G,Dados!$E:$E,$B211,Dados!$C:$C,INDEX(S$3,1,1),Dados!$A:$A,INDEX($D:$E,MATCH("K",$D:$D,0),2))/COUNTIFS(Dados!$E:$E,$B211,Dados!$C:$C,INDEX(S$3,1,1),Dados!$A:$A,INDEX($D:$E,MATCH("K",$D:$D,0),2)))</f>
        <v/>
      </c>
      <c r="T211" s="66" t="str">
        <f ca="1">IF(COUNTIFS(Dados!$E:$E,$B211,Dados!$C:$C,INDEX(T$3,1,1),Dados!$A:$A,INDEX($D:$E,MATCH("K",$D:$D,0),2))=0,"",SUMIFS(Dados!$G:$G,Dados!$E:$E,$B211,Dados!$C:$C,INDEX(T$3,1,1),Dados!$A:$A,INDEX($D:$E,MATCH("K",$D:$D,0),2))/COUNTIFS(Dados!$E:$E,$B211,Dados!$C:$C,INDEX(T$3,1,1),Dados!$A:$A,INDEX($D:$E,MATCH("K",$D:$D,0),2)))</f>
        <v/>
      </c>
      <c r="U211" s="66" t="str">
        <f ca="1">IF(COUNTIFS(Dados!$E:$E,$B211,Dados!$C:$C,INDEX(U$3,1,1),Dados!$A:$A,INDEX($D:$E,MATCH("K",$D:$D,0),2))=0,"",SUMIFS(Dados!$G:$G,Dados!$E:$E,$B211,Dados!$C:$C,INDEX(U$3,1,1),Dados!$A:$A,INDEX($D:$E,MATCH("K",$D:$D,0),2))/COUNTIFS(Dados!$E:$E,$B211,Dados!$C:$C,INDEX(U$3,1,1),Dados!$A:$A,INDEX($D:$E,MATCH("K",$D:$D,0),2)))</f>
        <v/>
      </c>
      <c r="V211" s="66" t="str">
        <f ca="1">IF(COUNTIFS(Dados!$E:$E,$B211,Dados!$C:$C,INDEX(V$3,1,1),Dados!$A:$A,INDEX($D:$E,MATCH("K",$D:$D,0),2))=0,"",SUMIFS(Dados!$G:$G,Dados!$E:$E,$B211,Dados!$C:$C,INDEX(V$3,1,1),Dados!$A:$A,INDEX($D:$E,MATCH("K",$D:$D,0),2))/COUNTIFS(Dados!$E:$E,$B211,Dados!$C:$C,INDEX(V$3,1,1),Dados!$A:$A,INDEX($D:$E,MATCH("K",$D:$D,0),2)))</f>
        <v/>
      </c>
    </row>
    <row r="212" spans="2:22" x14ac:dyDescent="0.25">
      <c r="B212" s="63" t="s">
        <v>983</v>
      </c>
      <c r="C212" s="63"/>
      <c r="D212" s="63" t="s">
        <v>1282</v>
      </c>
      <c r="E212" s="73">
        <v>45</v>
      </c>
    </row>
    <row r="213" spans="2:22" x14ac:dyDescent="0.25">
      <c r="B213" s="69" t="s">
        <v>974</v>
      </c>
      <c r="C213" s="70" t="s">
        <v>1291</v>
      </c>
      <c r="D213" s="61">
        <v>1978</v>
      </c>
      <c r="E213" s="61">
        <v>1982</v>
      </c>
      <c r="F213" s="61">
        <v>1991</v>
      </c>
      <c r="G213" s="61">
        <v>1996</v>
      </c>
      <c r="H213" s="61">
        <v>1997</v>
      </c>
      <c r="I213" s="61">
        <v>1998</v>
      </c>
      <c r="J213" s="61">
        <v>1999</v>
      </c>
      <c r="K213" s="61">
        <v>2000</v>
      </c>
      <c r="L213" s="61">
        <v>2001</v>
      </c>
      <c r="M213" s="61">
        <v>2002</v>
      </c>
      <c r="N213" s="61">
        <v>2003</v>
      </c>
      <c r="O213" s="61">
        <v>2004</v>
      </c>
      <c r="P213" s="61">
        <v>2005</v>
      </c>
      <c r="Q213" s="61">
        <v>2006</v>
      </c>
      <c r="R213" s="61">
        <v>2007</v>
      </c>
      <c r="S213" s="61">
        <v>2008</v>
      </c>
      <c r="T213" s="61">
        <v>2010</v>
      </c>
      <c r="U213" s="61">
        <v>2011</v>
      </c>
      <c r="V213" s="61">
        <v>2012</v>
      </c>
    </row>
    <row r="214" spans="2:22" x14ac:dyDescent="0.25">
      <c r="B214" s="67" t="s">
        <v>107</v>
      </c>
      <c r="C214" s="71">
        <f>VLOOKUP(B214,B4:C22,2,0)</f>
        <v>1</v>
      </c>
      <c r="D214" s="68" t="str">
        <f ca="1">IF(COUNTIFS(Dados!$E:$E,$B214,Dados!$C:$C,INDEX(D$3,1,1),Dados!$A:$A,INDEX($D:$E,MATCH("L",$D:$D,0),2))=0,"",SUMIFS(Dados!$G:$G,Dados!$E:$E,$B214,Dados!$C:$C,INDEX(D$3,1,1),Dados!$A:$A,INDEX($D:$E,MATCH("L",$D:$D,0),2))/COUNTIFS(Dados!$E:$E,$B214,Dados!$C:$C,INDEX(D$3,1,1),Dados!$A:$A,INDEX($D:$E,MATCH("L",$D:$D,0),2)))</f>
        <v/>
      </c>
      <c r="E214" s="68" t="str">
        <f ca="1">IF(COUNTIFS(Dados!$E:$E,$B214,Dados!$C:$C,INDEX(E$3,1,1),Dados!$A:$A,INDEX($D:$E,MATCH("L",$D:$D,0),2))=0,"",SUMIFS(Dados!$G:$G,Dados!$E:$E,$B214,Dados!$C:$C,INDEX(E$3,1,1),Dados!$A:$A,INDEX($D:$E,MATCH("L",$D:$D,0),2))/COUNTIFS(Dados!$E:$E,$B214,Dados!$C:$C,INDEX(E$3,1,1),Dados!$A:$A,INDEX($D:$E,MATCH("L",$D:$D,0),2)))</f>
        <v/>
      </c>
      <c r="F214" s="68" t="str">
        <f ca="1">IF(COUNTIFS(Dados!$E:$E,$B214,Dados!$C:$C,INDEX(F$3,1,1),Dados!$A:$A,INDEX($D:$E,MATCH("L",$D:$D,0),2))=0,"",SUMIFS(Dados!$G:$G,Dados!$E:$E,$B214,Dados!$C:$C,INDEX(F$3,1,1),Dados!$A:$A,INDEX($D:$E,MATCH("L",$D:$D,0),2))/COUNTIFS(Dados!$E:$E,$B214,Dados!$C:$C,INDEX(F$3,1,1),Dados!$A:$A,INDEX($D:$E,MATCH("L",$D:$D,0),2)))</f>
        <v/>
      </c>
      <c r="G214" s="68" t="str">
        <f ca="1">IF(COUNTIFS(Dados!$E:$E,$B214,Dados!$C:$C,INDEX(G$3,1,1),Dados!$A:$A,INDEX($D:$E,MATCH("L",$D:$D,0),2))=0,"",SUMIFS(Dados!$G:$G,Dados!$E:$E,$B214,Dados!$C:$C,INDEX(G$3,1,1),Dados!$A:$A,INDEX($D:$E,MATCH("L",$D:$D,0),2))/COUNTIFS(Dados!$E:$E,$B214,Dados!$C:$C,INDEX(G$3,1,1),Dados!$A:$A,INDEX($D:$E,MATCH("L",$D:$D,0),2)))</f>
        <v/>
      </c>
      <c r="H214" s="68" t="str">
        <f ca="1">IF(COUNTIFS(Dados!$E:$E,$B214,Dados!$C:$C,INDEX(H$3,1,1),Dados!$A:$A,INDEX($D:$E,MATCH("L",$D:$D,0),2))=0,"",SUMIFS(Dados!$G:$G,Dados!$E:$E,$B214,Dados!$C:$C,INDEX(H$3,1,1),Dados!$A:$A,INDEX($D:$E,MATCH("L",$D:$D,0),2))/COUNTIFS(Dados!$E:$E,$B214,Dados!$C:$C,INDEX(H$3,1,1),Dados!$A:$A,INDEX($D:$E,MATCH("L",$D:$D,0),2)))</f>
        <v/>
      </c>
      <c r="I214" s="68" t="str">
        <f ca="1">IF(COUNTIFS(Dados!$E:$E,$B214,Dados!$C:$C,INDEX(I$3,1,1),Dados!$A:$A,INDEX($D:$E,MATCH("L",$D:$D,0),2))=0,"",SUMIFS(Dados!$G:$G,Dados!$E:$E,$B214,Dados!$C:$C,INDEX(I$3,1,1),Dados!$A:$A,INDEX($D:$E,MATCH("L",$D:$D,0),2))/COUNTIFS(Dados!$E:$E,$B214,Dados!$C:$C,INDEX(I$3,1,1),Dados!$A:$A,INDEX($D:$E,MATCH("L",$D:$D,0),2)))</f>
        <v/>
      </c>
      <c r="J214" s="68" t="str">
        <f ca="1">IF(COUNTIFS(Dados!$E:$E,$B214,Dados!$C:$C,INDEX(J$3,1,1),Dados!$A:$A,INDEX($D:$E,MATCH("L",$D:$D,0),2))=0,"",SUMIFS(Dados!$G:$G,Dados!$E:$E,$B214,Dados!$C:$C,INDEX(J$3,1,1),Dados!$A:$A,INDEX($D:$E,MATCH("L",$D:$D,0),2))/COUNTIFS(Dados!$E:$E,$B214,Dados!$C:$C,INDEX(J$3,1,1),Dados!$A:$A,INDEX($D:$E,MATCH("L",$D:$D,0),2)))</f>
        <v/>
      </c>
      <c r="K214" s="68" t="str">
        <f ca="1">IF(COUNTIFS(Dados!$E:$E,$B214,Dados!$C:$C,INDEX(K$3,1,1),Dados!$A:$A,INDEX($D:$E,MATCH("L",$D:$D,0),2))=0,"",SUMIFS(Dados!$G:$G,Dados!$E:$E,$B214,Dados!$C:$C,INDEX(K$3,1,1),Dados!$A:$A,INDEX($D:$E,MATCH("L",$D:$D,0),2))/COUNTIFS(Dados!$E:$E,$B214,Dados!$C:$C,INDEX(K$3,1,1),Dados!$A:$A,INDEX($D:$E,MATCH("L",$D:$D,0),2)))</f>
        <v/>
      </c>
      <c r="L214" s="68" t="str">
        <f ca="1">IF(COUNTIFS(Dados!$E:$E,$B214,Dados!$C:$C,INDEX(L$3,1,1),Dados!$A:$A,INDEX($D:$E,MATCH("L",$D:$D,0),2))=0,"",SUMIFS(Dados!$G:$G,Dados!$E:$E,$B214,Dados!$C:$C,INDEX(L$3,1,1),Dados!$A:$A,INDEX($D:$E,MATCH("L",$D:$D,0),2))/COUNTIFS(Dados!$E:$E,$B214,Dados!$C:$C,INDEX(L$3,1,1),Dados!$A:$A,INDEX($D:$E,MATCH("L",$D:$D,0),2)))</f>
        <v/>
      </c>
      <c r="M214" s="68" t="str">
        <f ca="1">IF(COUNTIFS(Dados!$E:$E,$B214,Dados!$C:$C,INDEX(M$3,1,1),Dados!$A:$A,INDEX($D:$E,MATCH("L",$D:$D,0),2))=0,"",SUMIFS(Dados!$G:$G,Dados!$E:$E,$B214,Dados!$C:$C,INDEX(M$3,1,1),Dados!$A:$A,INDEX($D:$E,MATCH("L",$D:$D,0),2))/COUNTIFS(Dados!$E:$E,$B214,Dados!$C:$C,INDEX(M$3,1,1),Dados!$A:$A,INDEX($D:$E,MATCH("L",$D:$D,0),2)))</f>
        <v/>
      </c>
      <c r="N214" s="68" t="str">
        <f ca="1">IF(COUNTIFS(Dados!$E:$E,$B214,Dados!$C:$C,INDEX(N$3,1,1),Dados!$A:$A,INDEX($D:$E,MATCH("L",$D:$D,0),2))=0,"",SUMIFS(Dados!$G:$G,Dados!$E:$E,$B214,Dados!$C:$C,INDEX(N$3,1,1),Dados!$A:$A,INDEX($D:$E,MATCH("L",$D:$D,0),2))/COUNTIFS(Dados!$E:$E,$B214,Dados!$C:$C,INDEX(N$3,1,1),Dados!$A:$A,INDEX($D:$E,MATCH("L",$D:$D,0),2)))</f>
        <v/>
      </c>
      <c r="O214" s="68" t="str">
        <f ca="1">IF(COUNTIFS(Dados!$E:$E,$B214,Dados!$C:$C,INDEX(O$3,1,1),Dados!$A:$A,INDEX($D:$E,MATCH("L",$D:$D,0),2))=0,"",SUMIFS(Dados!$G:$G,Dados!$E:$E,$B214,Dados!$C:$C,INDEX(O$3,1,1),Dados!$A:$A,INDEX($D:$E,MATCH("L",$D:$D,0),2))/COUNTIFS(Dados!$E:$E,$B214,Dados!$C:$C,INDEX(O$3,1,1),Dados!$A:$A,INDEX($D:$E,MATCH("L",$D:$D,0),2)))</f>
        <v/>
      </c>
      <c r="P214" s="68" t="str">
        <f ca="1">IF(COUNTIFS(Dados!$E:$E,$B214,Dados!$C:$C,INDEX(P$3,1,1),Dados!$A:$A,INDEX($D:$E,MATCH("L",$D:$D,0),2))=0,"",SUMIFS(Dados!$G:$G,Dados!$E:$E,$B214,Dados!$C:$C,INDEX(P$3,1,1),Dados!$A:$A,INDEX($D:$E,MATCH("L",$D:$D,0),2))/COUNTIFS(Dados!$E:$E,$B214,Dados!$C:$C,INDEX(P$3,1,1),Dados!$A:$A,INDEX($D:$E,MATCH("L",$D:$D,0),2)))</f>
        <v/>
      </c>
      <c r="Q214" s="68" t="str">
        <f ca="1">IF(COUNTIFS(Dados!$E:$E,$B214,Dados!$C:$C,INDEX(Q$3,1,1),Dados!$A:$A,INDEX($D:$E,MATCH("L",$D:$D,0),2))=0,"",SUMIFS(Dados!$G:$G,Dados!$E:$E,$B214,Dados!$C:$C,INDEX(Q$3,1,1),Dados!$A:$A,INDEX($D:$E,MATCH("L",$D:$D,0),2))/COUNTIFS(Dados!$E:$E,$B214,Dados!$C:$C,INDEX(Q$3,1,1),Dados!$A:$A,INDEX($D:$E,MATCH("L",$D:$D,0),2)))</f>
        <v/>
      </c>
      <c r="R214" s="68" t="str">
        <f ca="1">IF(COUNTIFS(Dados!$E:$E,$B214,Dados!$C:$C,INDEX(R$3,1,1),Dados!$A:$A,INDEX($D:$E,MATCH("L",$D:$D,0),2))=0,"",SUMIFS(Dados!$G:$G,Dados!$E:$E,$B214,Dados!$C:$C,INDEX(R$3,1,1),Dados!$A:$A,INDEX($D:$E,MATCH("L",$D:$D,0),2))/COUNTIFS(Dados!$E:$E,$B214,Dados!$C:$C,INDEX(R$3,1,1),Dados!$A:$A,INDEX($D:$E,MATCH("L",$D:$D,0),2)))</f>
        <v/>
      </c>
      <c r="S214" s="68" t="str">
        <f ca="1">IF(COUNTIFS(Dados!$E:$E,$B214,Dados!$C:$C,INDEX(S$3,1,1),Dados!$A:$A,INDEX($D:$E,MATCH("L",$D:$D,0),2))=0,"",SUMIFS(Dados!$G:$G,Dados!$E:$E,$B214,Dados!$C:$C,INDEX(S$3,1,1),Dados!$A:$A,INDEX($D:$E,MATCH("L",$D:$D,0),2))/COUNTIFS(Dados!$E:$E,$B214,Dados!$C:$C,INDEX(S$3,1,1),Dados!$A:$A,INDEX($D:$E,MATCH("L",$D:$D,0),2)))</f>
        <v/>
      </c>
      <c r="T214" s="68" t="str">
        <f ca="1">IF(COUNTIFS(Dados!$E:$E,$B214,Dados!$C:$C,INDEX(T$3,1,1),Dados!$A:$A,INDEX($D:$E,MATCH("L",$D:$D,0),2))=0,"",SUMIFS(Dados!$G:$G,Dados!$E:$E,$B214,Dados!$C:$C,INDEX(T$3,1,1),Dados!$A:$A,INDEX($D:$E,MATCH("L",$D:$D,0),2))/COUNTIFS(Dados!$E:$E,$B214,Dados!$C:$C,INDEX(T$3,1,1),Dados!$A:$A,INDEX($D:$E,MATCH("L",$D:$D,0),2)))</f>
        <v/>
      </c>
      <c r="U214" s="68" t="str">
        <f ca="1">IF(COUNTIFS(Dados!$E:$E,$B214,Dados!$C:$C,INDEX(U$3,1,1),Dados!$A:$A,INDEX($D:$E,MATCH("L",$D:$D,0),2))=0,"",SUMIFS(Dados!$G:$G,Dados!$E:$E,$B214,Dados!$C:$C,INDEX(U$3,1,1),Dados!$A:$A,INDEX($D:$E,MATCH("L",$D:$D,0),2))/COUNTIFS(Dados!$E:$E,$B214,Dados!$C:$C,INDEX(U$3,1,1),Dados!$A:$A,INDEX($D:$E,MATCH("L",$D:$D,0),2)))</f>
        <v/>
      </c>
      <c r="V214" s="68" t="str">
        <f ca="1">IF(COUNTIFS(Dados!$E:$E,$B214,Dados!$C:$C,INDEX(V$3,1,1),Dados!$A:$A,INDEX($D:$E,MATCH("L",$D:$D,0),2))=0,"",SUMIFS(Dados!$G:$G,Dados!$E:$E,$B214,Dados!$C:$C,INDEX(V$3,1,1),Dados!$A:$A,INDEX($D:$E,MATCH("L",$D:$D,0),2))/COUNTIFS(Dados!$E:$E,$B214,Dados!$C:$C,INDEX(V$3,1,1),Dados!$A:$A,INDEX($D:$E,MATCH("L",$D:$D,0),2)))</f>
        <v/>
      </c>
    </row>
    <row r="215" spans="2:22" x14ac:dyDescent="0.25">
      <c r="B215" s="65" t="s">
        <v>96</v>
      </c>
      <c r="C215" s="72">
        <f>VLOOKUP(B215,B4:C22,2,0)</f>
        <v>2</v>
      </c>
      <c r="D215" s="66" t="str">
        <f ca="1">IF(COUNTIFS(Dados!$E:$E,$B215,Dados!$C:$C,INDEX(D$3,1,1),Dados!$A:$A,INDEX($D:$E,MATCH("L",$D:$D,0),2))=0,"",SUMIFS(Dados!$G:$G,Dados!$E:$E,$B215,Dados!$C:$C,INDEX(D$3,1,1),Dados!$A:$A,INDEX($D:$E,MATCH("L",$D:$D,0),2))/COUNTIFS(Dados!$E:$E,$B215,Dados!$C:$C,INDEX(D$3,1,1),Dados!$A:$A,INDEX($D:$E,MATCH("L",$D:$D,0),2)))</f>
        <v/>
      </c>
      <c r="E215" s="66" t="str">
        <f ca="1">IF(COUNTIFS(Dados!$E:$E,$B215,Dados!$C:$C,INDEX(E$3,1,1),Dados!$A:$A,INDEX($D:$E,MATCH("L",$D:$D,0),2))=0,"",SUMIFS(Dados!$G:$G,Dados!$E:$E,$B215,Dados!$C:$C,INDEX(E$3,1,1),Dados!$A:$A,INDEX($D:$E,MATCH("L",$D:$D,0),2))/COUNTIFS(Dados!$E:$E,$B215,Dados!$C:$C,INDEX(E$3,1,1),Dados!$A:$A,INDEX($D:$E,MATCH("L",$D:$D,0),2)))</f>
        <v/>
      </c>
      <c r="F215" s="66" t="str">
        <f ca="1">IF(COUNTIFS(Dados!$E:$E,$B215,Dados!$C:$C,INDEX(F$3,1,1),Dados!$A:$A,INDEX($D:$E,MATCH("L",$D:$D,0),2))=0,"",SUMIFS(Dados!$G:$G,Dados!$E:$E,$B215,Dados!$C:$C,INDEX(F$3,1,1),Dados!$A:$A,INDEX($D:$E,MATCH("L",$D:$D,0),2))/COUNTIFS(Dados!$E:$E,$B215,Dados!$C:$C,INDEX(F$3,1,1),Dados!$A:$A,INDEX($D:$E,MATCH("L",$D:$D,0),2)))</f>
        <v/>
      </c>
      <c r="G215" s="66" t="str">
        <f ca="1">IF(COUNTIFS(Dados!$E:$E,$B215,Dados!$C:$C,INDEX(G$3,1,1),Dados!$A:$A,INDEX($D:$E,MATCH("L",$D:$D,0),2))=0,"",SUMIFS(Dados!$G:$G,Dados!$E:$E,$B215,Dados!$C:$C,INDEX(G$3,1,1),Dados!$A:$A,INDEX($D:$E,MATCH("L",$D:$D,0),2))/COUNTIFS(Dados!$E:$E,$B215,Dados!$C:$C,INDEX(G$3,1,1),Dados!$A:$A,INDEX($D:$E,MATCH("L",$D:$D,0),2)))</f>
        <v/>
      </c>
      <c r="H215" s="66" t="str">
        <f ca="1">IF(COUNTIFS(Dados!$E:$E,$B215,Dados!$C:$C,INDEX(H$3,1,1),Dados!$A:$A,INDEX($D:$E,MATCH("L",$D:$D,0),2))=0,"",SUMIFS(Dados!$G:$G,Dados!$E:$E,$B215,Dados!$C:$C,INDEX(H$3,1,1),Dados!$A:$A,INDEX($D:$E,MATCH("L",$D:$D,0),2))/COUNTIFS(Dados!$E:$E,$B215,Dados!$C:$C,INDEX(H$3,1,1),Dados!$A:$A,INDEX($D:$E,MATCH("L",$D:$D,0),2)))</f>
        <v/>
      </c>
      <c r="I215" s="66" t="str">
        <f ca="1">IF(COUNTIFS(Dados!$E:$E,$B215,Dados!$C:$C,INDEX(I$3,1,1),Dados!$A:$A,INDEX($D:$E,MATCH("L",$D:$D,0),2))=0,"",SUMIFS(Dados!$G:$G,Dados!$E:$E,$B215,Dados!$C:$C,INDEX(I$3,1,1),Dados!$A:$A,INDEX($D:$E,MATCH("L",$D:$D,0),2))/COUNTIFS(Dados!$E:$E,$B215,Dados!$C:$C,INDEX(I$3,1,1),Dados!$A:$A,INDEX($D:$E,MATCH("L",$D:$D,0),2)))</f>
        <v/>
      </c>
      <c r="J215" s="66" t="str">
        <f ca="1">IF(COUNTIFS(Dados!$E:$E,$B215,Dados!$C:$C,INDEX(J$3,1,1),Dados!$A:$A,INDEX($D:$E,MATCH("L",$D:$D,0),2))=0,"",SUMIFS(Dados!$G:$G,Dados!$E:$E,$B215,Dados!$C:$C,INDEX(J$3,1,1),Dados!$A:$A,INDEX($D:$E,MATCH("L",$D:$D,0),2))/COUNTIFS(Dados!$E:$E,$B215,Dados!$C:$C,INDEX(J$3,1,1),Dados!$A:$A,INDEX($D:$E,MATCH("L",$D:$D,0),2)))</f>
        <v/>
      </c>
      <c r="K215" s="66" t="str">
        <f ca="1">IF(COUNTIFS(Dados!$E:$E,$B215,Dados!$C:$C,INDEX(K$3,1,1),Dados!$A:$A,INDEX($D:$E,MATCH("L",$D:$D,0),2))=0,"",SUMIFS(Dados!$G:$G,Dados!$E:$E,$B215,Dados!$C:$C,INDEX(K$3,1,1),Dados!$A:$A,INDEX($D:$E,MATCH("L",$D:$D,0),2))/COUNTIFS(Dados!$E:$E,$B215,Dados!$C:$C,INDEX(K$3,1,1),Dados!$A:$A,INDEX($D:$E,MATCH("L",$D:$D,0),2)))</f>
        <v/>
      </c>
      <c r="L215" s="66" t="str">
        <f ca="1">IF(COUNTIFS(Dados!$E:$E,$B215,Dados!$C:$C,INDEX(L$3,1,1),Dados!$A:$A,INDEX($D:$E,MATCH("L",$D:$D,0),2))=0,"",SUMIFS(Dados!$G:$G,Dados!$E:$E,$B215,Dados!$C:$C,INDEX(L$3,1,1),Dados!$A:$A,INDEX($D:$E,MATCH("L",$D:$D,0),2))/COUNTIFS(Dados!$E:$E,$B215,Dados!$C:$C,INDEX(L$3,1,1),Dados!$A:$A,INDEX($D:$E,MATCH("L",$D:$D,0),2)))</f>
        <v/>
      </c>
      <c r="M215" s="66" t="str">
        <f ca="1">IF(COUNTIFS(Dados!$E:$E,$B215,Dados!$C:$C,INDEX(M$3,1,1),Dados!$A:$A,INDEX($D:$E,MATCH("L",$D:$D,0),2))=0,"",SUMIFS(Dados!$G:$G,Dados!$E:$E,$B215,Dados!$C:$C,INDEX(M$3,1,1),Dados!$A:$A,INDEX($D:$E,MATCH("L",$D:$D,0),2))/COUNTIFS(Dados!$E:$E,$B215,Dados!$C:$C,INDEX(M$3,1,1),Dados!$A:$A,INDEX($D:$E,MATCH("L",$D:$D,0),2)))</f>
        <v/>
      </c>
      <c r="N215" s="66" t="str">
        <f ca="1">IF(COUNTIFS(Dados!$E:$E,$B215,Dados!$C:$C,INDEX(N$3,1,1),Dados!$A:$A,INDEX($D:$E,MATCH("L",$D:$D,0),2))=0,"",SUMIFS(Dados!$G:$G,Dados!$E:$E,$B215,Dados!$C:$C,INDEX(N$3,1,1),Dados!$A:$A,INDEX($D:$E,MATCH("L",$D:$D,0),2))/COUNTIFS(Dados!$E:$E,$B215,Dados!$C:$C,INDEX(N$3,1,1),Dados!$A:$A,INDEX($D:$E,MATCH("L",$D:$D,0),2)))</f>
        <v/>
      </c>
      <c r="O215" s="66" t="str">
        <f ca="1">IF(COUNTIFS(Dados!$E:$E,$B215,Dados!$C:$C,INDEX(O$3,1,1),Dados!$A:$A,INDEX($D:$E,MATCH("L",$D:$D,0),2))=0,"",SUMIFS(Dados!$G:$G,Dados!$E:$E,$B215,Dados!$C:$C,INDEX(O$3,1,1),Dados!$A:$A,INDEX($D:$E,MATCH("L",$D:$D,0),2))/COUNTIFS(Dados!$E:$E,$B215,Dados!$C:$C,INDEX(O$3,1,1),Dados!$A:$A,INDEX($D:$E,MATCH("L",$D:$D,0),2)))</f>
        <v/>
      </c>
      <c r="P215" s="66" t="str">
        <f ca="1">IF(COUNTIFS(Dados!$E:$E,$B215,Dados!$C:$C,INDEX(P$3,1,1),Dados!$A:$A,INDEX($D:$E,MATCH("L",$D:$D,0),2))=0,"",SUMIFS(Dados!$G:$G,Dados!$E:$E,$B215,Dados!$C:$C,INDEX(P$3,1,1),Dados!$A:$A,INDEX($D:$E,MATCH("L",$D:$D,0),2))/COUNTIFS(Dados!$E:$E,$B215,Dados!$C:$C,INDEX(P$3,1,1),Dados!$A:$A,INDEX($D:$E,MATCH("L",$D:$D,0),2)))</f>
        <v/>
      </c>
      <c r="Q215" s="66" t="str">
        <f ca="1">IF(COUNTIFS(Dados!$E:$E,$B215,Dados!$C:$C,INDEX(Q$3,1,1),Dados!$A:$A,INDEX($D:$E,MATCH("L",$D:$D,0),2))=0,"",SUMIFS(Dados!$G:$G,Dados!$E:$E,$B215,Dados!$C:$C,INDEX(Q$3,1,1),Dados!$A:$A,INDEX($D:$E,MATCH("L",$D:$D,0),2))/COUNTIFS(Dados!$E:$E,$B215,Dados!$C:$C,INDEX(Q$3,1,1),Dados!$A:$A,INDEX($D:$E,MATCH("L",$D:$D,0),2)))</f>
        <v/>
      </c>
      <c r="R215" s="66" t="str">
        <f ca="1">IF(COUNTIFS(Dados!$E:$E,$B215,Dados!$C:$C,INDEX(R$3,1,1),Dados!$A:$A,INDEX($D:$E,MATCH("L",$D:$D,0),2))=0,"",SUMIFS(Dados!$G:$G,Dados!$E:$E,$B215,Dados!$C:$C,INDEX(R$3,1,1),Dados!$A:$A,INDEX($D:$E,MATCH("L",$D:$D,0),2))/COUNTIFS(Dados!$E:$E,$B215,Dados!$C:$C,INDEX(R$3,1,1),Dados!$A:$A,INDEX($D:$E,MATCH("L",$D:$D,0),2)))</f>
        <v/>
      </c>
      <c r="S215" s="66" t="str">
        <f ca="1">IF(COUNTIFS(Dados!$E:$E,$B215,Dados!$C:$C,INDEX(S$3,1,1),Dados!$A:$A,INDEX($D:$E,MATCH("L",$D:$D,0),2))=0,"",SUMIFS(Dados!$G:$G,Dados!$E:$E,$B215,Dados!$C:$C,INDEX(S$3,1,1),Dados!$A:$A,INDEX($D:$E,MATCH("L",$D:$D,0),2))/COUNTIFS(Dados!$E:$E,$B215,Dados!$C:$C,INDEX(S$3,1,1),Dados!$A:$A,INDEX($D:$E,MATCH("L",$D:$D,0),2)))</f>
        <v/>
      </c>
      <c r="T215" s="66" t="str">
        <f ca="1">IF(COUNTIFS(Dados!$E:$E,$B215,Dados!$C:$C,INDEX(T$3,1,1),Dados!$A:$A,INDEX($D:$E,MATCH("L",$D:$D,0),2))=0,"",SUMIFS(Dados!$G:$G,Dados!$E:$E,$B215,Dados!$C:$C,INDEX(T$3,1,1),Dados!$A:$A,INDEX($D:$E,MATCH("L",$D:$D,0),2))/COUNTIFS(Dados!$E:$E,$B215,Dados!$C:$C,INDEX(T$3,1,1),Dados!$A:$A,INDEX($D:$E,MATCH("L",$D:$D,0),2)))</f>
        <v/>
      </c>
      <c r="U215" s="66" t="str">
        <f ca="1">IF(COUNTIFS(Dados!$E:$E,$B215,Dados!$C:$C,INDEX(U$3,1,1),Dados!$A:$A,INDEX($D:$E,MATCH("L",$D:$D,0),2))=0,"",SUMIFS(Dados!$G:$G,Dados!$E:$E,$B215,Dados!$C:$C,INDEX(U$3,1,1),Dados!$A:$A,INDEX($D:$E,MATCH("L",$D:$D,0),2))/COUNTIFS(Dados!$E:$E,$B215,Dados!$C:$C,INDEX(U$3,1,1),Dados!$A:$A,INDEX($D:$E,MATCH("L",$D:$D,0),2)))</f>
        <v/>
      </c>
      <c r="V215" s="66" t="str">
        <f ca="1">IF(COUNTIFS(Dados!$E:$E,$B215,Dados!$C:$C,INDEX(V$3,1,1),Dados!$A:$A,INDEX($D:$E,MATCH("L",$D:$D,0),2))=0,"",SUMIFS(Dados!$G:$G,Dados!$E:$E,$B215,Dados!$C:$C,INDEX(V$3,1,1),Dados!$A:$A,INDEX($D:$E,MATCH("L",$D:$D,0),2))/COUNTIFS(Dados!$E:$E,$B215,Dados!$C:$C,INDEX(V$3,1,1),Dados!$A:$A,INDEX($D:$E,MATCH("L",$D:$D,0),2)))</f>
        <v/>
      </c>
    </row>
    <row r="216" spans="2:22" x14ac:dyDescent="0.25">
      <c r="B216" s="67" t="s">
        <v>1297</v>
      </c>
      <c r="C216" s="71">
        <f>VLOOKUP(B216,B4:C22,2,0)</f>
        <v>3</v>
      </c>
      <c r="D216" s="68" t="str">
        <f ca="1">IF(COUNTIFS(Dados!$E:$E,$B216,Dados!$C:$C,INDEX(D$3,1,1),Dados!$A:$A,INDEX($D:$E,MATCH("L",$D:$D,0),2))=0,"",SUMIFS(Dados!$G:$G,Dados!$E:$E,$B216,Dados!$C:$C,INDEX(D$3,1,1),Dados!$A:$A,INDEX($D:$E,MATCH("L",$D:$D,0),2))/COUNTIFS(Dados!$E:$E,$B216,Dados!$C:$C,INDEX(D$3,1,1),Dados!$A:$A,INDEX($D:$E,MATCH("L",$D:$D,0),2)))</f>
        <v/>
      </c>
      <c r="E216" s="68" t="str">
        <f ca="1">IF(COUNTIFS(Dados!$E:$E,$B216,Dados!$C:$C,INDEX(E$3,1,1),Dados!$A:$A,INDEX($D:$E,MATCH("L",$D:$D,0),2))=0,"",SUMIFS(Dados!$G:$G,Dados!$E:$E,$B216,Dados!$C:$C,INDEX(E$3,1,1),Dados!$A:$A,INDEX($D:$E,MATCH("L",$D:$D,0),2))/COUNTIFS(Dados!$E:$E,$B216,Dados!$C:$C,INDEX(E$3,1,1),Dados!$A:$A,INDEX($D:$E,MATCH("L",$D:$D,0),2)))</f>
        <v/>
      </c>
      <c r="F216" s="68" t="str">
        <f ca="1">IF(COUNTIFS(Dados!$E:$E,$B216,Dados!$C:$C,INDEX(F$3,1,1),Dados!$A:$A,INDEX($D:$E,MATCH("L",$D:$D,0),2))=0,"",SUMIFS(Dados!$G:$G,Dados!$E:$E,$B216,Dados!$C:$C,INDEX(F$3,1,1),Dados!$A:$A,INDEX($D:$E,MATCH("L",$D:$D,0),2))/COUNTIFS(Dados!$E:$E,$B216,Dados!$C:$C,INDEX(F$3,1,1),Dados!$A:$A,INDEX($D:$E,MATCH("L",$D:$D,0),2)))</f>
        <v/>
      </c>
      <c r="G216" s="68" t="str">
        <f ca="1">IF(COUNTIFS(Dados!$E:$E,$B216,Dados!$C:$C,INDEX(G$3,1,1),Dados!$A:$A,INDEX($D:$E,MATCH("L",$D:$D,0),2))=0,"",SUMIFS(Dados!$G:$G,Dados!$E:$E,$B216,Dados!$C:$C,INDEX(G$3,1,1),Dados!$A:$A,INDEX($D:$E,MATCH("L",$D:$D,0),2))/COUNTIFS(Dados!$E:$E,$B216,Dados!$C:$C,INDEX(G$3,1,1),Dados!$A:$A,INDEX($D:$E,MATCH("L",$D:$D,0),2)))</f>
        <v/>
      </c>
      <c r="H216" s="68" t="str">
        <f ca="1">IF(COUNTIFS(Dados!$E:$E,$B216,Dados!$C:$C,INDEX(H$3,1,1),Dados!$A:$A,INDEX($D:$E,MATCH("L",$D:$D,0),2))=0,"",SUMIFS(Dados!$G:$G,Dados!$E:$E,$B216,Dados!$C:$C,INDEX(H$3,1,1),Dados!$A:$A,INDEX($D:$E,MATCH("L",$D:$D,0),2))/COUNTIFS(Dados!$E:$E,$B216,Dados!$C:$C,INDEX(H$3,1,1),Dados!$A:$A,INDEX($D:$E,MATCH("L",$D:$D,0),2)))</f>
        <v/>
      </c>
      <c r="I216" s="68" t="str">
        <f ca="1">IF(COUNTIFS(Dados!$E:$E,$B216,Dados!$C:$C,INDEX(I$3,1,1),Dados!$A:$A,INDEX($D:$E,MATCH("L",$D:$D,0),2))=0,"",SUMIFS(Dados!$G:$G,Dados!$E:$E,$B216,Dados!$C:$C,INDEX(I$3,1,1),Dados!$A:$A,INDEX($D:$E,MATCH("L",$D:$D,0),2))/COUNTIFS(Dados!$E:$E,$B216,Dados!$C:$C,INDEX(I$3,1,1),Dados!$A:$A,INDEX($D:$E,MATCH("L",$D:$D,0),2)))</f>
        <v/>
      </c>
      <c r="J216" s="68" t="str">
        <f ca="1">IF(COUNTIFS(Dados!$E:$E,$B216,Dados!$C:$C,INDEX(J$3,1,1),Dados!$A:$A,INDEX($D:$E,MATCH("L",$D:$D,0),2))=0,"",SUMIFS(Dados!$G:$G,Dados!$E:$E,$B216,Dados!$C:$C,INDEX(J$3,1,1),Dados!$A:$A,INDEX($D:$E,MATCH("L",$D:$D,0),2))/COUNTIFS(Dados!$E:$E,$B216,Dados!$C:$C,INDEX(J$3,1,1),Dados!$A:$A,INDEX($D:$E,MATCH("L",$D:$D,0),2)))</f>
        <v/>
      </c>
      <c r="K216" s="68" t="str">
        <f ca="1">IF(COUNTIFS(Dados!$E:$E,$B216,Dados!$C:$C,INDEX(K$3,1,1),Dados!$A:$A,INDEX($D:$E,MATCH("L",$D:$D,0),2))=0,"",SUMIFS(Dados!$G:$G,Dados!$E:$E,$B216,Dados!$C:$C,INDEX(K$3,1,1),Dados!$A:$A,INDEX($D:$E,MATCH("L",$D:$D,0),2))/COUNTIFS(Dados!$E:$E,$B216,Dados!$C:$C,INDEX(K$3,1,1),Dados!$A:$A,INDEX($D:$E,MATCH("L",$D:$D,0),2)))</f>
        <v/>
      </c>
      <c r="L216" s="68" t="str">
        <f ca="1">IF(COUNTIFS(Dados!$E:$E,$B216,Dados!$C:$C,INDEX(L$3,1,1),Dados!$A:$A,INDEX($D:$E,MATCH("L",$D:$D,0),2))=0,"",SUMIFS(Dados!$G:$G,Dados!$E:$E,$B216,Dados!$C:$C,INDEX(L$3,1,1),Dados!$A:$A,INDEX($D:$E,MATCH("L",$D:$D,0),2))/COUNTIFS(Dados!$E:$E,$B216,Dados!$C:$C,INDEX(L$3,1,1),Dados!$A:$A,INDEX($D:$E,MATCH("L",$D:$D,0),2)))</f>
        <v/>
      </c>
      <c r="M216" s="68" t="str">
        <f ca="1">IF(COUNTIFS(Dados!$E:$E,$B216,Dados!$C:$C,INDEX(M$3,1,1),Dados!$A:$A,INDEX($D:$E,MATCH("L",$D:$D,0),2))=0,"",SUMIFS(Dados!$G:$G,Dados!$E:$E,$B216,Dados!$C:$C,INDEX(M$3,1,1),Dados!$A:$A,INDEX($D:$E,MATCH("L",$D:$D,0),2))/COUNTIFS(Dados!$E:$E,$B216,Dados!$C:$C,INDEX(M$3,1,1),Dados!$A:$A,INDEX($D:$E,MATCH("L",$D:$D,0),2)))</f>
        <v/>
      </c>
      <c r="N216" s="68" t="str">
        <f ca="1">IF(COUNTIFS(Dados!$E:$E,$B216,Dados!$C:$C,INDEX(N$3,1,1),Dados!$A:$A,INDEX($D:$E,MATCH("L",$D:$D,0),2))=0,"",SUMIFS(Dados!$G:$G,Dados!$E:$E,$B216,Dados!$C:$C,INDEX(N$3,1,1),Dados!$A:$A,INDEX($D:$E,MATCH("L",$D:$D,0),2))/COUNTIFS(Dados!$E:$E,$B216,Dados!$C:$C,INDEX(N$3,1,1),Dados!$A:$A,INDEX($D:$E,MATCH("L",$D:$D,0),2)))</f>
        <v/>
      </c>
      <c r="O216" s="68" t="str">
        <f ca="1">IF(COUNTIFS(Dados!$E:$E,$B216,Dados!$C:$C,INDEX(O$3,1,1),Dados!$A:$A,INDEX($D:$E,MATCH("L",$D:$D,0),2))=0,"",SUMIFS(Dados!$G:$G,Dados!$E:$E,$B216,Dados!$C:$C,INDEX(O$3,1,1),Dados!$A:$A,INDEX($D:$E,MATCH("L",$D:$D,0),2))/COUNTIFS(Dados!$E:$E,$B216,Dados!$C:$C,INDEX(O$3,1,1),Dados!$A:$A,INDEX($D:$E,MATCH("L",$D:$D,0),2)))</f>
        <v/>
      </c>
      <c r="P216" s="68" t="str">
        <f ca="1">IF(COUNTIFS(Dados!$E:$E,$B216,Dados!$C:$C,INDEX(P$3,1,1),Dados!$A:$A,INDEX($D:$E,MATCH("L",$D:$D,0),2))=0,"",SUMIFS(Dados!$G:$G,Dados!$E:$E,$B216,Dados!$C:$C,INDEX(P$3,1,1),Dados!$A:$A,INDEX($D:$E,MATCH("L",$D:$D,0),2))/COUNTIFS(Dados!$E:$E,$B216,Dados!$C:$C,INDEX(P$3,1,1),Dados!$A:$A,INDEX($D:$E,MATCH("L",$D:$D,0),2)))</f>
        <v/>
      </c>
      <c r="Q216" s="68" t="str">
        <f ca="1">IF(COUNTIFS(Dados!$E:$E,$B216,Dados!$C:$C,INDEX(Q$3,1,1),Dados!$A:$A,INDEX($D:$E,MATCH("L",$D:$D,0),2))=0,"",SUMIFS(Dados!$G:$G,Dados!$E:$E,$B216,Dados!$C:$C,INDEX(Q$3,1,1),Dados!$A:$A,INDEX($D:$E,MATCH("L",$D:$D,0),2))/COUNTIFS(Dados!$E:$E,$B216,Dados!$C:$C,INDEX(Q$3,1,1),Dados!$A:$A,INDEX($D:$E,MATCH("L",$D:$D,0),2)))</f>
        <v/>
      </c>
      <c r="R216" s="68" t="str">
        <f ca="1">IF(COUNTIFS(Dados!$E:$E,$B216,Dados!$C:$C,INDEX(R$3,1,1),Dados!$A:$A,INDEX($D:$E,MATCH("L",$D:$D,0),2))=0,"",SUMIFS(Dados!$G:$G,Dados!$E:$E,$B216,Dados!$C:$C,INDEX(R$3,1,1),Dados!$A:$A,INDEX($D:$E,MATCH("L",$D:$D,0),2))/COUNTIFS(Dados!$E:$E,$B216,Dados!$C:$C,INDEX(R$3,1,1),Dados!$A:$A,INDEX($D:$E,MATCH("L",$D:$D,0),2)))</f>
        <v/>
      </c>
      <c r="S216" s="68" t="str">
        <f ca="1">IF(COUNTIFS(Dados!$E:$E,$B216,Dados!$C:$C,INDEX(S$3,1,1),Dados!$A:$A,INDEX($D:$E,MATCH("L",$D:$D,0),2))=0,"",SUMIFS(Dados!$G:$G,Dados!$E:$E,$B216,Dados!$C:$C,INDEX(S$3,1,1),Dados!$A:$A,INDEX($D:$E,MATCH("L",$D:$D,0),2))/COUNTIFS(Dados!$E:$E,$B216,Dados!$C:$C,INDEX(S$3,1,1),Dados!$A:$A,INDEX($D:$E,MATCH("L",$D:$D,0),2)))</f>
        <v/>
      </c>
      <c r="T216" s="68" t="str">
        <f ca="1">IF(COUNTIFS(Dados!$E:$E,$B216,Dados!$C:$C,INDEX(T$3,1,1),Dados!$A:$A,INDEX($D:$E,MATCH("L",$D:$D,0),2))=0,"",SUMIFS(Dados!$G:$G,Dados!$E:$E,$B216,Dados!$C:$C,INDEX(T$3,1,1),Dados!$A:$A,INDEX($D:$E,MATCH("L",$D:$D,0),2))/COUNTIFS(Dados!$E:$E,$B216,Dados!$C:$C,INDEX(T$3,1,1),Dados!$A:$A,INDEX($D:$E,MATCH("L",$D:$D,0),2)))</f>
        <v/>
      </c>
      <c r="U216" s="68" t="str">
        <f ca="1">IF(COUNTIFS(Dados!$E:$E,$B216,Dados!$C:$C,INDEX(U$3,1,1),Dados!$A:$A,INDEX($D:$E,MATCH("L",$D:$D,0),2))=0,"",SUMIFS(Dados!$G:$G,Dados!$E:$E,$B216,Dados!$C:$C,INDEX(U$3,1,1),Dados!$A:$A,INDEX($D:$E,MATCH("L",$D:$D,0),2))/COUNTIFS(Dados!$E:$E,$B216,Dados!$C:$C,INDEX(U$3,1,1),Dados!$A:$A,INDEX($D:$E,MATCH("L",$D:$D,0),2)))</f>
        <v/>
      </c>
      <c r="V216" s="68" t="str">
        <f ca="1">IF(COUNTIFS(Dados!$E:$E,$B216,Dados!$C:$C,INDEX(V$3,1,1),Dados!$A:$A,INDEX($D:$E,MATCH("L",$D:$D,0),2))=0,"",SUMIFS(Dados!$G:$G,Dados!$E:$E,$B216,Dados!$C:$C,INDEX(V$3,1,1),Dados!$A:$A,INDEX($D:$E,MATCH("L",$D:$D,0),2))/COUNTIFS(Dados!$E:$E,$B216,Dados!$C:$C,INDEX(V$3,1,1),Dados!$A:$A,INDEX($D:$E,MATCH("L",$D:$D,0),2)))</f>
        <v/>
      </c>
    </row>
    <row r="217" spans="2:22" x14ac:dyDescent="0.25">
      <c r="B217" s="65" t="s">
        <v>1303</v>
      </c>
      <c r="C217" s="72">
        <f>VLOOKUP(B217,B4:C22,2,0)</f>
        <v>4</v>
      </c>
      <c r="D217" s="66" t="str">
        <f ca="1">IF(COUNTIFS(Dados!$E:$E,$B217,Dados!$C:$C,INDEX(D$3,1,1),Dados!$A:$A,INDEX($D:$E,MATCH("L",$D:$D,0),2))=0,"",SUMIFS(Dados!$G:$G,Dados!$E:$E,$B217,Dados!$C:$C,INDEX(D$3,1,1),Dados!$A:$A,INDEX($D:$E,MATCH("L",$D:$D,0),2))/COUNTIFS(Dados!$E:$E,$B217,Dados!$C:$C,INDEX(D$3,1,1),Dados!$A:$A,INDEX($D:$E,MATCH("L",$D:$D,0),2)))</f>
        <v/>
      </c>
      <c r="E217" s="66" t="str">
        <f ca="1">IF(COUNTIFS(Dados!$E:$E,$B217,Dados!$C:$C,INDEX(E$3,1,1),Dados!$A:$A,INDEX($D:$E,MATCH("L",$D:$D,0),2))=0,"",SUMIFS(Dados!$G:$G,Dados!$E:$E,$B217,Dados!$C:$C,INDEX(E$3,1,1),Dados!$A:$A,INDEX($D:$E,MATCH("L",$D:$D,0),2))/COUNTIFS(Dados!$E:$E,$B217,Dados!$C:$C,INDEX(E$3,1,1),Dados!$A:$A,INDEX($D:$E,MATCH("L",$D:$D,0),2)))</f>
        <v/>
      </c>
      <c r="F217" s="66" t="str">
        <f ca="1">IF(COUNTIFS(Dados!$E:$E,$B217,Dados!$C:$C,INDEX(F$3,1,1),Dados!$A:$A,INDEX($D:$E,MATCH("L",$D:$D,0),2))=0,"",SUMIFS(Dados!$G:$G,Dados!$E:$E,$B217,Dados!$C:$C,INDEX(F$3,1,1),Dados!$A:$A,INDEX($D:$E,MATCH("L",$D:$D,0),2))/COUNTIFS(Dados!$E:$E,$B217,Dados!$C:$C,INDEX(F$3,1,1),Dados!$A:$A,INDEX($D:$E,MATCH("L",$D:$D,0),2)))</f>
        <v/>
      </c>
      <c r="G217" s="66" t="str">
        <f ca="1">IF(COUNTIFS(Dados!$E:$E,$B217,Dados!$C:$C,INDEX(G$3,1,1),Dados!$A:$A,INDEX($D:$E,MATCH("L",$D:$D,0),2))=0,"",SUMIFS(Dados!$G:$G,Dados!$E:$E,$B217,Dados!$C:$C,INDEX(G$3,1,1),Dados!$A:$A,INDEX($D:$E,MATCH("L",$D:$D,0),2))/COUNTIFS(Dados!$E:$E,$B217,Dados!$C:$C,INDEX(G$3,1,1),Dados!$A:$A,INDEX($D:$E,MATCH("L",$D:$D,0),2)))</f>
        <v/>
      </c>
      <c r="H217" s="66" t="str">
        <f ca="1">IF(COUNTIFS(Dados!$E:$E,$B217,Dados!$C:$C,INDEX(H$3,1,1),Dados!$A:$A,INDEX($D:$E,MATCH("L",$D:$D,0),2))=0,"",SUMIFS(Dados!$G:$G,Dados!$E:$E,$B217,Dados!$C:$C,INDEX(H$3,1,1),Dados!$A:$A,INDEX($D:$E,MATCH("L",$D:$D,0),2))/COUNTIFS(Dados!$E:$E,$B217,Dados!$C:$C,INDEX(H$3,1,1),Dados!$A:$A,INDEX($D:$E,MATCH("L",$D:$D,0),2)))</f>
        <v/>
      </c>
      <c r="I217" s="66" t="str">
        <f ca="1">IF(COUNTIFS(Dados!$E:$E,$B217,Dados!$C:$C,INDEX(I$3,1,1),Dados!$A:$A,INDEX($D:$E,MATCH("L",$D:$D,0),2))=0,"",SUMIFS(Dados!$G:$G,Dados!$E:$E,$B217,Dados!$C:$C,INDEX(I$3,1,1),Dados!$A:$A,INDEX($D:$E,MATCH("L",$D:$D,0),2))/COUNTIFS(Dados!$E:$E,$B217,Dados!$C:$C,INDEX(I$3,1,1),Dados!$A:$A,INDEX($D:$E,MATCH("L",$D:$D,0),2)))</f>
        <v/>
      </c>
      <c r="J217" s="66" t="str">
        <f ca="1">IF(COUNTIFS(Dados!$E:$E,$B217,Dados!$C:$C,INDEX(J$3,1,1),Dados!$A:$A,INDEX($D:$E,MATCH("L",$D:$D,0),2))=0,"",SUMIFS(Dados!$G:$G,Dados!$E:$E,$B217,Dados!$C:$C,INDEX(J$3,1,1),Dados!$A:$A,INDEX($D:$E,MATCH("L",$D:$D,0),2))/COUNTIFS(Dados!$E:$E,$B217,Dados!$C:$C,INDEX(J$3,1,1),Dados!$A:$A,INDEX($D:$E,MATCH("L",$D:$D,0),2)))</f>
        <v/>
      </c>
      <c r="K217" s="66" t="str">
        <f ca="1">IF(COUNTIFS(Dados!$E:$E,$B217,Dados!$C:$C,INDEX(K$3,1,1),Dados!$A:$A,INDEX($D:$E,MATCH("L",$D:$D,0),2))=0,"",SUMIFS(Dados!$G:$G,Dados!$E:$E,$B217,Dados!$C:$C,INDEX(K$3,1,1),Dados!$A:$A,INDEX($D:$E,MATCH("L",$D:$D,0),2))/COUNTIFS(Dados!$E:$E,$B217,Dados!$C:$C,INDEX(K$3,1,1),Dados!$A:$A,INDEX($D:$E,MATCH("L",$D:$D,0),2)))</f>
        <v/>
      </c>
      <c r="L217" s="66" t="str">
        <f ca="1">IF(COUNTIFS(Dados!$E:$E,$B217,Dados!$C:$C,INDEX(L$3,1,1),Dados!$A:$A,INDEX($D:$E,MATCH("L",$D:$D,0),2))=0,"",SUMIFS(Dados!$G:$G,Dados!$E:$E,$B217,Dados!$C:$C,INDEX(L$3,1,1),Dados!$A:$A,INDEX($D:$E,MATCH("L",$D:$D,0),2))/COUNTIFS(Dados!$E:$E,$B217,Dados!$C:$C,INDEX(L$3,1,1),Dados!$A:$A,INDEX($D:$E,MATCH("L",$D:$D,0),2)))</f>
        <v/>
      </c>
      <c r="M217" s="66" t="str">
        <f ca="1">IF(COUNTIFS(Dados!$E:$E,$B217,Dados!$C:$C,INDEX(M$3,1,1),Dados!$A:$A,INDEX($D:$E,MATCH("L",$D:$D,0),2))=0,"",SUMIFS(Dados!$G:$G,Dados!$E:$E,$B217,Dados!$C:$C,INDEX(M$3,1,1),Dados!$A:$A,INDEX($D:$E,MATCH("L",$D:$D,0),2))/COUNTIFS(Dados!$E:$E,$B217,Dados!$C:$C,INDEX(M$3,1,1),Dados!$A:$A,INDEX($D:$E,MATCH("L",$D:$D,0),2)))</f>
        <v/>
      </c>
      <c r="N217" s="66" t="str">
        <f ca="1">IF(COUNTIFS(Dados!$E:$E,$B217,Dados!$C:$C,INDEX(N$3,1,1),Dados!$A:$A,INDEX($D:$E,MATCH("L",$D:$D,0),2))=0,"",SUMIFS(Dados!$G:$G,Dados!$E:$E,$B217,Dados!$C:$C,INDEX(N$3,1,1),Dados!$A:$A,INDEX($D:$E,MATCH("L",$D:$D,0),2))/COUNTIFS(Dados!$E:$E,$B217,Dados!$C:$C,INDEX(N$3,1,1),Dados!$A:$A,INDEX($D:$E,MATCH("L",$D:$D,0),2)))</f>
        <v/>
      </c>
      <c r="O217" s="66" t="str">
        <f ca="1">IF(COUNTIFS(Dados!$E:$E,$B217,Dados!$C:$C,INDEX(O$3,1,1),Dados!$A:$A,INDEX($D:$E,MATCH("L",$D:$D,0),2))=0,"",SUMIFS(Dados!$G:$G,Dados!$E:$E,$B217,Dados!$C:$C,INDEX(O$3,1,1),Dados!$A:$A,INDEX($D:$E,MATCH("L",$D:$D,0),2))/COUNTIFS(Dados!$E:$E,$B217,Dados!$C:$C,INDEX(O$3,1,1),Dados!$A:$A,INDEX($D:$E,MATCH("L",$D:$D,0),2)))</f>
        <v/>
      </c>
      <c r="P217" s="66" t="str">
        <f ca="1">IF(COUNTIFS(Dados!$E:$E,$B217,Dados!$C:$C,INDEX(P$3,1,1),Dados!$A:$A,INDEX($D:$E,MATCH("L",$D:$D,0),2))=0,"",SUMIFS(Dados!$G:$G,Dados!$E:$E,$B217,Dados!$C:$C,INDEX(P$3,1,1),Dados!$A:$A,INDEX($D:$E,MATCH("L",$D:$D,0),2))/COUNTIFS(Dados!$E:$E,$B217,Dados!$C:$C,INDEX(P$3,1,1),Dados!$A:$A,INDEX($D:$E,MATCH("L",$D:$D,0),2)))</f>
        <v/>
      </c>
      <c r="Q217" s="66" t="str">
        <f ca="1">IF(COUNTIFS(Dados!$E:$E,$B217,Dados!$C:$C,INDEX(Q$3,1,1),Dados!$A:$A,INDEX($D:$E,MATCH("L",$D:$D,0),2))=0,"",SUMIFS(Dados!$G:$G,Dados!$E:$E,$B217,Dados!$C:$C,INDEX(Q$3,1,1),Dados!$A:$A,INDEX($D:$E,MATCH("L",$D:$D,0),2))/COUNTIFS(Dados!$E:$E,$B217,Dados!$C:$C,INDEX(Q$3,1,1),Dados!$A:$A,INDEX($D:$E,MATCH("L",$D:$D,0),2)))</f>
        <v/>
      </c>
      <c r="R217" s="66" t="str">
        <f ca="1">IF(COUNTIFS(Dados!$E:$E,$B217,Dados!$C:$C,INDEX(R$3,1,1),Dados!$A:$A,INDEX($D:$E,MATCH("L",$D:$D,0),2))=0,"",SUMIFS(Dados!$G:$G,Dados!$E:$E,$B217,Dados!$C:$C,INDEX(R$3,1,1),Dados!$A:$A,INDEX($D:$E,MATCH("L",$D:$D,0),2))/COUNTIFS(Dados!$E:$E,$B217,Dados!$C:$C,INDEX(R$3,1,1),Dados!$A:$A,INDEX($D:$E,MATCH("L",$D:$D,0),2)))</f>
        <v/>
      </c>
      <c r="S217" s="66" t="str">
        <f ca="1">IF(COUNTIFS(Dados!$E:$E,$B217,Dados!$C:$C,INDEX(S$3,1,1),Dados!$A:$A,INDEX($D:$E,MATCH("L",$D:$D,0),2))=0,"",SUMIFS(Dados!$G:$G,Dados!$E:$E,$B217,Dados!$C:$C,INDEX(S$3,1,1),Dados!$A:$A,INDEX($D:$E,MATCH("L",$D:$D,0),2))/COUNTIFS(Dados!$E:$E,$B217,Dados!$C:$C,INDEX(S$3,1,1),Dados!$A:$A,INDEX($D:$E,MATCH("L",$D:$D,0),2)))</f>
        <v/>
      </c>
      <c r="T217" s="66" t="str">
        <f ca="1">IF(COUNTIFS(Dados!$E:$E,$B217,Dados!$C:$C,INDEX(T$3,1,1),Dados!$A:$A,INDEX($D:$E,MATCH("L",$D:$D,0),2))=0,"",SUMIFS(Dados!$G:$G,Dados!$E:$E,$B217,Dados!$C:$C,INDEX(T$3,1,1),Dados!$A:$A,INDEX($D:$E,MATCH("L",$D:$D,0),2))/COUNTIFS(Dados!$E:$E,$B217,Dados!$C:$C,INDEX(T$3,1,1),Dados!$A:$A,INDEX($D:$E,MATCH("L",$D:$D,0),2)))</f>
        <v/>
      </c>
      <c r="U217" s="66" t="str">
        <f ca="1">IF(COUNTIFS(Dados!$E:$E,$B217,Dados!$C:$C,INDEX(U$3,1,1),Dados!$A:$A,INDEX($D:$E,MATCH("L",$D:$D,0),2))=0,"",SUMIFS(Dados!$G:$G,Dados!$E:$E,$B217,Dados!$C:$C,INDEX(U$3,1,1),Dados!$A:$A,INDEX($D:$E,MATCH("L",$D:$D,0),2))/COUNTIFS(Dados!$E:$E,$B217,Dados!$C:$C,INDEX(U$3,1,1),Dados!$A:$A,INDEX($D:$E,MATCH("L",$D:$D,0),2)))</f>
        <v/>
      </c>
      <c r="V217" s="66" t="str">
        <f ca="1">IF(COUNTIFS(Dados!$E:$E,$B217,Dados!$C:$C,INDEX(V$3,1,1),Dados!$A:$A,INDEX($D:$E,MATCH("L",$D:$D,0),2))=0,"",SUMIFS(Dados!$G:$G,Dados!$E:$E,$B217,Dados!$C:$C,INDEX(V$3,1,1),Dados!$A:$A,INDEX($D:$E,MATCH("L",$D:$D,0),2))/COUNTIFS(Dados!$E:$E,$B217,Dados!$C:$C,INDEX(V$3,1,1),Dados!$A:$A,INDEX($D:$E,MATCH("L",$D:$D,0),2)))</f>
        <v/>
      </c>
    </row>
    <row r="218" spans="2:22" x14ac:dyDescent="0.25">
      <c r="B218" s="67" t="s">
        <v>1304</v>
      </c>
      <c r="C218" s="71">
        <f>VLOOKUP(B218,B4:C22,2,0)</f>
        <v>5</v>
      </c>
      <c r="D218" s="68" t="str">
        <f ca="1">IF(COUNTIFS(Dados!$E:$E,$B218,Dados!$C:$C,INDEX(D$3,1,1),Dados!$A:$A,INDEX($D:$E,MATCH("L",$D:$D,0),2))=0,"",SUMIFS(Dados!$G:$G,Dados!$E:$E,$B218,Dados!$C:$C,INDEX(D$3,1,1),Dados!$A:$A,INDEX($D:$E,MATCH("L",$D:$D,0),2))/COUNTIFS(Dados!$E:$E,$B218,Dados!$C:$C,INDEX(D$3,1,1),Dados!$A:$A,INDEX($D:$E,MATCH("L",$D:$D,0),2)))</f>
        <v/>
      </c>
      <c r="E218" s="68" t="str">
        <f ca="1">IF(COUNTIFS(Dados!$E:$E,$B218,Dados!$C:$C,INDEX(E$3,1,1),Dados!$A:$A,INDEX($D:$E,MATCH("L",$D:$D,0),2))=0,"",SUMIFS(Dados!$G:$G,Dados!$E:$E,$B218,Dados!$C:$C,INDEX(E$3,1,1),Dados!$A:$A,INDEX($D:$E,MATCH("L",$D:$D,0),2))/COUNTIFS(Dados!$E:$E,$B218,Dados!$C:$C,INDEX(E$3,1,1),Dados!$A:$A,INDEX($D:$E,MATCH("L",$D:$D,0),2)))</f>
        <v/>
      </c>
      <c r="F218" s="68" t="str">
        <f ca="1">IF(COUNTIFS(Dados!$E:$E,$B218,Dados!$C:$C,INDEX(F$3,1,1),Dados!$A:$A,INDEX($D:$E,MATCH("L",$D:$D,0),2))=0,"",SUMIFS(Dados!$G:$G,Dados!$E:$E,$B218,Dados!$C:$C,INDEX(F$3,1,1),Dados!$A:$A,INDEX($D:$E,MATCH("L",$D:$D,0),2))/COUNTIFS(Dados!$E:$E,$B218,Dados!$C:$C,INDEX(F$3,1,1),Dados!$A:$A,INDEX($D:$E,MATCH("L",$D:$D,0),2)))</f>
        <v/>
      </c>
      <c r="G218" s="68" t="str">
        <f ca="1">IF(COUNTIFS(Dados!$E:$E,$B218,Dados!$C:$C,INDEX(G$3,1,1),Dados!$A:$A,INDEX($D:$E,MATCH("L",$D:$D,0),2))=0,"",SUMIFS(Dados!$G:$G,Dados!$E:$E,$B218,Dados!$C:$C,INDEX(G$3,1,1),Dados!$A:$A,INDEX($D:$E,MATCH("L",$D:$D,0),2))/COUNTIFS(Dados!$E:$E,$B218,Dados!$C:$C,INDEX(G$3,1,1),Dados!$A:$A,INDEX($D:$E,MATCH("L",$D:$D,0),2)))</f>
        <v/>
      </c>
      <c r="H218" s="68" t="str">
        <f ca="1">IF(COUNTIFS(Dados!$E:$E,$B218,Dados!$C:$C,INDEX(H$3,1,1),Dados!$A:$A,INDEX($D:$E,MATCH("L",$D:$D,0),2))=0,"",SUMIFS(Dados!$G:$G,Dados!$E:$E,$B218,Dados!$C:$C,INDEX(H$3,1,1),Dados!$A:$A,INDEX($D:$E,MATCH("L",$D:$D,0),2))/COUNTIFS(Dados!$E:$E,$B218,Dados!$C:$C,INDEX(H$3,1,1),Dados!$A:$A,INDEX($D:$E,MATCH("L",$D:$D,0),2)))</f>
        <v/>
      </c>
      <c r="I218" s="68" t="str">
        <f ca="1">IF(COUNTIFS(Dados!$E:$E,$B218,Dados!$C:$C,INDEX(I$3,1,1),Dados!$A:$A,INDEX($D:$E,MATCH("L",$D:$D,0),2))=0,"",SUMIFS(Dados!$G:$G,Dados!$E:$E,$B218,Dados!$C:$C,INDEX(I$3,1,1),Dados!$A:$A,INDEX($D:$E,MATCH("L",$D:$D,0),2))/COUNTIFS(Dados!$E:$E,$B218,Dados!$C:$C,INDEX(I$3,1,1),Dados!$A:$A,INDEX($D:$E,MATCH("L",$D:$D,0),2)))</f>
        <v/>
      </c>
      <c r="J218" s="68" t="str">
        <f ca="1">IF(COUNTIFS(Dados!$E:$E,$B218,Dados!$C:$C,INDEX(J$3,1,1),Dados!$A:$A,INDEX($D:$E,MATCH("L",$D:$D,0),2))=0,"",SUMIFS(Dados!$G:$G,Dados!$E:$E,$B218,Dados!$C:$C,INDEX(J$3,1,1),Dados!$A:$A,INDEX($D:$E,MATCH("L",$D:$D,0),2))/COUNTIFS(Dados!$E:$E,$B218,Dados!$C:$C,INDEX(J$3,1,1),Dados!$A:$A,INDEX($D:$E,MATCH("L",$D:$D,0),2)))</f>
        <v/>
      </c>
      <c r="K218" s="68" t="str">
        <f ca="1">IF(COUNTIFS(Dados!$E:$E,$B218,Dados!$C:$C,INDEX(K$3,1,1),Dados!$A:$A,INDEX($D:$E,MATCH("L",$D:$D,0),2))=0,"",SUMIFS(Dados!$G:$G,Dados!$E:$E,$B218,Dados!$C:$C,INDEX(K$3,1,1),Dados!$A:$A,INDEX($D:$E,MATCH("L",$D:$D,0),2))/COUNTIFS(Dados!$E:$E,$B218,Dados!$C:$C,INDEX(K$3,1,1),Dados!$A:$A,INDEX($D:$E,MATCH("L",$D:$D,0),2)))</f>
        <v/>
      </c>
      <c r="L218" s="68" t="str">
        <f ca="1">IF(COUNTIFS(Dados!$E:$E,$B218,Dados!$C:$C,INDEX(L$3,1,1),Dados!$A:$A,INDEX($D:$E,MATCH("L",$D:$D,0),2))=0,"",SUMIFS(Dados!$G:$G,Dados!$E:$E,$B218,Dados!$C:$C,INDEX(L$3,1,1),Dados!$A:$A,INDEX($D:$E,MATCH("L",$D:$D,0),2))/COUNTIFS(Dados!$E:$E,$B218,Dados!$C:$C,INDEX(L$3,1,1),Dados!$A:$A,INDEX($D:$E,MATCH("L",$D:$D,0),2)))</f>
        <v/>
      </c>
      <c r="M218" s="68" t="str">
        <f ca="1">IF(COUNTIFS(Dados!$E:$E,$B218,Dados!$C:$C,INDEX(M$3,1,1),Dados!$A:$A,INDEX($D:$E,MATCH("L",$D:$D,0),2))=0,"",SUMIFS(Dados!$G:$G,Dados!$E:$E,$B218,Dados!$C:$C,INDEX(M$3,1,1),Dados!$A:$A,INDEX($D:$E,MATCH("L",$D:$D,0),2))/COUNTIFS(Dados!$E:$E,$B218,Dados!$C:$C,INDEX(M$3,1,1),Dados!$A:$A,INDEX($D:$E,MATCH("L",$D:$D,0),2)))</f>
        <v/>
      </c>
      <c r="N218" s="68" t="str">
        <f ca="1">IF(COUNTIFS(Dados!$E:$E,$B218,Dados!$C:$C,INDEX(N$3,1,1),Dados!$A:$A,INDEX($D:$E,MATCH("L",$D:$D,0),2))=0,"",SUMIFS(Dados!$G:$G,Dados!$E:$E,$B218,Dados!$C:$C,INDEX(N$3,1,1),Dados!$A:$A,INDEX($D:$E,MATCH("L",$D:$D,0),2))/COUNTIFS(Dados!$E:$E,$B218,Dados!$C:$C,INDEX(N$3,1,1),Dados!$A:$A,INDEX($D:$E,MATCH("L",$D:$D,0),2)))</f>
        <v/>
      </c>
      <c r="O218" s="68" t="str">
        <f ca="1">IF(COUNTIFS(Dados!$E:$E,$B218,Dados!$C:$C,INDEX(O$3,1,1),Dados!$A:$A,INDEX($D:$E,MATCH("L",$D:$D,0),2))=0,"",SUMIFS(Dados!$G:$G,Dados!$E:$E,$B218,Dados!$C:$C,INDEX(O$3,1,1),Dados!$A:$A,INDEX($D:$E,MATCH("L",$D:$D,0),2))/COUNTIFS(Dados!$E:$E,$B218,Dados!$C:$C,INDEX(O$3,1,1),Dados!$A:$A,INDEX($D:$E,MATCH("L",$D:$D,0),2)))</f>
        <v/>
      </c>
      <c r="P218" s="68" t="str">
        <f ca="1">IF(COUNTIFS(Dados!$E:$E,$B218,Dados!$C:$C,INDEX(P$3,1,1),Dados!$A:$A,INDEX($D:$E,MATCH("L",$D:$D,0),2))=0,"",SUMIFS(Dados!$G:$G,Dados!$E:$E,$B218,Dados!$C:$C,INDEX(P$3,1,1),Dados!$A:$A,INDEX($D:$E,MATCH("L",$D:$D,0),2))/COUNTIFS(Dados!$E:$E,$B218,Dados!$C:$C,INDEX(P$3,1,1),Dados!$A:$A,INDEX($D:$E,MATCH("L",$D:$D,0),2)))</f>
        <v/>
      </c>
      <c r="Q218" s="68" t="str">
        <f ca="1">IF(COUNTIFS(Dados!$E:$E,$B218,Dados!$C:$C,INDEX(Q$3,1,1),Dados!$A:$A,INDEX($D:$E,MATCH("L",$D:$D,0),2))=0,"",SUMIFS(Dados!$G:$G,Dados!$E:$E,$B218,Dados!$C:$C,INDEX(Q$3,1,1),Dados!$A:$A,INDEX($D:$E,MATCH("L",$D:$D,0),2))/COUNTIFS(Dados!$E:$E,$B218,Dados!$C:$C,INDEX(Q$3,1,1),Dados!$A:$A,INDEX($D:$E,MATCH("L",$D:$D,0),2)))</f>
        <v/>
      </c>
      <c r="R218" s="68" t="str">
        <f ca="1">IF(COUNTIFS(Dados!$E:$E,$B218,Dados!$C:$C,INDEX(R$3,1,1),Dados!$A:$A,INDEX($D:$E,MATCH("L",$D:$D,0),2))=0,"",SUMIFS(Dados!$G:$G,Dados!$E:$E,$B218,Dados!$C:$C,INDEX(R$3,1,1),Dados!$A:$A,INDEX($D:$E,MATCH("L",$D:$D,0),2))/COUNTIFS(Dados!$E:$E,$B218,Dados!$C:$C,INDEX(R$3,1,1),Dados!$A:$A,INDEX($D:$E,MATCH("L",$D:$D,0),2)))</f>
        <v/>
      </c>
      <c r="S218" s="68" t="str">
        <f ca="1">IF(COUNTIFS(Dados!$E:$E,$B218,Dados!$C:$C,INDEX(S$3,1,1),Dados!$A:$A,INDEX($D:$E,MATCH("L",$D:$D,0),2))=0,"",SUMIFS(Dados!$G:$G,Dados!$E:$E,$B218,Dados!$C:$C,INDEX(S$3,1,1),Dados!$A:$A,INDEX($D:$E,MATCH("L",$D:$D,0),2))/COUNTIFS(Dados!$E:$E,$B218,Dados!$C:$C,INDEX(S$3,1,1),Dados!$A:$A,INDEX($D:$E,MATCH("L",$D:$D,0),2)))</f>
        <v/>
      </c>
      <c r="T218" s="68" t="str">
        <f ca="1">IF(COUNTIFS(Dados!$E:$E,$B218,Dados!$C:$C,INDEX(T$3,1,1),Dados!$A:$A,INDEX($D:$E,MATCH("L",$D:$D,0),2))=0,"",SUMIFS(Dados!$G:$G,Dados!$E:$E,$B218,Dados!$C:$C,INDEX(T$3,1,1),Dados!$A:$A,INDEX($D:$E,MATCH("L",$D:$D,0),2))/COUNTIFS(Dados!$E:$E,$B218,Dados!$C:$C,INDEX(T$3,1,1),Dados!$A:$A,INDEX($D:$E,MATCH("L",$D:$D,0),2)))</f>
        <v/>
      </c>
      <c r="U218" s="68" t="str">
        <f ca="1">IF(COUNTIFS(Dados!$E:$E,$B218,Dados!$C:$C,INDEX(U$3,1,1),Dados!$A:$A,INDEX($D:$E,MATCH("L",$D:$D,0),2))=0,"",SUMIFS(Dados!$G:$G,Dados!$E:$E,$B218,Dados!$C:$C,INDEX(U$3,1,1),Dados!$A:$A,INDEX($D:$E,MATCH("L",$D:$D,0),2))/COUNTIFS(Dados!$E:$E,$B218,Dados!$C:$C,INDEX(U$3,1,1),Dados!$A:$A,INDEX($D:$E,MATCH("L",$D:$D,0),2)))</f>
        <v/>
      </c>
      <c r="V218" s="68" t="str">
        <f ca="1">IF(COUNTIFS(Dados!$E:$E,$B218,Dados!$C:$C,INDEX(V$3,1,1),Dados!$A:$A,INDEX($D:$E,MATCH("L",$D:$D,0),2))=0,"",SUMIFS(Dados!$G:$G,Dados!$E:$E,$B218,Dados!$C:$C,INDEX(V$3,1,1),Dados!$A:$A,INDEX($D:$E,MATCH("L",$D:$D,0),2))/COUNTIFS(Dados!$E:$E,$B218,Dados!$C:$C,INDEX(V$3,1,1),Dados!$A:$A,INDEX($D:$E,MATCH("L",$D:$D,0),2)))</f>
        <v/>
      </c>
    </row>
    <row r="219" spans="2:22" x14ac:dyDescent="0.25">
      <c r="B219" s="65" t="s">
        <v>1298</v>
      </c>
      <c r="C219" s="72">
        <f>VLOOKUP(B219,B4:C22,2,0)</f>
        <v>6</v>
      </c>
      <c r="D219" s="66" t="str">
        <f ca="1">IF(COUNTIFS(Dados!$E:$E,$B219,Dados!$C:$C,INDEX(D$3,1,1),Dados!$A:$A,INDEX($D:$E,MATCH("L",$D:$D,0),2))=0,"",SUMIFS(Dados!$G:$G,Dados!$E:$E,$B219,Dados!$C:$C,INDEX(D$3,1,1),Dados!$A:$A,INDEX($D:$E,MATCH("L",$D:$D,0),2))/COUNTIFS(Dados!$E:$E,$B219,Dados!$C:$C,INDEX(D$3,1,1),Dados!$A:$A,INDEX($D:$E,MATCH("L",$D:$D,0),2)))</f>
        <v/>
      </c>
      <c r="E219" s="66" t="str">
        <f ca="1">IF(COUNTIFS(Dados!$E:$E,$B219,Dados!$C:$C,INDEX(E$3,1,1),Dados!$A:$A,INDEX($D:$E,MATCH("L",$D:$D,0),2))=0,"",SUMIFS(Dados!$G:$G,Dados!$E:$E,$B219,Dados!$C:$C,INDEX(E$3,1,1),Dados!$A:$A,INDEX($D:$E,MATCH("L",$D:$D,0),2))/COUNTIFS(Dados!$E:$E,$B219,Dados!$C:$C,INDEX(E$3,1,1),Dados!$A:$A,INDEX($D:$E,MATCH("L",$D:$D,0),2)))</f>
        <v/>
      </c>
      <c r="F219" s="66" t="str">
        <f ca="1">IF(COUNTIFS(Dados!$E:$E,$B219,Dados!$C:$C,INDEX(F$3,1,1),Dados!$A:$A,INDEX($D:$E,MATCH("L",$D:$D,0),2))=0,"",SUMIFS(Dados!$G:$G,Dados!$E:$E,$B219,Dados!$C:$C,INDEX(F$3,1,1),Dados!$A:$A,INDEX($D:$E,MATCH("L",$D:$D,0),2))/COUNTIFS(Dados!$E:$E,$B219,Dados!$C:$C,INDEX(F$3,1,1),Dados!$A:$A,INDEX($D:$E,MATCH("L",$D:$D,0),2)))</f>
        <v/>
      </c>
      <c r="G219" s="66" t="str">
        <f ca="1">IF(COUNTIFS(Dados!$E:$E,$B219,Dados!$C:$C,INDEX(G$3,1,1),Dados!$A:$A,INDEX($D:$E,MATCH("L",$D:$D,0),2))=0,"",SUMIFS(Dados!$G:$G,Dados!$E:$E,$B219,Dados!$C:$C,INDEX(G$3,1,1),Dados!$A:$A,INDEX($D:$E,MATCH("L",$D:$D,0),2))/COUNTIFS(Dados!$E:$E,$B219,Dados!$C:$C,INDEX(G$3,1,1),Dados!$A:$A,INDEX($D:$E,MATCH("L",$D:$D,0),2)))</f>
        <v/>
      </c>
      <c r="H219" s="66" t="str">
        <f ca="1">IF(COUNTIFS(Dados!$E:$E,$B219,Dados!$C:$C,INDEX(H$3,1,1),Dados!$A:$A,INDEX($D:$E,MATCH("L",$D:$D,0),2))=0,"",SUMIFS(Dados!$G:$G,Dados!$E:$E,$B219,Dados!$C:$C,INDEX(H$3,1,1),Dados!$A:$A,INDEX($D:$E,MATCH("L",$D:$D,0),2))/COUNTIFS(Dados!$E:$E,$B219,Dados!$C:$C,INDEX(H$3,1,1),Dados!$A:$A,INDEX($D:$E,MATCH("L",$D:$D,0),2)))</f>
        <v/>
      </c>
      <c r="I219" s="66" t="str">
        <f ca="1">IF(COUNTIFS(Dados!$E:$E,$B219,Dados!$C:$C,INDEX(I$3,1,1),Dados!$A:$A,INDEX($D:$E,MATCH("L",$D:$D,0),2))=0,"",SUMIFS(Dados!$G:$G,Dados!$E:$E,$B219,Dados!$C:$C,INDEX(I$3,1,1),Dados!$A:$A,INDEX($D:$E,MATCH("L",$D:$D,0),2))/COUNTIFS(Dados!$E:$E,$B219,Dados!$C:$C,INDEX(I$3,1,1),Dados!$A:$A,INDEX($D:$E,MATCH("L",$D:$D,0),2)))</f>
        <v/>
      </c>
      <c r="J219" s="66" t="str">
        <f ca="1">IF(COUNTIFS(Dados!$E:$E,$B219,Dados!$C:$C,INDEX(J$3,1,1),Dados!$A:$A,INDEX($D:$E,MATCH("L",$D:$D,0),2))=0,"",SUMIFS(Dados!$G:$G,Dados!$E:$E,$B219,Dados!$C:$C,INDEX(J$3,1,1),Dados!$A:$A,INDEX($D:$E,MATCH("L",$D:$D,0),2))/COUNTIFS(Dados!$E:$E,$B219,Dados!$C:$C,INDEX(J$3,1,1),Dados!$A:$A,INDEX($D:$E,MATCH("L",$D:$D,0),2)))</f>
        <v/>
      </c>
      <c r="K219" s="66" t="str">
        <f ca="1">IF(COUNTIFS(Dados!$E:$E,$B219,Dados!$C:$C,INDEX(K$3,1,1),Dados!$A:$A,INDEX($D:$E,MATCH("L",$D:$D,0),2))=0,"",SUMIFS(Dados!$G:$G,Dados!$E:$E,$B219,Dados!$C:$C,INDEX(K$3,1,1),Dados!$A:$A,INDEX($D:$E,MATCH("L",$D:$D,0),2))/COUNTIFS(Dados!$E:$E,$B219,Dados!$C:$C,INDEX(K$3,1,1),Dados!$A:$A,INDEX($D:$E,MATCH("L",$D:$D,0),2)))</f>
        <v/>
      </c>
      <c r="L219" s="66" t="str">
        <f ca="1">IF(COUNTIFS(Dados!$E:$E,$B219,Dados!$C:$C,INDEX(L$3,1,1),Dados!$A:$A,INDEX($D:$E,MATCH("L",$D:$D,0),2))=0,"",SUMIFS(Dados!$G:$G,Dados!$E:$E,$B219,Dados!$C:$C,INDEX(L$3,1,1),Dados!$A:$A,INDEX($D:$E,MATCH("L",$D:$D,0),2))/COUNTIFS(Dados!$E:$E,$B219,Dados!$C:$C,INDEX(L$3,1,1),Dados!$A:$A,INDEX($D:$E,MATCH("L",$D:$D,0),2)))</f>
        <v/>
      </c>
      <c r="M219" s="66" t="str">
        <f ca="1">IF(COUNTIFS(Dados!$E:$E,$B219,Dados!$C:$C,INDEX(M$3,1,1),Dados!$A:$A,INDEX($D:$E,MATCH("L",$D:$D,0),2))=0,"",SUMIFS(Dados!$G:$G,Dados!$E:$E,$B219,Dados!$C:$C,INDEX(M$3,1,1),Dados!$A:$A,INDEX($D:$E,MATCH("L",$D:$D,0),2))/COUNTIFS(Dados!$E:$E,$B219,Dados!$C:$C,INDEX(M$3,1,1),Dados!$A:$A,INDEX($D:$E,MATCH("L",$D:$D,0),2)))</f>
        <v/>
      </c>
      <c r="N219" s="66" t="str">
        <f ca="1">IF(COUNTIFS(Dados!$E:$E,$B219,Dados!$C:$C,INDEX(N$3,1,1),Dados!$A:$A,INDEX($D:$E,MATCH("L",$D:$D,0),2))=0,"",SUMIFS(Dados!$G:$G,Dados!$E:$E,$B219,Dados!$C:$C,INDEX(N$3,1,1),Dados!$A:$A,INDEX($D:$E,MATCH("L",$D:$D,0),2))/COUNTIFS(Dados!$E:$E,$B219,Dados!$C:$C,INDEX(N$3,1,1),Dados!$A:$A,INDEX($D:$E,MATCH("L",$D:$D,0),2)))</f>
        <v/>
      </c>
      <c r="O219" s="66" t="str">
        <f ca="1">IF(COUNTIFS(Dados!$E:$E,$B219,Dados!$C:$C,INDEX(O$3,1,1),Dados!$A:$A,INDEX($D:$E,MATCH("L",$D:$D,0),2))=0,"",SUMIFS(Dados!$G:$G,Dados!$E:$E,$B219,Dados!$C:$C,INDEX(O$3,1,1),Dados!$A:$A,INDEX($D:$E,MATCH("L",$D:$D,0),2))/COUNTIFS(Dados!$E:$E,$B219,Dados!$C:$C,INDEX(O$3,1,1),Dados!$A:$A,INDEX($D:$E,MATCH("L",$D:$D,0),2)))</f>
        <v/>
      </c>
      <c r="P219" s="66" t="str">
        <f ca="1">IF(COUNTIFS(Dados!$E:$E,$B219,Dados!$C:$C,INDEX(P$3,1,1),Dados!$A:$A,INDEX($D:$E,MATCH("L",$D:$D,0),2))=0,"",SUMIFS(Dados!$G:$G,Dados!$E:$E,$B219,Dados!$C:$C,INDEX(P$3,1,1),Dados!$A:$A,INDEX($D:$E,MATCH("L",$D:$D,0),2))/COUNTIFS(Dados!$E:$E,$B219,Dados!$C:$C,INDEX(P$3,1,1),Dados!$A:$A,INDEX($D:$E,MATCH("L",$D:$D,0),2)))</f>
        <v/>
      </c>
      <c r="Q219" s="66" t="str">
        <f ca="1">IF(COUNTIFS(Dados!$E:$E,$B219,Dados!$C:$C,INDEX(Q$3,1,1),Dados!$A:$A,INDEX($D:$E,MATCH("L",$D:$D,0),2))=0,"",SUMIFS(Dados!$G:$G,Dados!$E:$E,$B219,Dados!$C:$C,INDEX(Q$3,1,1),Dados!$A:$A,INDEX($D:$E,MATCH("L",$D:$D,0),2))/COUNTIFS(Dados!$E:$E,$B219,Dados!$C:$C,INDEX(Q$3,1,1),Dados!$A:$A,INDEX($D:$E,MATCH("L",$D:$D,0),2)))</f>
        <v/>
      </c>
      <c r="R219" s="66" t="str">
        <f ca="1">IF(COUNTIFS(Dados!$E:$E,$B219,Dados!$C:$C,INDEX(R$3,1,1),Dados!$A:$A,INDEX($D:$E,MATCH("L",$D:$D,0),2))=0,"",SUMIFS(Dados!$G:$G,Dados!$E:$E,$B219,Dados!$C:$C,INDEX(R$3,1,1),Dados!$A:$A,INDEX($D:$E,MATCH("L",$D:$D,0),2))/COUNTIFS(Dados!$E:$E,$B219,Dados!$C:$C,INDEX(R$3,1,1),Dados!$A:$A,INDEX($D:$E,MATCH("L",$D:$D,0),2)))</f>
        <v/>
      </c>
      <c r="S219" s="66" t="str">
        <f ca="1">IF(COUNTIFS(Dados!$E:$E,$B219,Dados!$C:$C,INDEX(S$3,1,1),Dados!$A:$A,INDEX($D:$E,MATCH("L",$D:$D,0),2))=0,"",SUMIFS(Dados!$G:$G,Dados!$E:$E,$B219,Dados!$C:$C,INDEX(S$3,1,1),Dados!$A:$A,INDEX($D:$E,MATCH("L",$D:$D,0),2))/COUNTIFS(Dados!$E:$E,$B219,Dados!$C:$C,INDEX(S$3,1,1),Dados!$A:$A,INDEX($D:$E,MATCH("L",$D:$D,0),2)))</f>
        <v/>
      </c>
      <c r="T219" s="66" t="str">
        <f ca="1">IF(COUNTIFS(Dados!$E:$E,$B219,Dados!$C:$C,INDEX(T$3,1,1),Dados!$A:$A,INDEX($D:$E,MATCH("L",$D:$D,0),2))=0,"",SUMIFS(Dados!$G:$G,Dados!$E:$E,$B219,Dados!$C:$C,INDEX(T$3,1,1),Dados!$A:$A,INDEX($D:$E,MATCH("L",$D:$D,0),2))/COUNTIFS(Dados!$E:$E,$B219,Dados!$C:$C,INDEX(T$3,1,1),Dados!$A:$A,INDEX($D:$E,MATCH("L",$D:$D,0),2)))</f>
        <v/>
      </c>
      <c r="U219" s="66" t="str">
        <f ca="1">IF(COUNTIFS(Dados!$E:$E,$B219,Dados!$C:$C,INDEX(U$3,1,1),Dados!$A:$A,INDEX($D:$E,MATCH("L",$D:$D,0),2))=0,"",SUMIFS(Dados!$G:$G,Dados!$E:$E,$B219,Dados!$C:$C,INDEX(U$3,1,1),Dados!$A:$A,INDEX($D:$E,MATCH("L",$D:$D,0),2))/COUNTIFS(Dados!$E:$E,$B219,Dados!$C:$C,INDEX(U$3,1,1),Dados!$A:$A,INDEX($D:$E,MATCH("L",$D:$D,0),2)))</f>
        <v/>
      </c>
      <c r="V219" s="66" t="str">
        <f ca="1">IF(COUNTIFS(Dados!$E:$E,$B219,Dados!$C:$C,INDEX(V$3,1,1),Dados!$A:$A,INDEX($D:$E,MATCH("L",$D:$D,0),2))=0,"",SUMIFS(Dados!$G:$G,Dados!$E:$E,$B219,Dados!$C:$C,INDEX(V$3,1,1),Dados!$A:$A,INDEX($D:$E,MATCH("L",$D:$D,0),2))/COUNTIFS(Dados!$E:$E,$B219,Dados!$C:$C,INDEX(V$3,1,1),Dados!$A:$A,INDEX($D:$E,MATCH("L",$D:$D,0),2)))</f>
        <v/>
      </c>
    </row>
    <row r="220" spans="2:22" x14ac:dyDescent="0.25">
      <c r="B220" s="67" t="s">
        <v>65</v>
      </c>
      <c r="C220" s="71">
        <f>VLOOKUP(B220,B4:C22,2,0)</f>
        <v>7</v>
      </c>
      <c r="D220" s="68" t="str">
        <f ca="1">IF(COUNTIFS(Dados!$E:$E,$B220,Dados!$C:$C,INDEX(D$3,1,1),Dados!$A:$A,INDEX($D:$E,MATCH("L",$D:$D,0),2))=0,"",SUMIFS(Dados!$G:$G,Dados!$E:$E,$B220,Dados!$C:$C,INDEX(D$3,1,1),Dados!$A:$A,INDEX($D:$E,MATCH("L",$D:$D,0),2))/COUNTIFS(Dados!$E:$E,$B220,Dados!$C:$C,INDEX(D$3,1,1),Dados!$A:$A,INDEX($D:$E,MATCH("L",$D:$D,0),2)))</f>
        <v/>
      </c>
      <c r="E220" s="68" t="str">
        <f ca="1">IF(COUNTIFS(Dados!$E:$E,$B220,Dados!$C:$C,INDEX(E$3,1,1),Dados!$A:$A,INDEX($D:$E,MATCH("L",$D:$D,0),2))=0,"",SUMIFS(Dados!$G:$G,Dados!$E:$E,$B220,Dados!$C:$C,INDEX(E$3,1,1),Dados!$A:$A,INDEX($D:$E,MATCH("L",$D:$D,0),2))/COUNTIFS(Dados!$E:$E,$B220,Dados!$C:$C,INDEX(E$3,1,1),Dados!$A:$A,INDEX($D:$E,MATCH("L",$D:$D,0),2)))</f>
        <v/>
      </c>
      <c r="F220" s="68" t="str">
        <f ca="1">IF(COUNTIFS(Dados!$E:$E,$B220,Dados!$C:$C,INDEX(F$3,1,1),Dados!$A:$A,INDEX($D:$E,MATCH("L",$D:$D,0),2))=0,"",SUMIFS(Dados!$G:$G,Dados!$E:$E,$B220,Dados!$C:$C,INDEX(F$3,1,1),Dados!$A:$A,INDEX($D:$E,MATCH("L",$D:$D,0),2))/COUNTIFS(Dados!$E:$E,$B220,Dados!$C:$C,INDEX(F$3,1,1),Dados!$A:$A,INDEX($D:$E,MATCH("L",$D:$D,0),2)))</f>
        <v/>
      </c>
      <c r="G220" s="68" t="str">
        <f ca="1">IF(COUNTIFS(Dados!$E:$E,$B220,Dados!$C:$C,INDEX(G$3,1,1),Dados!$A:$A,INDEX($D:$E,MATCH("L",$D:$D,0),2))=0,"",SUMIFS(Dados!$G:$G,Dados!$E:$E,$B220,Dados!$C:$C,INDEX(G$3,1,1),Dados!$A:$A,INDEX($D:$E,MATCH("L",$D:$D,0),2))/COUNTIFS(Dados!$E:$E,$B220,Dados!$C:$C,INDEX(G$3,1,1),Dados!$A:$A,INDEX($D:$E,MATCH("L",$D:$D,0),2)))</f>
        <v/>
      </c>
      <c r="H220" s="68" t="str">
        <f ca="1">IF(COUNTIFS(Dados!$E:$E,$B220,Dados!$C:$C,INDEX(H$3,1,1),Dados!$A:$A,INDEX($D:$E,MATCH("L",$D:$D,0),2))=0,"",SUMIFS(Dados!$G:$G,Dados!$E:$E,$B220,Dados!$C:$C,INDEX(H$3,1,1),Dados!$A:$A,INDEX($D:$E,MATCH("L",$D:$D,0),2))/COUNTIFS(Dados!$E:$E,$B220,Dados!$C:$C,INDEX(H$3,1,1),Dados!$A:$A,INDEX($D:$E,MATCH("L",$D:$D,0),2)))</f>
        <v/>
      </c>
      <c r="I220" s="68" t="str">
        <f ca="1">IF(COUNTIFS(Dados!$E:$E,$B220,Dados!$C:$C,INDEX(I$3,1,1),Dados!$A:$A,INDEX($D:$E,MATCH("L",$D:$D,0),2))=0,"",SUMIFS(Dados!$G:$G,Dados!$E:$E,$B220,Dados!$C:$C,INDEX(I$3,1,1),Dados!$A:$A,INDEX($D:$E,MATCH("L",$D:$D,0),2))/COUNTIFS(Dados!$E:$E,$B220,Dados!$C:$C,INDEX(I$3,1,1),Dados!$A:$A,INDEX($D:$E,MATCH("L",$D:$D,0),2)))</f>
        <v/>
      </c>
      <c r="J220" s="68" t="str">
        <f ca="1">IF(COUNTIFS(Dados!$E:$E,$B220,Dados!$C:$C,INDEX(J$3,1,1),Dados!$A:$A,INDEX($D:$E,MATCH("L",$D:$D,0),2))=0,"",SUMIFS(Dados!$G:$G,Dados!$E:$E,$B220,Dados!$C:$C,INDEX(J$3,1,1),Dados!$A:$A,INDEX($D:$E,MATCH("L",$D:$D,0),2))/COUNTIFS(Dados!$E:$E,$B220,Dados!$C:$C,INDEX(J$3,1,1),Dados!$A:$A,INDEX($D:$E,MATCH("L",$D:$D,0),2)))</f>
        <v/>
      </c>
      <c r="K220" s="68" t="str">
        <f ca="1">IF(COUNTIFS(Dados!$E:$E,$B220,Dados!$C:$C,INDEX(K$3,1,1),Dados!$A:$A,INDEX($D:$E,MATCH("L",$D:$D,0),2))=0,"",SUMIFS(Dados!$G:$G,Dados!$E:$E,$B220,Dados!$C:$C,INDEX(K$3,1,1),Dados!$A:$A,INDEX($D:$E,MATCH("L",$D:$D,0),2))/COUNTIFS(Dados!$E:$E,$B220,Dados!$C:$C,INDEX(K$3,1,1),Dados!$A:$A,INDEX($D:$E,MATCH("L",$D:$D,0),2)))</f>
        <v/>
      </c>
      <c r="L220" s="68" t="str">
        <f ca="1">IF(COUNTIFS(Dados!$E:$E,$B220,Dados!$C:$C,INDEX(L$3,1,1),Dados!$A:$A,INDEX($D:$E,MATCH("L",$D:$D,0),2))=0,"",SUMIFS(Dados!$G:$G,Dados!$E:$E,$B220,Dados!$C:$C,INDEX(L$3,1,1),Dados!$A:$A,INDEX($D:$E,MATCH("L",$D:$D,0),2))/COUNTIFS(Dados!$E:$E,$B220,Dados!$C:$C,INDEX(L$3,1,1),Dados!$A:$A,INDEX($D:$E,MATCH("L",$D:$D,0),2)))</f>
        <v/>
      </c>
      <c r="M220" s="68" t="str">
        <f ca="1">IF(COUNTIFS(Dados!$E:$E,$B220,Dados!$C:$C,INDEX(M$3,1,1),Dados!$A:$A,INDEX($D:$E,MATCH("L",$D:$D,0),2))=0,"",SUMIFS(Dados!$G:$G,Dados!$E:$E,$B220,Dados!$C:$C,INDEX(M$3,1,1),Dados!$A:$A,INDEX($D:$E,MATCH("L",$D:$D,0),2))/COUNTIFS(Dados!$E:$E,$B220,Dados!$C:$C,INDEX(M$3,1,1),Dados!$A:$A,INDEX($D:$E,MATCH("L",$D:$D,0),2)))</f>
        <v/>
      </c>
      <c r="N220" s="68" t="str">
        <f ca="1">IF(COUNTIFS(Dados!$E:$E,$B220,Dados!$C:$C,INDEX(N$3,1,1),Dados!$A:$A,INDEX($D:$E,MATCH("L",$D:$D,0),2))=0,"",SUMIFS(Dados!$G:$G,Dados!$E:$E,$B220,Dados!$C:$C,INDEX(N$3,1,1),Dados!$A:$A,INDEX($D:$E,MATCH("L",$D:$D,0),2))/COUNTIFS(Dados!$E:$E,$B220,Dados!$C:$C,INDEX(N$3,1,1),Dados!$A:$A,INDEX($D:$E,MATCH("L",$D:$D,0),2)))</f>
        <v/>
      </c>
      <c r="O220" s="68" t="str">
        <f ca="1">IF(COUNTIFS(Dados!$E:$E,$B220,Dados!$C:$C,INDEX(O$3,1,1),Dados!$A:$A,INDEX($D:$E,MATCH("L",$D:$D,0),2))=0,"",SUMIFS(Dados!$G:$G,Dados!$E:$E,$B220,Dados!$C:$C,INDEX(O$3,1,1),Dados!$A:$A,INDEX($D:$E,MATCH("L",$D:$D,0),2))/COUNTIFS(Dados!$E:$E,$B220,Dados!$C:$C,INDEX(O$3,1,1),Dados!$A:$A,INDEX($D:$E,MATCH("L",$D:$D,0),2)))</f>
        <v/>
      </c>
      <c r="P220" s="68" t="str">
        <f ca="1">IF(COUNTIFS(Dados!$E:$E,$B220,Dados!$C:$C,INDEX(P$3,1,1),Dados!$A:$A,INDEX($D:$E,MATCH("L",$D:$D,0),2))=0,"",SUMIFS(Dados!$G:$G,Dados!$E:$E,$B220,Dados!$C:$C,INDEX(P$3,1,1),Dados!$A:$A,INDEX($D:$E,MATCH("L",$D:$D,0),2))/COUNTIFS(Dados!$E:$E,$B220,Dados!$C:$C,INDEX(P$3,1,1),Dados!$A:$A,INDEX($D:$E,MATCH("L",$D:$D,0),2)))</f>
        <v/>
      </c>
      <c r="Q220" s="68" t="str">
        <f ca="1">IF(COUNTIFS(Dados!$E:$E,$B220,Dados!$C:$C,INDEX(Q$3,1,1),Dados!$A:$A,INDEX($D:$E,MATCH("L",$D:$D,0),2))=0,"",SUMIFS(Dados!$G:$G,Dados!$E:$E,$B220,Dados!$C:$C,INDEX(Q$3,1,1),Dados!$A:$A,INDEX($D:$E,MATCH("L",$D:$D,0),2))/COUNTIFS(Dados!$E:$E,$B220,Dados!$C:$C,INDEX(Q$3,1,1),Dados!$A:$A,INDEX($D:$E,MATCH("L",$D:$D,0),2)))</f>
        <v/>
      </c>
      <c r="R220" s="68" t="str">
        <f ca="1">IF(COUNTIFS(Dados!$E:$E,$B220,Dados!$C:$C,INDEX(R$3,1,1),Dados!$A:$A,INDEX($D:$E,MATCH("L",$D:$D,0),2))=0,"",SUMIFS(Dados!$G:$G,Dados!$E:$E,$B220,Dados!$C:$C,INDEX(R$3,1,1),Dados!$A:$A,INDEX($D:$E,MATCH("L",$D:$D,0),2))/COUNTIFS(Dados!$E:$E,$B220,Dados!$C:$C,INDEX(R$3,1,1),Dados!$A:$A,INDEX($D:$E,MATCH("L",$D:$D,0),2)))</f>
        <v/>
      </c>
      <c r="S220" s="68" t="str">
        <f ca="1">IF(COUNTIFS(Dados!$E:$E,$B220,Dados!$C:$C,INDEX(S$3,1,1),Dados!$A:$A,INDEX($D:$E,MATCH("L",$D:$D,0),2))=0,"",SUMIFS(Dados!$G:$G,Dados!$E:$E,$B220,Dados!$C:$C,INDEX(S$3,1,1),Dados!$A:$A,INDEX($D:$E,MATCH("L",$D:$D,0),2))/COUNTIFS(Dados!$E:$E,$B220,Dados!$C:$C,INDEX(S$3,1,1),Dados!$A:$A,INDEX($D:$E,MATCH("L",$D:$D,0),2)))</f>
        <v/>
      </c>
      <c r="T220" s="68" t="str">
        <f ca="1">IF(COUNTIFS(Dados!$E:$E,$B220,Dados!$C:$C,INDEX(T$3,1,1),Dados!$A:$A,INDEX($D:$E,MATCH("L",$D:$D,0),2))=0,"",SUMIFS(Dados!$G:$G,Dados!$E:$E,$B220,Dados!$C:$C,INDEX(T$3,1,1),Dados!$A:$A,INDEX($D:$E,MATCH("L",$D:$D,0),2))/COUNTIFS(Dados!$E:$E,$B220,Dados!$C:$C,INDEX(T$3,1,1),Dados!$A:$A,INDEX($D:$E,MATCH("L",$D:$D,0),2)))</f>
        <v/>
      </c>
      <c r="U220" s="68" t="str">
        <f ca="1">IF(COUNTIFS(Dados!$E:$E,$B220,Dados!$C:$C,INDEX(U$3,1,1),Dados!$A:$A,INDEX($D:$E,MATCH("L",$D:$D,0),2))=0,"",SUMIFS(Dados!$G:$G,Dados!$E:$E,$B220,Dados!$C:$C,INDEX(U$3,1,1),Dados!$A:$A,INDEX($D:$E,MATCH("L",$D:$D,0),2))/COUNTIFS(Dados!$E:$E,$B220,Dados!$C:$C,INDEX(U$3,1,1),Dados!$A:$A,INDEX($D:$E,MATCH("L",$D:$D,0),2)))</f>
        <v/>
      </c>
      <c r="V220" s="68" t="str">
        <f ca="1">IF(COUNTIFS(Dados!$E:$E,$B220,Dados!$C:$C,INDEX(V$3,1,1),Dados!$A:$A,INDEX($D:$E,MATCH("L",$D:$D,0),2))=0,"",SUMIFS(Dados!$G:$G,Dados!$E:$E,$B220,Dados!$C:$C,INDEX(V$3,1,1),Dados!$A:$A,INDEX($D:$E,MATCH("L",$D:$D,0),2))/COUNTIFS(Dados!$E:$E,$B220,Dados!$C:$C,INDEX(V$3,1,1),Dados!$A:$A,INDEX($D:$E,MATCH("L",$D:$D,0),2)))</f>
        <v/>
      </c>
    </row>
    <row r="221" spans="2:22" x14ac:dyDescent="0.25">
      <c r="B221" s="65" t="s">
        <v>32</v>
      </c>
      <c r="C221" s="72">
        <f>VLOOKUP(B221,B4:C22,2,0)</f>
        <v>8</v>
      </c>
      <c r="D221" s="66" t="str">
        <f ca="1">IF(COUNTIFS(Dados!$E:$E,$B221,Dados!$C:$C,INDEX(D$3,1,1),Dados!$A:$A,INDEX($D:$E,MATCH("L",$D:$D,0),2))=0,"",SUMIFS(Dados!$G:$G,Dados!$E:$E,$B221,Dados!$C:$C,INDEX(D$3,1,1),Dados!$A:$A,INDEX($D:$E,MATCH("L",$D:$D,0),2))/COUNTIFS(Dados!$E:$E,$B221,Dados!$C:$C,INDEX(D$3,1,1),Dados!$A:$A,INDEX($D:$E,MATCH("L",$D:$D,0),2)))</f>
        <v/>
      </c>
      <c r="E221" s="66" t="str">
        <f ca="1">IF(COUNTIFS(Dados!$E:$E,$B221,Dados!$C:$C,INDEX(E$3,1,1),Dados!$A:$A,INDEX($D:$E,MATCH("L",$D:$D,0),2))=0,"",SUMIFS(Dados!$G:$G,Dados!$E:$E,$B221,Dados!$C:$C,INDEX(E$3,1,1),Dados!$A:$A,INDEX($D:$E,MATCH("L",$D:$D,0),2))/COUNTIFS(Dados!$E:$E,$B221,Dados!$C:$C,INDEX(E$3,1,1),Dados!$A:$A,INDEX($D:$E,MATCH("L",$D:$D,0),2)))</f>
        <v/>
      </c>
      <c r="F221" s="66" t="str">
        <f ca="1">IF(COUNTIFS(Dados!$E:$E,$B221,Dados!$C:$C,INDEX(F$3,1,1),Dados!$A:$A,INDEX($D:$E,MATCH("L",$D:$D,0),2))=0,"",SUMIFS(Dados!$G:$G,Dados!$E:$E,$B221,Dados!$C:$C,INDEX(F$3,1,1),Dados!$A:$A,INDEX($D:$E,MATCH("L",$D:$D,0),2))/COUNTIFS(Dados!$E:$E,$B221,Dados!$C:$C,INDEX(F$3,1,1),Dados!$A:$A,INDEX($D:$E,MATCH("L",$D:$D,0),2)))</f>
        <v/>
      </c>
      <c r="G221" s="66" t="str">
        <f ca="1">IF(COUNTIFS(Dados!$E:$E,$B221,Dados!$C:$C,INDEX(G$3,1,1),Dados!$A:$A,INDEX($D:$E,MATCH("L",$D:$D,0),2))=0,"",SUMIFS(Dados!$G:$G,Dados!$E:$E,$B221,Dados!$C:$C,INDEX(G$3,1,1),Dados!$A:$A,INDEX($D:$E,MATCH("L",$D:$D,0),2))/COUNTIFS(Dados!$E:$E,$B221,Dados!$C:$C,INDEX(G$3,1,1),Dados!$A:$A,INDEX($D:$E,MATCH("L",$D:$D,0),2)))</f>
        <v/>
      </c>
      <c r="H221" s="66" t="str">
        <f ca="1">IF(COUNTIFS(Dados!$E:$E,$B221,Dados!$C:$C,INDEX(H$3,1,1),Dados!$A:$A,INDEX($D:$E,MATCH("L",$D:$D,0),2))=0,"",SUMIFS(Dados!$G:$G,Dados!$E:$E,$B221,Dados!$C:$C,INDEX(H$3,1,1),Dados!$A:$A,INDEX($D:$E,MATCH("L",$D:$D,0),2))/COUNTIFS(Dados!$E:$E,$B221,Dados!$C:$C,INDEX(H$3,1,1),Dados!$A:$A,INDEX($D:$E,MATCH("L",$D:$D,0),2)))</f>
        <v/>
      </c>
      <c r="I221" s="66" t="str">
        <f ca="1">IF(COUNTIFS(Dados!$E:$E,$B221,Dados!$C:$C,INDEX(I$3,1,1),Dados!$A:$A,INDEX($D:$E,MATCH("L",$D:$D,0),2))=0,"",SUMIFS(Dados!$G:$G,Dados!$E:$E,$B221,Dados!$C:$C,INDEX(I$3,1,1),Dados!$A:$A,INDEX($D:$E,MATCH("L",$D:$D,0),2))/COUNTIFS(Dados!$E:$E,$B221,Dados!$C:$C,INDEX(I$3,1,1),Dados!$A:$A,INDEX($D:$E,MATCH("L",$D:$D,0),2)))</f>
        <v/>
      </c>
      <c r="J221" s="66" t="str">
        <f ca="1">IF(COUNTIFS(Dados!$E:$E,$B221,Dados!$C:$C,INDEX(J$3,1,1),Dados!$A:$A,INDEX($D:$E,MATCH("L",$D:$D,0),2))=0,"",SUMIFS(Dados!$G:$G,Dados!$E:$E,$B221,Dados!$C:$C,INDEX(J$3,1,1),Dados!$A:$A,INDEX($D:$E,MATCH("L",$D:$D,0),2))/COUNTIFS(Dados!$E:$E,$B221,Dados!$C:$C,INDEX(J$3,1,1),Dados!$A:$A,INDEX($D:$E,MATCH("L",$D:$D,0),2)))</f>
        <v/>
      </c>
      <c r="K221" s="66" t="str">
        <f ca="1">IF(COUNTIFS(Dados!$E:$E,$B221,Dados!$C:$C,INDEX(K$3,1,1),Dados!$A:$A,INDEX($D:$E,MATCH("L",$D:$D,0),2))=0,"",SUMIFS(Dados!$G:$G,Dados!$E:$E,$B221,Dados!$C:$C,INDEX(K$3,1,1),Dados!$A:$A,INDEX($D:$E,MATCH("L",$D:$D,0),2))/COUNTIFS(Dados!$E:$E,$B221,Dados!$C:$C,INDEX(K$3,1,1),Dados!$A:$A,INDEX($D:$E,MATCH("L",$D:$D,0),2)))</f>
        <v/>
      </c>
      <c r="L221" s="66" t="str">
        <f ca="1">IF(COUNTIFS(Dados!$E:$E,$B221,Dados!$C:$C,INDEX(L$3,1,1),Dados!$A:$A,INDEX($D:$E,MATCH("L",$D:$D,0),2))=0,"",SUMIFS(Dados!$G:$G,Dados!$E:$E,$B221,Dados!$C:$C,INDEX(L$3,1,1),Dados!$A:$A,INDEX($D:$E,MATCH("L",$D:$D,0),2))/COUNTIFS(Dados!$E:$E,$B221,Dados!$C:$C,INDEX(L$3,1,1),Dados!$A:$A,INDEX($D:$E,MATCH("L",$D:$D,0),2)))</f>
        <v/>
      </c>
      <c r="M221" s="66" t="str">
        <f ca="1">IF(COUNTIFS(Dados!$E:$E,$B221,Dados!$C:$C,INDEX(M$3,1,1),Dados!$A:$A,INDEX($D:$E,MATCH("L",$D:$D,0),2))=0,"",SUMIFS(Dados!$G:$G,Dados!$E:$E,$B221,Dados!$C:$C,INDEX(M$3,1,1),Dados!$A:$A,INDEX($D:$E,MATCH("L",$D:$D,0),2))/COUNTIFS(Dados!$E:$E,$B221,Dados!$C:$C,INDEX(M$3,1,1),Dados!$A:$A,INDEX($D:$E,MATCH("L",$D:$D,0),2)))</f>
        <v/>
      </c>
      <c r="N221" s="66" t="str">
        <f ca="1">IF(COUNTIFS(Dados!$E:$E,$B221,Dados!$C:$C,INDEX(N$3,1,1),Dados!$A:$A,INDEX($D:$E,MATCH("L",$D:$D,0),2))=0,"",SUMIFS(Dados!$G:$G,Dados!$E:$E,$B221,Dados!$C:$C,INDEX(N$3,1,1),Dados!$A:$A,INDEX($D:$E,MATCH("L",$D:$D,0),2))/COUNTIFS(Dados!$E:$E,$B221,Dados!$C:$C,INDEX(N$3,1,1),Dados!$A:$A,INDEX($D:$E,MATCH("L",$D:$D,0),2)))</f>
        <v/>
      </c>
      <c r="O221" s="66" t="str">
        <f ca="1">IF(COUNTIFS(Dados!$E:$E,$B221,Dados!$C:$C,INDEX(O$3,1,1),Dados!$A:$A,INDEX($D:$E,MATCH("L",$D:$D,0),2))=0,"",SUMIFS(Dados!$G:$G,Dados!$E:$E,$B221,Dados!$C:$C,INDEX(O$3,1,1),Dados!$A:$A,INDEX($D:$E,MATCH("L",$D:$D,0),2))/COUNTIFS(Dados!$E:$E,$B221,Dados!$C:$C,INDEX(O$3,1,1),Dados!$A:$A,INDEX($D:$E,MATCH("L",$D:$D,0),2)))</f>
        <v/>
      </c>
      <c r="P221" s="66" t="str">
        <f ca="1">IF(COUNTIFS(Dados!$E:$E,$B221,Dados!$C:$C,INDEX(P$3,1,1),Dados!$A:$A,INDEX($D:$E,MATCH("L",$D:$D,0),2))=0,"",SUMIFS(Dados!$G:$G,Dados!$E:$E,$B221,Dados!$C:$C,INDEX(P$3,1,1),Dados!$A:$A,INDEX($D:$E,MATCH("L",$D:$D,0),2))/COUNTIFS(Dados!$E:$E,$B221,Dados!$C:$C,INDEX(P$3,1,1),Dados!$A:$A,INDEX($D:$E,MATCH("L",$D:$D,0),2)))</f>
        <v/>
      </c>
      <c r="Q221" s="66" t="str">
        <f ca="1">IF(COUNTIFS(Dados!$E:$E,$B221,Dados!$C:$C,INDEX(Q$3,1,1),Dados!$A:$A,INDEX($D:$E,MATCH("L",$D:$D,0),2))=0,"",SUMIFS(Dados!$G:$G,Dados!$E:$E,$B221,Dados!$C:$C,INDEX(Q$3,1,1),Dados!$A:$A,INDEX($D:$E,MATCH("L",$D:$D,0),2))/COUNTIFS(Dados!$E:$E,$B221,Dados!$C:$C,INDEX(Q$3,1,1),Dados!$A:$A,INDEX($D:$E,MATCH("L",$D:$D,0),2)))</f>
        <v/>
      </c>
      <c r="R221" s="66" t="str">
        <f ca="1">IF(COUNTIFS(Dados!$E:$E,$B221,Dados!$C:$C,INDEX(R$3,1,1),Dados!$A:$A,INDEX($D:$E,MATCH("L",$D:$D,0),2))=0,"",SUMIFS(Dados!$G:$G,Dados!$E:$E,$B221,Dados!$C:$C,INDEX(R$3,1,1),Dados!$A:$A,INDEX($D:$E,MATCH("L",$D:$D,0),2))/COUNTIFS(Dados!$E:$E,$B221,Dados!$C:$C,INDEX(R$3,1,1),Dados!$A:$A,INDEX($D:$E,MATCH("L",$D:$D,0),2)))</f>
        <v/>
      </c>
      <c r="S221" s="66" t="str">
        <f ca="1">IF(COUNTIFS(Dados!$E:$E,$B221,Dados!$C:$C,INDEX(S$3,1,1),Dados!$A:$A,INDEX($D:$E,MATCH("L",$D:$D,0),2))=0,"",SUMIFS(Dados!$G:$G,Dados!$E:$E,$B221,Dados!$C:$C,INDEX(S$3,1,1),Dados!$A:$A,INDEX($D:$E,MATCH("L",$D:$D,0),2))/COUNTIFS(Dados!$E:$E,$B221,Dados!$C:$C,INDEX(S$3,1,1),Dados!$A:$A,INDEX($D:$E,MATCH("L",$D:$D,0),2)))</f>
        <v/>
      </c>
      <c r="T221" s="66" t="str">
        <f ca="1">IF(COUNTIFS(Dados!$E:$E,$B221,Dados!$C:$C,INDEX(T$3,1,1),Dados!$A:$A,INDEX($D:$E,MATCH("L",$D:$D,0),2))=0,"",SUMIFS(Dados!$G:$G,Dados!$E:$E,$B221,Dados!$C:$C,INDEX(T$3,1,1),Dados!$A:$A,INDEX($D:$E,MATCH("L",$D:$D,0),2))/COUNTIFS(Dados!$E:$E,$B221,Dados!$C:$C,INDEX(T$3,1,1),Dados!$A:$A,INDEX($D:$E,MATCH("L",$D:$D,0),2)))</f>
        <v/>
      </c>
      <c r="U221" s="66" t="str">
        <f ca="1">IF(COUNTIFS(Dados!$E:$E,$B221,Dados!$C:$C,INDEX(U$3,1,1),Dados!$A:$A,INDEX($D:$E,MATCH("L",$D:$D,0),2))=0,"",SUMIFS(Dados!$G:$G,Dados!$E:$E,$B221,Dados!$C:$C,INDEX(U$3,1,1),Dados!$A:$A,INDEX($D:$E,MATCH("L",$D:$D,0),2))/COUNTIFS(Dados!$E:$E,$B221,Dados!$C:$C,INDEX(U$3,1,1),Dados!$A:$A,INDEX($D:$E,MATCH("L",$D:$D,0),2)))</f>
        <v/>
      </c>
      <c r="V221" s="66" t="str">
        <f ca="1">IF(COUNTIFS(Dados!$E:$E,$B221,Dados!$C:$C,INDEX(V$3,1,1),Dados!$A:$A,INDEX($D:$E,MATCH("L",$D:$D,0),2))=0,"",SUMIFS(Dados!$G:$G,Dados!$E:$E,$B221,Dados!$C:$C,INDEX(V$3,1,1),Dados!$A:$A,INDEX($D:$E,MATCH("L",$D:$D,0),2))/COUNTIFS(Dados!$E:$E,$B221,Dados!$C:$C,INDEX(V$3,1,1),Dados!$A:$A,INDEX($D:$E,MATCH("L",$D:$D,0),2)))</f>
        <v/>
      </c>
    </row>
    <row r="222" spans="2:22" x14ac:dyDescent="0.25">
      <c r="B222" s="67" t="s">
        <v>44</v>
      </c>
      <c r="C222" s="71">
        <f>VLOOKUP(B222,B4:C22,2,0)</f>
        <v>9</v>
      </c>
      <c r="D222" s="68" t="str">
        <f ca="1">IF(COUNTIFS(Dados!$E:$E,$B222,Dados!$C:$C,INDEX(D$3,1,1),Dados!$A:$A,INDEX($D:$E,MATCH("L",$D:$D,0),2))=0,"",SUMIFS(Dados!$G:$G,Dados!$E:$E,$B222,Dados!$C:$C,INDEX(D$3,1,1),Dados!$A:$A,INDEX($D:$E,MATCH("L",$D:$D,0),2))/COUNTIFS(Dados!$E:$E,$B222,Dados!$C:$C,INDEX(D$3,1,1),Dados!$A:$A,INDEX($D:$E,MATCH("L",$D:$D,0),2)))</f>
        <v/>
      </c>
      <c r="E222" s="68" t="str">
        <f ca="1">IF(COUNTIFS(Dados!$E:$E,$B222,Dados!$C:$C,INDEX(E$3,1,1),Dados!$A:$A,INDEX($D:$E,MATCH("L",$D:$D,0),2))=0,"",SUMIFS(Dados!$G:$G,Dados!$E:$E,$B222,Dados!$C:$C,INDEX(E$3,1,1),Dados!$A:$A,INDEX($D:$E,MATCH("L",$D:$D,0),2))/COUNTIFS(Dados!$E:$E,$B222,Dados!$C:$C,INDEX(E$3,1,1),Dados!$A:$A,INDEX($D:$E,MATCH("L",$D:$D,0),2)))</f>
        <v/>
      </c>
      <c r="F222" s="68" t="str">
        <f ca="1">IF(COUNTIFS(Dados!$E:$E,$B222,Dados!$C:$C,INDEX(F$3,1,1),Dados!$A:$A,INDEX($D:$E,MATCH("L",$D:$D,0),2))=0,"",SUMIFS(Dados!$G:$G,Dados!$E:$E,$B222,Dados!$C:$C,INDEX(F$3,1,1),Dados!$A:$A,INDEX($D:$E,MATCH("L",$D:$D,0),2))/COUNTIFS(Dados!$E:$E,$B222,Dados!$C:$C,INDEX(F$3,1,1),Dados!$A:$A,INDEX($D:$E,MATCH("L",$D:$D,0),2)))</f>
        <v/>
      </c>
      <c r="G222" s="68" t="str">
        <f ca="1">IF(COUNTIFS(Dados!$E:$E,$B222,Dados!$C:$C,INDEX(G$3,1,1),Dados!$A:$A,INDEX($D:$E,MATCH("L",$D:$D,0),2))=0,"",SUMIFS(Dados!$G:$G,Dados!$E:$E,$B222,Dados!$C:$C,INDEX(G$3,1,1),Dados!$A:$A,INDEX($D:$E,MATCH("L",$D:$D,0),2))/COUNTIFS(Dados!$E:$E,$B222,Dados!$C:$C,INDEX(G$3,1,1),Dados!$A:$A,INDEX($D:$E,MATCH("L",$D:$D,0),2)))</f>
        <v/>
      </c>
      <c r="H222" s="68" t="str">
        <f ca="1">IF(COUNTIFS(Dados!$E:$E,$B222,Dados!$C:$C,INDEX(H$3,1,1),Dados!$A:$A,INDEX($D:$E,MATCH("L",$D:$D,0),2))=0,"",SUMIFS(Dados!$G:$G,Dados!$E:$E,$B222,Dados!$C:$C,INDEX(H$3,1,1),Dados!$A:$A,INDEX($D:$E,MATCH("L",$D:$D,0),2))/COUNTIFS(Dados!$E:$E,$B222,Dados!$C:$C,INDEX(H$3,1,1),Dados!$A:$A,INDEX($D:$E,MATCH("L",$D:$D,0),2)))</f>
        <v/>
      </c>
      <c r="I222" s="68" t="str">
        <f ca="1">IF(COUNTIFS(Dados!$E:$E,$B222,Dados!$C:$C,INDEX(I$3,1,1),Dados!$A:$A,INDEX($D:$E,MATCH("L",$D:$D,0),2))=0,"",SUMIFS(Dados!$G:$G,Dados!$E:$E,$B222,Dados!$C:$C,INDEX(I$3,1,1),Dados!$A:$A,INDEX($D:$E,MATCH("L",$D:$D,0),2))/COUNTIFS(Dados!$E:$E,$B222,Dados!$C:$C,INDEX(I$3,1,1),Dados!$A:$A,INDEX($D:$E,MATCH("L",$D:$D,0),2)))</f>
        <v/>
      </c>
      <c r="J222" s="68" t="str">
        <f ca="1">IF(COUNTIFS(Dados!$E:$E,$B222,Dados!$C:$C,INDEX(J$3,1,1),Dados!$A:$A,INDEX($D:$E,MATCH("L",$D:$D,0),2))=0,"",SUMIFS(Dados!$G:$G,Dados!$E:$E,$B222,Dados!$C:$C,INDEX(J$3,1,1),Dados!$A:$A,INDEX($D:$E,MATCH("L",$D:$D,0),2))/COUNTIFS(Dados!$E:$E,$B222,Dados!$C:$C,INDEX(J$3,1,1),Dados!$A:$A,INDEX($D:$E,MATCH("L",$D:$D,0),2)))</f>
        <v/>
      </c>
      <c r="K222" s="68" t="str">
        <f ca="1">IF(COUNTIFS(Dados!$E:$E,$B222,Dados!$C:$C,INDEX(K$3,1,1),Dados!$A:$A,INDEX($D:$E,MATCH("L",$D:$D,0),2))=0,"",SUMIFS(Dados!$G:$G,Dados!$E:$E,$B222,Dados!$C:$C,INDEX(K$3,1,1),Dados!$A:$A,INDEX($D:$E,MATCH("L",$D:$D,0),2))/COUNTIFS(Dados!$E:$E,$B222,Dados!$C:$C,INDEX(K$3,1,1),Dados!$A:$A,INDEX($D:$E,MATCH("L",$D:$D,0),2)))</f>
        <v/>
      </c>
      <c r="L222" s="68" t="str">
        <f ca="1">IF(COUNTIFS(Dados!$E:$E,$B222,Dados!$C:$C,INDEX(L$3,1,1),Dados!$A:$A,INDEX($D:$E,MATCH("L",$D:$D,0),2))=0,"",SUMIFS(Dados!$G:$G,Dados!$E:$E,$B222,Dados!$C:$C,INDEX(L$3,1,1),Dados!$A:$A,INDEX($D:$E,MATCH("L",$D:$D,0),2))/COUNTIFS(Dados!$E:$E,$B222,Dados!$C:$C,INDEX(L$3,1,1),Dados!$A:$A,INDEX($D:$E,MATCH("L",$D:$D,0),2)))</f>
        <v/>
      </c>
      <c r="M222" s="68" t="str">
        <f ca="1">IF(COUNTIFS(Dados!$E:$E,$B222,Dados!$C:$C,INDEX(M$3,1,1),Dados!$A:$A,INDEX($D:$E,MATCH("L",$D:$D,0),2))=0,"",SUMIFS(Dados!$G:$G,Dados!$E:$E,$B222,Dados!$C:$C,INDEX(M$3,1,1),Dados!$A:$A,INDEX($D:$E,MATCH("L",$D:$D,0),2))/COUNTIFS(Dados!$E:$E,$B222,Dados!$C:$C,INDEX(M$3,1,1),Dados!$A:$A,INDEX($D:$E,MATCH("L",$D:$D,0),2)))</f>
        <v/>
      </c>
      <c r="N222" s="68" t="str">
        <f ca="1">IF(COUNTIFS(Dados!$E:$E,$B222,Dados!$C:$C,INDEX(N$3,1,1),Dados!$A:$A,INDEX($D:$E,MATCH("L",$D:$D,0),2))=0,"",SUMIFS(Dados!$G:$G,Dados!$E:$E,$B222,Dados!$C:$C,INDEX(N$3,1,1),Dados!$A:$A,INDEX($D:$E,MATCH("L",$D:$D,0),2))/COUNTIFS(Dados!$E:$E,$B222,Dados!$C:$C,INDEX(N$3,1,1),Dados!$A:$A,INDEX($D:$E,MATCH("L",$D:$D,0),2)))</f>
        <v/>
      </c>
      <c r="O222" s="68" t="str">
        <f ca="1">IF(COUNTIFS(Dados!$E:$E,$B222,Dados!$C:$C,INDEX(O$3,1,1),Dados!$A:$A,INDEX($D:$E,MATCH("L",$D:$D,0),2))=0,"",SUMIFS(Dados!$G:$G,Dados!$E:$E,$B222,Dados!$C:$C,INDEX(O$3,1,1),Dados!$A:$A,INDEX($D:$E,MATCH("L",$D:$D,0),2))/COUNTIFS(Dados!$E:$E,$B222,Dados!$C:$C,INDEX(O$3,1,1),Dados!$A:$A,INDEX($D:$E,MATCH("L",$D:$D,0),2)))</f>
        <v/>
      </c>
      <c r="P222" s="68" t="str">
        <f ca="1">IF(COUNTIFS(Dados!$E:$E,$B222,Dados!$C:$C,INDEX(P$3,1,1),Dados!$A:$A,INDEX($D:$E,MATCH("L",$D:$D,0),2))=0,"",SUMIFS(Dados!$G:$G,Dados!$E:$E,$B222,Dados!$C:$C,INDEX(P$3,1,1),Dados!$A:$A,INDEX($D:$E,MATCH("L",$D:$D,0),2))/COUNTIFS(Dados!$E:$E,$B222,Dados!$C:$C,INDEX(P$3,1,1),Dados!$A:$A,INDEX($D:$E,MATCH("L",$D:$D,0),2)))</f>
        <v/>
      </c>
      <c r="Q222" s="68" t="str">
        <f ca="1">IF(COUNTIFS(Dados!$E:$E,$B222,Dados!$C:$C,INDEX(Q$3,1,1),Dados!$A:$A,INDEX($D:$E,MATCH("L",$D:$D,0),2))=0,"",SUMIFS(Dados!$G:$G,Dados!$E:$E,$B222,Dados!$C:$C,INDEX(Q$3,1,1),Dados!$A:$A,INDEX($D:$E,MATCH("L",$D:$D,0),2))/COUNTIFS(Dados!$E:$E,$B222,Dados!$C:$C,INDEX(Q$3,1,1),Dados!$A:$A,INDEX($D:$E,MATCH("L",$D:$D,0),2)))</f>
        <v/>
      </c>
      <c r="R222" s="68" t="str">
        <f ca="1">IF(COUNTIFS(Dados!$E:$E,$B222,Dados!$C:$C,INDEX(R$3,1,1),Dados!$A:$A,INDEX($D:$E,MATCH("L",$D:$D,0),2))=0,"",SUMIFS(Dados!$G:$G,Dados!$E:$E,$B222,Dados!$C:$C,INDEX(R$3,1,1),Dados!$A:$A,INDEX($D:$E,MATCH("L",$D:$D,0),2))/COUNTIFS(Dados!$E:$E,$B222,Dados!$C:$C,INDEX(R$3,1,1),Dados!$A:$A,INDEX($D:$E,MATCH("L",$D:$D,0),2)))</f>
        <v/>
      </c>
      <c r="S222" s="68" t="str">
        <f ca="1">IF(COUNTIFS(Dados!$E:$E,$B222,Dados!$C:$C,INDEX(S$3,1,1),Dados!$A:$A,INDEX($D:$E,MATCH("L",$D:$D,0),2))=0,"",SUMIFS(Dados!$G:$G,Dados!$E:$E,$B222,Dados!$C:$C,INDEX(S$3,1,1),Dados!$A:$A,INDEX($D:$E,MATCH("L",$D:$D,0),2))/COUNTIFS(Dados!$E:$E,$B222,Dados!$C:$C,INDEX(S$3,1,1),Dados!$A:$A,INDEX($D:$E,MATCH("L",$D:$D,0),2)))</f>
        <v/>
      </c>
      <c r="T222" s="68" t="str">
        <f ca="1">IF(COUNTIFS(Dados!$E:$E,$B222,Dados!$C:$C,INDEX(T$3,1,1),Dados!$A:$A,INDEX($D:$E,MATCH("L",$D:$D,0),2))=0,"",SUMIFS(Dados!$G:$G,Dados!$E:$E,$B222,Dados!$C:$C,INDEX(T$3,1,1),Dados!$A:$A,INDEX($D:$E,MATCH("L",$D:$D,0),2))/COUNTIFS(Dados!$E:$E,$B222,Dados!$C:$C,INDEX(T$3,1,1),Dados!$A:$A,INDEX($D:$E,MATCH("L",$D:$D,0),2)))</f>
        <v/>
      </c>
      <c r="U222" s="68" t="str">
        <f ca="1">IF(COUNTIFS(Dados!$E:$E,$B222,Dados!$C:$C,INDEX(U$3,1,1),Dados!$A:$A,INDEX($D:$E,MATCH("L",$D:$D,0),2))=0,"",SUMIFS(Dados!$G:$G,Dados!$E:$E,$B222,Dados!$C:$C,INDEX(U$3,1,1),Dados!$A:$A,INDEX($D:$E,MATCH("L",$D:$D,0),2))/COUNTIFS(Dados!$E:$E,$B222,Dados!$C:$C,INDEX(U$3,1,1),Dados!$A:$A,INDEX($D:$E,MATCH("L",$D:$D,0),2)))</f>
        <v/>
      </c>
      <c r="V222" s="68" t="str">
        <f ca="1">IF(COUNTIFS(Dados!$E:$E,$B222,Dados!$C:$C,INDEX(V$3,1,1),Dados!$A:$A,INDEX($D:$E,MATCH("L",$D:$D,0),2))=0,"",SUMIFS(Dados!$G:$G,Dados!$E:$E,$B222,Dados!$C:$C,INDEX(V$3,1,1),Dados!$A:$A,INDEX($D:$E,MATCH("L",$D:$D,0),2))/COUNTIFS(Dados!$E:$E,$B222,Dados!$C:$C,INDEX(V$3,1,1),Dados!$A:$A,INDEX($D:$E,MATCH("L",$D:$D,0),2)))</f>
        <v/>
      </c>
    </row>
    <row r="223" spans="2:22" x14ac:dyDescent="0.25">
      <c r="B223" s="65" t="s">
        <v>147</v>
      </c>
      <c r="C223" s="72">
        <f>VLOOKUP(B223,B4:C22,2,0)</f>
        <v>10</v>
      </c>
      <c r="D223" s="66" t="str">
        <f ca="1">IF(COUNTIFS(Dados!$E:$E,$B223,Dados!$C:$C,INDEX(D$3,1,1),Dados!$A:$A,INDEX($D:$E,MATCH("L",$D:$D,0),2))=0,"",SUMIFS(Dados!$G:$G,Dados!$E:$E,$B223,Dados!$C:$C,INDEX(D$3,1,1),Dados!$A:$A,INDEX($D:$E,MATCH("L",$D:$D,0),2))/COUNTIFS(Dados!$E:$E,$B223,Dados!$C:$C,INDEX(D$3,1,1),Dados!$A:$A,INDEX($D:$E,MATCH("L",$D:$D,0),2)))</f>
        <v/>
      </c>
      <c r="E223" s="66" t="str">
        <f ca="1">IF(COUNTIFS(Dados!$E:$E,$B223,Dados!$C:$C,INDEX(E$3,1,1),Dados!$A:$A,INDEX($D:$E,MATCH("L",$D:$D,0),2))=0,"",SUMIFS(Dados!$G:$G,Dados!$E:$E,$B223,Dados!$C:$C,INDEX(E$3,1,1),Dados!$A:$A,INDEX($D:$E,MATCH("L",$D:$D,0),2))/COUNTIFS(Dados!$E:$E,$B223,Dados!$C:$C,INDEX(E$3,1,1),Dados!$A:$A,INDEX($D:$E,MATCH("L",$D:$D,0),2)))</f>
        <v/>
      </c>
      <c r="F223" s="66" t="str">
        <f ca="1">IF(COUNTIFS(Dados!$E:$E,$B223,Dados!$C:$C,INDEX(F$3,1,1),Dados!$A:$A,INDEX($D:$E,MATCH("L",$D:$D,0),2))=0,"",SUMIFS(Dados!$G:$G,Dados!$E:$E,$B223,Dados!$C:$C,INDEX(F$3,1,1),Dados!$A:$A,INDEX($D:$E,MATCH("L",$D:$D,0),2))/COUNTIFS(Dados!$E:$E,$B223,Dados!$C:$C,INDEX(F$3,1,1),Dados!$A:$A,INDEX($D:$E,MATCH("L",$D:$D,0),2)))</f>
        <v/>
      </c>
      <c r="G223" s="66" t="str">
        <f ca="1">IF(COUNTIFS(Dados!$E:$E,$B223,Dados!$C:$C,INDEX(G$3,1,1),Dados!$A:$A,INDEX($D:$E,MATCH("L",$D:$D,0),2))=0,"",SUMIFS(Dados!$G:$G,Dados!$E:$E,$B223,Dados!$C:$C,INDEX(G$3,1,1),Dados!$A:$A,INDEX($D:$E,MATCH("L",$D:$D,0),2))/COUNTIFS(Dados!$E:$E,$B223,Dados!$C:$C,INDEX(G$3,1,1),Dados!$A:$A,INDEX($D:$E,MATCH("L",$D:$D,0),2)))</f>
        <v/>
      </c>
      <c r="H223" s="66" t="str">
        <f ca="1">IF(COUNTIFS(Dados!$E:$E,$B223,Dados!$C:$C,INDEX(H$3,1,1),Dados!$A:$A,INDEX($D:$E,MATCH("L",$D:$D,0),2))=0,"",SUMIFS(Dados!$G:$G,Dados!$E:$E,$B223,Dados!$C:$C,INDEX(H$3,1,1),Dados!$A:$A,INDEX($D:$E,MATCH("L",$D:$D,0),2))/COUNTIFS(Dados!$E:$E,$B223,Dados!$C:$C,INDEX(H$3,1,1),Dados!$A:$A,INDEX($D:$E,MATCH("L",$D:$D,0),2)))</f>
        <v/>
      </c>
      <c r="I223" s="66" t="str">
        <f ca="1">IF(COUNTIFS(Dados!$E:$E,$B223,Dados!$C:$C,INDEX(I$3,1,1),Dados!$A:$A,INDEX($D:$E,MATCH("L",$D:$D,0),2))=0,"",SUMIFS(Dados!$G:$G,Dados!$E:$E,$B223,Dados!$C:$C,INDEX(I$3,1,1),Dados!$A:$A,INDEX($D:$E,MATCH("L",$D:$D,0),2))/COUNTIFS(Dados!$E:$E,$B223,Dados!$C:$C,INDEX(I$3,1,1),Dados!$A:$A,INDEX($D:$E,MATCH("L",$D:$D,0),2)))</f>
        <v/>
      </c>
      <c r="J223" s="66" t="str">
        <f ca="1">IF(COUNTIFS(Dados!$E:$E,$B223,Dados!$C:$C,INDEX(J$3,1,1),Dados!$A:$A,INDEX($D:$E,MATCH("L",$D:$D,0),2))=0,"",SUMIFS(Dados!$G:$G,Dados!$E:$E,$B223,Dados!$C:$C,INDEX(J$3,1,1),Dados!$A:$A,INDEX($D:$E,MATCH("L",$D:$D,0),2))/COUNTIFS(Dados!$E:$E,$B223,Dados!$C:$C,INDEX(J$3,1,1),Dados!$A:$A,INDEX($D:$E,MATCH("L",$D:$D,0),2)))</f>
        <v/>
      </c>
      <c r="K223" s="66" t="str">
        <f ca="1">IF(COUNTIFS(Dados!$E:$E,$B223,Dados!$C:$C,INDEX(K$3,1,1),Dados!$A:$A,INDEX($D:$E,MATCH("L",$D:$D,0),2))=0,"",SUMIFS(Dados!$G:$G,Dados!$E:$E,$B223,Dados!$C:$C,INDEX(K$3,1,1),Dados!$A:$A,INDEX($D:$E,MATCH("L",$D:$D,0),2))/COUNTIFS(Dados!$E:$E,$B223,Dados!$C:$C,INDEX(K$3,1,1),Dados!$A:$A,INDEX($D:$E,MATCH("L",$D:$D,0),2)))</f>
        <v/>
      </c>
      <c r="L223" s="66" t="str">
        <f ca="1">IF(COUNTIFS(Dados!$E:$E,$B223,Dados!$C:$C,INDEX(L$3,1,1),Dados!$A:$A,INDEX($D:$E,MATCH("L",$D:$D,0),2))=0,"",SUMIFS(Dados!$G:$G,Dados!$E:$E,$B223,Dados!$C:$C,INDEX(L$3,1,1),Dados!$A:$A,INDEX($D:$E,MATCH("L",$D:$D,0),2))/COUNTIFS(Dados!$E:$E,$B223,Dados!$C:$C,INDEX(L$3,1,1),Dados!$A:$A,INDEX($D:$E,MATCH("L",$D:$D,0),2)))</f>
        <v/>
      </c>
      <c r="M223" s="66" t="str">
        <f ca="1">IF(COUNTIFS(Dados!$E:$E,$B223,Dados!$C:$C,INDEX(M$3,1,1),Dados!$A:$A,INDEX($D:$E,MATCH("L",$D:$D,0),2))=0,"",SUMIFS(Dados!$G:$G,Dados!$E:$E,$B223,Dados!$C:$C,INDEX(M$3,1,1),Dados!$A:$A,INDEX($D:$E,MATCH("L",$D:$D,0),2))/COUNTIFS(Dados!$E:$E,$B223,Dados!$C:$C,INDEX(M$3,1,1),Dados!$A:$A,INDEX($D:$E,MATCH("L",$D:$D,0),2)))</f>
        <v/>
      </c>
      <c r="N223" s="66" t="str">
        <f ca="1">IF(COUNTIFS(Dados!$E:$E,$B223,Dados!$C:$C,INDEX(N$3,1,1),Dados!$A:$A,INDEX($D:$E,MATCH("L",$D:$D,0),2))=0,"",SUMIFS(Dados!$G:$G,Dados!$E:$E,$B223,Dados!$C:$C,INDEX(N$3,1,1),Dados!$A:$A,INDEX($D:$E,MATCH("L",$D:$D,0),2))/COUNTIFS(Dados!$E:$E,$B223,Dados!$C:$C,INDEX(N$3,1,1),Dados!$A:$A,INDEX($D:$E,MATCH("L",$D:$D,0),2)))</f>
        <v/>
      </c>
      <c r="O223" s="66" t="str">
        <f ca="1">IF(COUNTIFS(Dados!$E:$E,$B223,Dados!$C:$C,INDEX(O$3,1,1),Dados!$A:$A,INDEX($D:$E,MATCH("L",$D:$D,0),2))=0,"",SUMIFS(Dados!$G:$G,Dados!$E:$E,$B223,Dados!$C:$C,INDEX(O$3,1,1),Dados!$A:$A,INDEX($D:$E,MATCH("L",$D:$D,0),2))/COUNTIFS(Dados!$E:$E,$B223,Dados!$C:$C,INDEX(O$3,1,1),Dados!$A:$A,INDEX($D:$E,MATCH("L",$D:$D,0),2)))</f>
        <v/>
      </c>
      <c r="P223" s="66" t="str">
        <f ca="1">IF(COUNTIFS(Dados!$E:$E,$B223,Dados!$C:$C,INDEX(P$3,1,1),Dados!$A:$A,INDEX($D:$E,MATCH("L",$D:$D,0),2))=0,"",SUMIFS(Dados!$G:$G,Dados!$E:$E,$B223,Dados!$C:$C,INDEX(P$3,1,1),Dados!$A:$A,INDEX($D:$E,MATCH("L",$D:$D,0),2))/COUNTIFS(Dados!$E:$E,$B223,Dados!$C:$C,INDEX(P$3,1,1),Dados!$A:$A,INDEX($D:$E,MATCH("L",$D:$D,0),2)))</f>
        <v/>
      </c>
      <c r="Q223" s="66" t="str">
        <f ca="1">IF(COUNTIFS(Dados!$E:$E,$B223,Dados!$C:$C,INDEX(Q$3,1,1),Dados!$A:$A,INDEX($D:$E,MATCH("L",$D:$D,0),2))=0,"",SUMIFS(Dados!$G:$G,Dados!$E:$E,$B223,Dados!$C:$C,INDEX(Q$3,1,1),Dados!$A:$A,INDEX($D:$E,MATCH("L",$D:$D,0),2))/COUNTIFS(Dados!$E:$E,$B223,Dados!$C:$C,INDEX(Q$3,1,1),Dados!$A:$A,INDEX($D:$E,MATCH("L",$D:$D,0),2)))</f>
        <v/>
      </c>
      <c r="R223" s="66" t="str">
        <f ca="1">IF(COUNTIFS(Dados!$E:$E,$B223,Dados!$C:$C,INDEX(R$3,1,1),Dados!$A:$A,INDEX($D:$E,MATCH("L",$D:$D,0),2))=0,"",SUMIFS(Dados!$G:$G,Dados!$E:$E,$B223,Dados!$C:$C,INDEX(R$3,1,1),Dados!$A:$A,INDEX($D:$E,MATCH("L",$D:$D,0),2))/COUNTIFS(Dados!$E:$E,$B223,Dados!$C:$C,INDEX(R$3,1,1),Dados!$A:$A,INDEX($D:$E,MATCH("L",$D:$D,0),2)))</f>
        <v/>
      </c>
      <c r="S223" s="66" t="str">
        <f ca="1">IF(COUNTIFS(Dados!$E:$E,$B223,Dados!$C:$C,INDEX(S$3,1,1),Dados!$A:$A,INDEX($D:$E,MATCH("L",$D:$D,0),2))=0,"",SUMIFS(Dados!$G:$G,Dados!$E:$E,$B223,Dados!$C:$C,INDEX(S$3,1,1),Dados!$A:$A,INDEX($D:$E,MATCH("L",$D:$D,0),2))/COUNTIFS(Dados!$E:$E,$B223,Dados!$C:$C,INDEX(S$3,1,1),Dados!$A:$A,INDEX($D:$E,MATCH("L",$D:$D,0),2)))</f>
        <v/>
      </c>
      <c r="T223" s="66" t="str">
        <f ca="1">IF(COUNTIFS(Dados!$E:$E,$B223,Dados!$C:$C,INDEX(T$3,1,1),Dados!$A:$A,INDEX($D:$E,MATCH("L",$D:$D,0),2))=0,"",SUMIFS(Dados!$G:$G,Dados!$E:$E,$B223,Dados!$C:$C,INDEX(T$3,1,1),Dados!$A:$A,INDEX($D:$E,MATCH("L",$D:$D,0),2))/COUNTIFS(Dados!$E:$E,$B223,Dados!$C:$C,INDEX(T$3,1,1),Dados!$A:$A,INDEX($D:$E,MATCH("L",$D:$D,0),2)))</f>
        <v/>
      </c>
      <c r="U223" s="66" t="str">
        <f ca="1">IF(COUNTIFS(Dados!$E:$E,$B223,Dados!$C:$C,INDEX(U$3,1,1),Dados!$A:$A,INDEX($D:$E,MATCH("L",$D:$D,0),2))=0,"",SUMIFS(Dados!$G:$G,Dados!$E:$E,$B223,Dados!$C:$C,INDEX(U$3,1,1),Dados!$A:$A,INDEX($D:$E,MATCH("L",$D:$D,0),2))/COUNTIFS(Dados!$E:$E,$B223,Dados!$C:$C,INDEX(U$3,1,1),Dados!$A:$A,INDEX($D:$E,MATCH("L",$D:$D,0),2)))</f>
        <v/>
      </c>
      <c r="V223" s="66" t="str">
        <f ca="1">IF(COUNTIFS(Dados!$E:$E,$B223,Dados!$C:$C,INDEX(V$3,1,1),Dados!$A:$A,INDEX($D:$E,MATCH("L",$D:$D,0),2))=0,"",SUMIFS(Dados!$G:$G,Dados!$E:$E,$B223,Dados!$C:$C,INDEX(V$3,1,1),Dados!$A:$A,INDEX($D:$E,MATCH("L",$D:$D,0),2))/COUNTIFS(Dados!$E:$E,$B223,Dados!$C:$C,INDEX(V$3,1,1),Dados!$A:$A,INDEX($D:$E,MATCH("L",$D:$D,0),2)))</f>
        <v/>
      </c>
    </row>
    <row r="224" spans="2:22" x14ac:dyDescent="0.25">
      <c r="B224" s="67" t="s">
        <v>898</v>
      </c>
      <c r="C224" s="71">
        <f>VLOOKUP(B224,B4:C22,2,0)</f>
        <v>11</v>
      </c>
      <c r="D224" s="68" t="str">
        <f ca="1">IF(COUNTIFS(Dados!$E:$E,$B224,Dados!$C:$C,INDEX(D$3,1,1),Dados!$A:$A,INDEX($D:$E,MATCH("L",$D:$D,0),2))=0,"",SUMIFS(Dados!$G:$G,Dados!$E:$E,$B224,Dados!$C:$C,INDEX(D$3,1,1),Dados!$A:$A,INDEX($D:$E,MATCH("L",$D:$D,0),2))/COUNTIFS(Dados!$E:$E,$B224,Dados!$C:$C,INDEX(D$3,1,1),Dados!$A:$A,INDEX($D:$E,MATCH("L",$D:$D,0),2)))</f>
        <v/>
      </c>
      <c r="E224" s="68" t="str">
        <f ca="1">IF(COUNTIFS(Dados!$E:$E,$B224,Dados!$C:$C,INDEX(E$3,1,1),Dados!$A:$A,INDEX($D:$E,MATCH("L",$D:$D,0),2))=0,"",SUMIFS(Dados!$G:$G,Dados!$E:$E,$B224,Dados!$C:$C,INDEX(E$3,1,1),Dados!$A:$A,INDEX($D:$E,MATCH("L",$D:$D,0),2))/COUNTIFS(Dados!$E:$E,$B224,Dados!$C:$C,INDEX(E$3,1,1),Dados!$A:$A,INDEX($D:$E,MATCH("L",$D:$D,0),2)))</f>
        <v/>
      </c>
      <c r="F224" s="68" t="str">
        <f ca="1">IF(COUNTIFS(Dados!$E:$E,$B224,Dados!$C:$C,INDEX(F$3,1,1),Dados!$A:$A,INDEX($D:$E,MATCH("L",$D:$D,0),2))=0,"",SUMIFS(Dados!$G:$G,Dados!$E:$E,$B224,Dados!$C:$C,INDEX(F$3,1,1),Dados!$A:$A,INDEX($D:$E,MATCH("L",$D:$D,0),2))/COUNTIFS(Dados!$E:$E,$B224,Dados!$C:$C,INDEX(F$3,1,1),Dados!$A:$A,INDEX($D:$E,MATCH("L",$D:$D,0),2)))</f>
        <v/>
      </c>
      <c r="G224" s="68" t="str">
        <f ca="1">IF(COUNTIFS(Dados!$E:$E,$B224,Dados!$C:$C,INDEX(G$3,1,1),Dados!$A:$A,INDEX($D:$E,MATCH("L",$D:$D,0),2))=0,"",SUMIFS(Dados!$G:$G,Dados!$E:$E,$B224,Dados!$C:$C,INDEX(G$3,1,1),Dados!$A:$A,INDEX($D:$E,MATCH("L",$D:$D,0),2))/COUNTIFS(Dados!$E:$E,$B224,Dados!$C:$C,INDEX(G$3,1,1),Dados!$A:$A,INDEX($D:$E,MATCH("L",$D:$D,0),2)))</f>
        <v/>
      </c>
      <c r="H224" s="68" t="str">
        <f ca="1">IF(COUNTIFS(Dados!$E:$E,$B224,Dados!$C:$C,INDEX(H$3,1,1),Dados!$A:$A,INDEX($D:$E,MATCH("L",$D:$D,0),2))=0,"",SUMIFS(Dados!$G:$G,Dados!$E:$E,$B224,Dados!$C:$C,INDEX(H$3,1,1),Dados!$A:$A,INDEX($D:$E,MATCH("L",$D:$D,0),2))/COUNTIFS(Dados!$E:$E,$B224,Dados!$C:$C,INDEX(H$3,1,1),Dados!$A:$A,INDEX($D:$E,MATCH("L",$D:$D,0),2)))</f>
        <v/>
      </c>
      <c r="I224" s="68" t="str">
        <f ca="1">IF(COUNTIFS(Dados!$E:$E,$B224,Dados!$C:$C,INDEX(I$3,1,1),Dados!$A:$A,INDEX($D:$E,MATCH("L",$D:$D,0),2))=0,"",SUMIFS(Dados!$G:$G,Dados!$E:$E,$B224,Dados!$C:$C,INDEX(I$3,1,1),Dados!$A:$A,INDEX($D:$E,MATCH("L",$D:$D,0),2))/COUNTIFS(Dados!$E:$E,$B224,Dados!$C:$C,INDEX(I$3,1,1),Dados!$A:$A,INDEX($D:$E,MATCH("L",$D:$D,0),2)))</f>
        <v/>
      </c>
      <c r="J224" s="68" t="str">
        <f ca="1">IF(COUNTIFS(Dados!$E:$E,$B224,Dados!$C:$C,INDEX(J$3,1,1),Dados!$A:$A,INDEX($D:$E,MATCH("L",$D:$D,0),2))=0,"",SUMIFS(Dados!$G:$G,Dados!$E:$E,$B224,Dados!$C:$C,INDEX(J$3,1,1),Dados!$A:$A,INDEX($D:$E,MATCH("L",$D:$D,0),2))/COUNTIFS(Dados!$E:$E,$B224,Dados!$C:$C,INDEX(J$3,1,1),Dados!$A:$A,INDEX($D:$E,MATCH("L",$D:$D,0),2)))</f>
        <v/>
      </c>
      <c r="K224" s="68" t="str">
        <f ca="1">IF(COUNTIFS(Dados!$E:$E,$B224,Dados!$C:$C,INDEX(K$3,1,1),Dados!$A:$A,INDEX($D:$E,MATCH("L",$D:$D,0),2))=0,"",SUMIFS(Dados!$G:$G,Dados!$E:$E,$B224,Dados!$C:$C,INDEX(K$3,1,1),Dados!$A:$A,INDEX($D:$E,MATCH("L",$D:$D,0),2))/COUNTIFS(Dados!$E:$E,$B224,Dados!$C:$C,INDEX(K$3,1,1),Dados!$A:$A,INDEX($D:$E,MATCH("L",$D:$D,0),2)))</f>
        <v/>
      </c>
      <c r="L224" s="68" t="str">
        <f ca="1">IF(COUNTIFS(Dados!$E:$E,$B224,Dados!$C:$C,INDEX(L$3,1,1),Dados!$A:$A,INDEX($D:$E,MATCH("L",$D:$D,0),2))=0,"",SUMIFS(Dados!$G:$G,Dados!$E:$E,$B224,Dados!$C:$C,INDEX(L$3,1,1),Dados!$A:$A,INDEX($D:$E,MATCH("L",$D:$D,0),2))/COUNTIFS(Dados!$E:$E,$B224,Dados!$C:$C,INDEX(L$3,1,1),Dados!$A:$A,INDEX($D:$E,MATCH("L",$D:$D,0),2)))</f>
        <v/>
      </c>
      <c r="M224" s="68" t="str">
        <f ca="1">IF(COUNTIFS(Dados!$E:$E,$B224,Dados!$C:$C,INDEX(M$3,1,1),Dados!$A:$A,INDEX($D:$E,MATCH("L",$D:$D,0),2))=0,"",SUMIFS(Dados!$G:$G,Dados!$E:$E,$B224,Dados!$C:$C,INDEX(M$3,1,1),Dados!$A:$A,INDEX($D:$E,MATCH("L",$D:$D,0),2))/COUNTIFS(Dados!$E:$E,$B224,Dados!$C:$C,INDEX(M$3,1,1),Dados!$A:$A,INDEX($D:$E,MATCH("L",$D:$D,0),2)))</f>
        <v/>
      </c>
      <c r="N224" s="68" t="str">
        <f ca="1">IF(COUNTIFS(Dados!$E:$E,$B224,Dados!$C:$C,INDEX(N$3,1,1),Dados!$A:$A,INDEX($D:$E,MATCH("L",$D:$D,0),2))=0,"",SUMIFS(Dados!$G:$G,Dados!$E:$E,$B224,Dados!$C:$C,INDEX(N$3,1,1),Dados!$A:$A,INDEX($D:$E,MATCH("L",$D:$D,0),2))/COUNTIFS(Dados!$E:$E,$B224,Dados!$C:$C,INDEX(N$3,1,1),Dados!$A:$A,INDEX($D:$E,MATCH("L",$D:$D,0),2)))</f>
        <v/>
      </c>
      <c r="O224" s="68" t="str">
        <f ca="1">IF(COUNTIFS(Dados!$E:$E,$B224,Dados!$C:$C,INDEX(O$3,1,1),Dados!$A:$A,INDEX($D:$E,MATCH("L",$D:$D,0),2))=0,"",SUMIFS(Dados!$G:$G,Dados!$E:$E,$B224,Dados!$C:$C,INDEX(O$3,1,1),Dados!$A:$A,INDEX($D:$E,MATCH("L",$D:$D,0),2))/COUNTIFS(Dados!$E:$E,$B224,Dados!$C:$C,INDEX(O$3,1,1),Dados!$A:$A,INDEX($D:$E,MATCH("L",$D:$D,0),2)))</f>
        <v/>
      </c>
      <c r="P224" s="68" t="str">
        <f ca="1">IF(COUNTIFS(Dados!$E:$E,$B224,Dados!$C:$C,INDEX(P$3,1,1),Dados!$A:$A,INDEX($D:$E,MATCH("L",$D:$D,0),2))=0,"",SUMIFS(Dados!$G:$G,Dados!$E:$E,$B224,Dados!$C:$C,INDEX(P$3,1,1),Dados!$A:$A,INDEX($D:$E,MATCH("L",$D:$D,0),2))/COUNTIFS(Dados!$E:$E,$B224,Dados!$C:$C,INDEX(P$3,1,1),Dados!$A:$A,INDEX($D:$E,MATCH("L",$D:$D,0),2)))</f>
        <v/>
      </c>
      <c r="Q224" s="68" t="str">
        <f ca="1">IF(COUNTIFS(Dados!$E:$E,$B224,Dados!$C:$C,INDEX(Q$3,1,1),Dados!$A:$A,INDEX($D:$E,MATCH("L",$D:$D,0),2))=0,"",SUMIFS(Dados!$G:$G,Dados!$E:$E,$B224,Dados!$C:$C,INDEX(Q$3,1,1),Dados!$A:$A,INDEX($D:$E,MATCH("L",$D:$D,0),2))/COUNTIFS(Dados!$E:$E,$B224,Dados!$C:$C,INDEX(Q$3,1,1),Dados!$A:$A,INDEX($D:$E,MATCH("L",$D:$D,0),2)))</f>
        <v/>
      </c>
      <c r="R224" s="68" t="str">
        <f ca="1">IF(COUNTIFS(Dados!$E:$E,$B224,Dados!$C:$C,INDEX(R$3,1,1),Dados!$A:$A,INDEX($D:$E,MATCH("L",$D:$D,0),2))=0,"",SUMIFS(Dados!$G:$G,Dados!$E:$E,$B224,Dados!$C:$C,INDEX(R$3,1,1),Dados!$A:$A,INDEX($D:$E,MATCH("L",$D:$D,0),2))/COUNTIFS(Dados!$E:$E,$B224,Dados!$C:$C,INDEX(R$3,1,1),Dados!$A:$A,INDEX($D:$E,MATCH("L",$D:$D,0),2)))</f>
        <v/>
      </c>
      <c r="S224" s="68" t="str">
        <f ca="1">IF(COUNTIFS(Dados!$E:$E,$B224,Dados!$C:$C,INDEX(S$3,1,1),Dados!$A:$A,INDEX($D:$E,MATCH("L",$D:$D,0),2))=0,"",SUMIFS(Dados!$G:$G,Dados!$E:$E,$B224,Dados!$C:$C,INDEX(S$3,1,1),Dados!$A:$A,INDEX($D:$E,MATCH("L",$D:$D,0),2))/COUNTIFS(Dados!$E:$E,$B224,Dados!$C:$C,INDEX(S$3,1,1),Dados!$A:$A,INDEX($D:$E,MATCH("L",$D:$D,0),2)))</f>
        <v/>
      </c>
      <c r="T224" s="68" t="str">
        <f ca="1">IF(COUNTIFS(Dados!$E:$E,$B224,Dados!$C:$C,INDEX(T$3,1,1),Dados!$A:$A,INDEX($D:$E,MATCH("L",$D:$D,0),2))=0,"",SUMIFS(Dados!$G:$G,Dados!$E:$E,$B224,Dados!$C:$C,INDEX(T$3,1,1),Dados!$A:$A,INDEX($D:$E,MATCH("L",$D:$D,0),2))/COUNTIFS(Dados!$E:$E,$B224,Dados!$C:$C,INDEX(T$3,1,1),Dados!$A:$A,INDEX($D:$E,MATCH("L",$D:$D,0),2)))</f>
        <v/>
      </c>
      <c r="U224" s="68" t="str">
        <f ca="1">IF(COUNTIFS(Dados!$E:$E,$B224,Dados!$C:$C,INDEX(U$3,1,1),Dados!$A:$A,INDEX($D:$E,MATCH("L",$D:$D,0),2))=0,"",SUMIFS(Dados!$G:$G,Dados!$E:$E,$B224,Dados!$C:$C,INDEX(U$3,1,1),Dados!$A:$A,INDEX($D:$E,MATCH("L",$D:$D,0),2))/COUNTIFS(Dados!$E:$E,$B224,Dados!$C:$C,INDEX(U$3,1,1),Dados!$A:$A,INDEX($D:$E,MATCH("L",$D:$D,0),2)))</f>
        <v/>
      </c>
      <c r="V224" s="68" t="str">
        <f ca="1">IF(COUNTIFS(Dados!$E:$E,$B224,Dados!$C:$C,INDEX(V$3,1,1),Dados!$A:$A,INDEX($D:$E,MATCH("L",$D:$D,0),2))=0,"",SUMIFS(Dados!$G:$G,Dados!$E:$E,$B224,Dados!$C:$C,INDEX(V$3,1,1),Dados!$A:$A,INDEX($D:$E,MATCH("L",$D:$D,0),2))/COUNTIFS(Dados!$E:$E,$B224,Dados!$C:$C,INDEX(V$3,1,1),Dados!$A:$A,INDEX($D:$E,MATCH("L",$D:$D,0),2)))</f>
        <v/>
      </c>
    </row>
    <row r="225" spans="2:22" x14ac:dyDescent="0.25">
      <c r="B225" s="65" t="s">
        <v>1301</v>
      </c>
      <c r="C225" s="72">
        <f>VLOOKUP(B225,B4:C22,2,0)</f>
        <v>12</v>
      </c>
      <c r="D225" s="66" t="str">
        <f ca="1">IF(COUNTIFS(Dados!$E:$E,$B225,Dados!$C:$C,INDEX(D$3,1,1),Dados!$A:$A,INDEX($D:$E,MATCH("L",$D:$D,0),2))=0,"",SUMIFS(Dados!$G:$G,Dados!$E:$E,$B225,Dados!$C:$C,INDEX(D$3,1,1),Dados!$A:$A,INDEX($D:$E,MATCH("L",$D:$D,0),2))/COUNTIFS(Dados!$E:$E,$B225,Dados!$C:$C,INDEX(D$3,1,1),Dados!$A:$A,INDEX($D:$E,MATCH("L",$D:$D,0),2)))</f>
        <v/>
      </c>
      <c r="E225" s="66" t="str">
        <f ca="1">IF(COUNTIFS(Dados!$E:$E,$B225,Dados!$C:$C,INDEX(E$3,1,1),Dados!$A:$A,INDEX($D:$E,MATCH("L",$D:$D,0),2))=0,"",SUMIFS(Dados!$G:$G,Dados!$E:$E,$B225,Dados!$C:$C,INDEX(E$3,1,1),Dados!$A:$A,INDEX($D:$E,MATCH("L",$D:$D,0),2))/COUNTIFS(Dados!$E:$E,$B225,Dados!$C:$C,INDEX(E$3,1,1),Dados!$A:$A,INDEX($D:$E,MATCH("L",$D:$D,0),2)))</f>
        <v/>
      </c>
      <c r="F225" s="66" t="str">
        <f ca="1">IF(COUNTIFS(Dados!$E:$E,$B225,Dados!$C:$C,INDEX(F$3,1,1),Dados!$A:$A,INDEX($D:$E,MATCH("L",$D:$D,0),2))=0,"",SUMIFS(Dados!$G:$G,Dados!$E:$E,$B225,Dados!$C:$C,INDEX(F$3,1,1),Dados!$A:$A,INDEX($D:$E,MATCH("L",$D:$D,0),2))/COUNTIFS(Dados!$E:$E,$B225,Dados!$C:$C,INDEX(F$3,1,1),Dados!$A:$A,INDEX($D:$E,MATCH("L",$D:$D,0),2)))</f>
        <v/>
      </c>
      <c r="G225" s="66" t="str">
        <f ca="1">IF(COUNTIFS(Dados!$E:$E,$B225,Dados!$C:$C,INDEX(G$3,1,1),Dados!$A:$A,INDEX($D:$E,MATCH("L",$D:$D,0),2))=0,"",SUMIFS(Dados!$G:$G,Dados!$E:$E,$B225,Dados!$C:$C,INDEX(G$3,1,1),Dados!$A:$A,INDEX($D:$E,MATCH("L",$D:$D,0),2))/COUNTIFS(Dados!$E:$E,$B225,Dados!$C:$C,INDEX(G$3,1,1),Dados!$A:$A,INDEX($D:$E,MATCH("L",$D:$D,0),2)))</f>
        <v/>
      </c>
      <c r="H225" s="66" t="str">
        <f ca="1">IF(COUNTIFS(Dados!$E:$E,$B225,Dados!$C:$C,INDEX(H$3,1,1),Dados!$A:$A,INDEX($D:$E,MATCH("L",$D:$D,0),2))=0,"",SUMIFS(Dados!$G:$G,Dados!$E:$E,$B225,Dados!$C:$C,INDEX(H$3,1,1),Dados!$A:$A,INDEX($D:$E,MATCH("L",$D:$D,0),2))/COUNTIFS(Dados!$E:$E,$B225,Dados!$C:$C,INDEX(H$3,1,1),Dados!$A:$A,INDEX($D:$E,MATCH("L",$D:$D,0),2)))</f>
        <v/>
      </c>
      <c r="I225" s="66" t="str">
        <f ca="1">IF(COUNTIFS(Dados!$E:$E,$B225,Dados!$C:$C,INDEX(I$3,1,1),Dados!$A:$A,INDEX($D:$E,MATCH("L",$D:$D,0),2))=0,"",SUMIFS(Dados!$G:$G,Dados!$E:$E,$B225,Dados!$C:$C,INDEX(I$3,1,1),Dados!$A:$A,INDEX($D:$E,MATCH("L",$D:$D,0),2))/COUNTIFS(Dados!$E:$E,$B225,Dados!$C:$C,INDEX(I$3,1,1),Dados!$A:$A,INDEX($D:$E,MATCH("L",$D:$D,0),2)))</f>
        <v/>
      </c>
      <c r="J225" s="66" t="str">
        <f ca="1">IF(COUNTIFS(Dados!$E:$E,$B225,Dados!$C:$C,INDEX(J$3,1,1),Dados!$A:$A,INDEX($D:$E,MATCH("L",$D:$D,0),2))=0,"",SUMIFS(Dados!$G:$G,Dados!$E:$E,$B225,Dados!$C:$C,INDEX(J$3,1,1),Dados!$A:$A,INDEX($D:$E,MATCH("L",$D:$D,0),2))/COUNTIFS(Dados!$E:$E,$B225,Dados!$C:$C,INDEX(J$3,1,1),Dados!$A:$A,INDEX($D:$E,MATCH("L",$D:$D,0),2)))</f>
        <v/>
      </c>
      <c r="K225" s="66" t="str">
        <f ca="1">IF(COUNTIFS(Dados!$E:$E,$B225,Dados!$C:$C,INDEX(K$3,1,1),Dados!$A:$A,INDEX($D:$E,MATCH("L",$D:$D,0),2))=0,"",SUMIFS(Dados!$G:$G,Dados!$E:$E,$B225,Dados!$C:$C,INDEX(K$3,1,1),Dados!$A:$A,INDEX($D:$E,MATCH("L",$D:$D,0),2))/COUNTIFS(Dados!$E:$E,$B225,Dados!$C:$C,INDEX(K$3,1,1),Dados!$A:$A,INDEX($D:$E,MATCH("L",$D:$D,0),2)))</f>
        <v/>
      </c>
      <c r="L225" s="66" t="str">
        <f ca="1">IF(COUNTIFS(Dados!$E:$E,$B225,Dados!$C:$C,INDEX(L$3,1,1),Dados!$A:$A,INDEX($D:$E,MATCH("L",$D:$D,0),2))=0,"",SUMIFS(Dados!$G:$G,Dados!$E:$E,$B225,Dados!$C:$C,INDEX(L$3,1,1),Dados!$A:$A,INDEX($D:$E,MATCH("L",$D:$D,0),2))/COUNTIFS(Dados!$E:$E,$B225,Dados!$C:$C,INDEX(L$3,1,1),Dados!$A:$A,INDEX($D:$E,MATCH("L",$D:$D,0),2)))</f>
        <v/>
      </c>
      <c r="M225" s="66" t="str">
        <f ca="1">IF(COUNTIFS(Dados!$E:$E,$B225,Dados!$C:$C,INDEX(M$3,1,1),Dados!$A:$A,INDEX($D:$E,MATCH("L",$D:$D,0),2))=0,"",SUMIFS(Dados!$G:$G,Dados!$E:$E,$B225,Dados!$C:$C,INDEX(M$3,1,1),Dados!$A:$A,INDEX($D:$E,MATCH("L",$D:$D,0),2))/COUNTIFS(Dados!$E:$E,$B225,Dados!$C:$C,INDEX(M$3,1,1),Dados!$A:$A,INDEX($D:$E,MATCH("L",$D:$D,0),2)))</f>
        <v/>
      </c>
      <c r="N225" s="66" t="str">
        <f ca="1">IF(COUNTIFS(Dados!$E:$E,$B225,Dados!$C:$C,INDEX(N$3,1,1),Dados!$A:$A,INDEX($D:$E,MATCH("L",$D:$D,0),2))=0,"",SUMIFS(Dados!$G:$G,Dados!$E:$E,$B225,Dados!$C:$C,INDEX(N$3,1,1),Dados!$A:$A,INDEX($D:$E,MATCH("L",$D:$D,0),2))/COUNTIFS(Dados!$E:$E,$B225,Dados!$C:$C,INDEX(N$3,1,1),Dados!$A:$A,INDEX($D:$E,MATCH("L",$D:$D,0),2)))</f>
        <v/>
      </c>
      <c r="O225" s="66" t="str">
        <f ca="1">IF(COUNTIFS(Dados!$E:$E,$B225,Dados!$C:$C,INDEX(O$3,1,1),Dados!$A:$A,INDEX($D:$E,MATCH("L",$D:$D,0),2))=0,"",SUMIFS(Dados!$G:$G,Dados!$E:$E,$B225,Dados!$C:$C,INDEX(O$3,1,1),Dados!$A:$A,INDEX($D:$E,MATCH("L",$D:$D,0),2))/COUNTIFS(Dados!$E:$E,$B225,Dados!$C:$C,INDEX(O$3,1,1),Dados!$A:$A,INDEX($D:$E,MATCH("L",$D:$D,0),2)))</f>
        <v/>
      </c>
      <c r="P225" s="66" t="str">
        <f ca="1">IF(COUNTIFS(Dados!$E:$E,$B225,Dados!$C:$C,INDEX(P$3,1,1),Dados!$A:$A,INDEX($D:$E,MATCH("L",$D:$D,0),2))=0,"",SUMIFS(Dados!$G:$G,Dados!$E:$E,$B225,Dados!$C:$C,INDEX(P$3,1,1),Dados!$A:$A,INDEX($D:$E,MATCH("L",$D:$D,0),2))/COUNTIFS(Dados!$E:$E,$B225,Dados!$C:$C,INDEX(P$3,1,1),Dados!$A:$A,INDEX($D:$E,MATCH("L",$D:$D,0),2)))</f>
        <v/>
      </c>
      <c r="Q225" s="66" t="str">
        <f ca="1">IF(COUNTIFS(Dados!$E:$E,$B225,Dados!$C:$C,INDEX(Q$3,1,1),Dados!$A:$A,INDEX($D:$E,MATCH("L",$D:$D,0),2))=0,"",SUMIFS(Dados!$G:$G,Dados!$E:$E,$B225,Dados!$C:$C,INDEX(Q$3,1,1),Dados!$A:$A,INDEX($D:$E,MATCH("L",$D:$D,0),2))/COUNTIFS(Dados!$E:$E,$B225,Dados!$C:$C,INDEX(Q$3,1,1),Dados!$A:$A,INDEX($D:$E,MATCH("L",$D:$D,0),2)))</f>
        <v/>
      </c>
      <c r="R225" s="66" t="str">
        <f ca="1">IF(COUNTIFS(Dados!$E:$E,$B225,Dados!$C:$C,INDEX(R$3,1,1),Dados!$A:$A,INDEX($D:$E,MATCH("L",$D:$D,0),2))=0,"",SUMIFS(Dados!$G:$G,Dados!$E:$E,$B225,Dados!$C:$C,INDEX(R$3,1,1),Dados!$A:$A,INDEX($D:$E,MATCH("L",$D:$D,0),2))/COUNTIFS(Dados!$E:$E,$B225,Dados!$C:$C,INDEX(R$3,1,1),Dados!$A:$A,INDEX($D:$E,MATCH("L",$D:$D,0),2)))</f>
        <v/>
      </c>
      <c r="S225" s="66" t="str">
        <f ca="1">IF(COUNTIFS(Dados!$E:$E,$B225,Dados!$C:$C,INDEX(S$3,1,1),Dados!$A:$A,INDEX($D:$E,MATCH("L",$D:$D,0),2))=0,"",SUMIFS(Dados!$G:$G,Dados!$E:$E,$B225,Dados!$C:$C,INDEX(S$3,1,1),Dados!$A:$A,INDEX($D:$E,MATCH("L",$D:$D,0),2))/COUNTIFS(Dados!$E:$E,$B225,Dados!$C:$C,INDEX(S$3,1,1),Dados!$A:$A,INDEX($D:$E,MATCH("L",$D:$D,0),2)))</f>
        <v/>
      </c>
      <c r="T225" s="66" t="str">
        <f ca="1">IF(COUNTIFS(Dados!$E:$E,$B225,Dados!$C:$C,INDEX(T$3,1,1),Dados!$A:$A,INDEX($D:$E,MATCH("L",$D:$D,0),2))=0,"",SUMIFS(Dados!$G:$G,Dados!$E:$E,$B225,Dados!$C:$C,INDEX(T$3,1,1),Dados!$A:$A,INDEX($D:$E,MATCH("L",$D:$D,0),2))/COUNTIFS(Dados!$E:$E,$B225,Dados!$C:$C,INDEX(T$3,1,1),Dados!$A:$A,INDEX($D:$E,MATCH("L",$D:$D,0),2)))</f>
        <v/>
      </c>
      <c r="U225" s="66" t="str">
        <f ca="1">IF(COUNTIFS(Dados!$E:$E,$B225,Dados!$C:$C,INDEX(U$3,1,1),Dados!$A:$A,INDEX($D:$E,MATCH("L",$D:$D,0),2))=0,"",SUMIFS(Dados!$G:$G,Dados!$E:$E,$B225,Dados!$C:$C,INDEX(U$3,1,1),Dados!$A:$A,INDEX($D:$E,MATCH("L",$D:$D,0),2))/COUNTIFS(Dados!$E:$E,$B225,Dados!$C:$C,INDEX(U$3,1,1),Dados!$A:$A,INDEX($D:$E,MATCH("L",$D:$D,0),2)))</f>
        <v/>
      </c>
      <c r="V225" s="66" t="str">
        <f ca="1">IF(COUNTIFS(Dados!$E:$E,$B225,Dados!$C:$C,INDEX(V$3,1,1),Dados!$A:$A,INDEX($D:$E,MATCH("L",$D:$D,0),2))=0,"",SUMIFS(Dados!$G:$G,Dados!$E:$E,$B225,Dados!$C:$C,INDEX(V$3,1,1),Dados!$A:$A,INDEX($D:$E,MATCH("L",$D:$D,0),2))/COUNTIFS(Dados!$E:$E,$B225,Dados!$C:$C,INDEX(V$3,1,1),Dados!$A:$A,INDEX($D:$E,MATCH("L",$D:$D,0),2)))</f>
        <v/>
      </c>
    </row>
    <row r="226" spans="2:22" x14ac:dyDescent="0.25">
      <c r="B226" s="67" t="s">
        <v>1302</v>
      </c>
      <c r="C226" s="71">
        <f>VLOOKUP(B226,B4:C22,2,0)</f>
        <v>13</v>
      </c>
      <c r="D226" s="68" t="str">
        <f ca="1">IF(COUNTIFS(Dados!$E:$E,$B226,Dados!$C:$C,INDEX(D$3,1,1),Dados!$A:$A,INDEX($D:$E,MATCH("L",$D:$D,0),2))=0,"",SUMIFS(Dados!$G:$G,Dados!$E:$E,$B226,Dados!$C:$C,INDEX(D$3,1,1),Dados!$A:$A,INDEX($D:$E,MATCH("L",$D:$D,0),2))/COUNTIFS(Dados!$E:$E,$B226,Dados!$C:$C,INDEX(D$3,1,1),Dados!$A:$A,INDEX($D:$E,MATCH("L",$D:$D,0),2)))</f>
        <v/>
      </c>
      <c r="E226" s="68" t="str">
        <f ca="1">IF(COUNTIFS(Dados!$E:$E,$B226,Dados!$C:$C,INDEX(E$3,1,1),Dados!$A:$A,INDEX($D:$E,MATCH("L",$D:$D,0),2))=0,"",SUMIFS(Dados!$G:$G,Dados!$E:$E,$B226,Dados!$C:$C,INDEX(E$3,1,1),Dados!$A:$A,INDEX($D:$E,MATCH("L",$D:$D,0),2))/COUNTIFS(Dados!$E:$E,$B226,Dados!$C:$C,INDEX(E$3,1,1),Dados!$A:$A,INDEX($D:$E,MATCH("L",$D:$D,0),2)))</f>
        <v/>
      </c>
      <c r="F226" s="68" t="str">
        <f ca="1">IF(COUNTIFS(Dados!$E:$E,$B226,Dados!$C:$C,INDEX(F$3,1,1),Dados!$A:$A,INDEX($D:$E,MATCH("L",$D:$D,0),2))=0,"",SUMIFS(Dados!$G:$G,Dados!$E:$E,$B226,Dados!$C:$C,INDEX(F$3,1,1),Dados!$A:$A,INDEX($D:$E,MATCH("L",$D:$D,0),2))/COUNTIFS(Dados!$E:$E,$B226,Dados!$C:$C,INDEX(F$3,1,1),Dados!$A:$A,INDEX($D:$E,MATCH("L",$D:$D,0),2)))</f>
        <v/>
      </c>
      <c r="G226" s="68" t="str">
        <f ca="1">IF(COUNTIFS(Dados!$E:$E,$B226,Dados!$C:$C,INDEX(G$3,1,1),Dados!$A:$A,INDEX($D:$E,MATCH("L",$D:$D,0),2))=0,"",SUMIFS(Dados!$G:$G,Dados!$E:$E,$B226,Dados!$C:$C,INDEX(G$3,1,1),Dados!$A:$A,INDEX($D:$E,MATCH("L",$D:$D,0),2))/COUNTIFS(Dados!$E:$E,$B226,Dados!$C:$C,INDEX(G$3,1,1),Dados!$A:$A,INDEX($D:$E,MATCH("L",$D:$D,0),2)))</f>
        <v/>
      </c>
      <c r="H226" s="68" t="str">
        <f ca="1">IF(COUNTIFS(Dados!$E:$E,$B226,Dados!$C:$C,INDEX(H$3,1,1),Dados!$A:$A,INDEX($D:$E,MATCH("L",$D:$D,0),2))=0,"",SUMIFS(Dados!$G:$G,Dados!$E:$E,$B226,Dados!$C:$C,INDEX(H$3,1,1),Dados!$A:$A,INDEX($D:$E,MATCH("L",$D:$D,0),2))/COUNTIFS(Dados!$E:$E,$B226,Dados!$C:$C,INDEX(H$3,1,1),Dados!$A:$A,INDEX($D:$E,MATCH("L",$D:$D,0),2)))</f>
        <v/>
      </c>
      <c r="I226" s="68" t="str">
        <f ca="1">IF(COUNTIFS(Dados!$E:$E,$B226,Dados!$C:$C,INDEX(I$3,1,1),Dados!$A:$A,INDEX($D:$E,MATCH("L",$D:$D,0),2))=0,"",SUMIFS(Dados!$G:$G,Dados!$E:$E,$B226,Dados!$C:$C,INDEX(I$3,1,1),Dados!$A:$A,INDEX($D:$E,MATCH("L",$D:$D,0),2))/COUNTIFS(Dados!$E:$E,$B226,Dados!$C:$C,INDEX(I$3,1,1),Dados!$A:$A,INDEX($D:$E,MATCH("L",$D:$D,0),2)))</f>
        <v/>
      </c>
      <c r="J226" s="68" t="str">
        <f ca="1">IF(COUNTIFS(Dados!$E:$E,$B226,Dados!$C:$C,INDEX(J$3,1,1),Dados!$A:$A,INDEX($D:$E,MATCH("L",$D:$D,0),2))=0,"",SUMIFS(Dados!$G:$G,Dados!$E:$E,$B226,Dados!$C:$C,INDEX(J$3,1,1),Dados!$A:$A,INDEX($D:$E,MATCH("L",$D:$D,0),2))/COUNTIFS(Dados!$E:$E,$B226,Dados!$C:$C,INDEX(J$3,1,1),Dados!$A:$A,INDEX($D:$E,MATCH("L",$D:$D,0),2)))</f>
        <v/>
      </c>
      <c r="K226" s="68" t="str">
        <f ca="1">IF(COUNTIFS(Dados!$E:$E,$B226,Dados!$C:$C,INDEX(K$3,1,1),Dados!$A:$A,INDEX($D:$E,MATCH("L",$D:$D,0),2))=0,"",SUMIFS(Dados!$G:$G,Dados!$E:$E,$B226,Dados!$C:$C,INDEX(K$3,1,1),Dados!$A:$A,INDEX($D:$E,MATCH("L",$D:$D,0),2))/COUNTIFS(Dados!$E:$E,$B226,Dados!$C:$C,INDEX(K$3,1,1),Dados!$A:$A,INDEX($D:$E,MATCH("L",$D:$D,0),2)))</f>
        <v/>
      </c>
      <c r="L226" s="68" t="str">
        <f ca="1">IF(COUNTIFS(Dados!$E:$E,$B226,Dados!$C:$C,INDEX(L$3,1,1),Dados!$A:$A,INDEX($D:$E,MATCH("L",$D:$D,0),2))=0,"",SUMIFS(Dados!$G:$G,Dados!$E:$E,$B226,Dados!$C:$C,INDEX(L$3,1,1),Dados!$A:$A,INDEX($D:$E,MATCH("L",$D:$D,0),2))/COUNTIFS(Dados!$E:$E,$B226,Dados!$C:$C,INDEX(L$3,1,1),Dados!$A:$A,INDEX($D:$E,MATCH("L",$D:$D,0),2)))</f>
        <v/>
      </c>
      <c r="M226" s="68" t="str">
        <f ca="1">IF(COUNTIFS(Dados!$E:$E,$B226,Dados!$C:$C,INDEX(M$3,1,1),Dados!$A:$A,INDEX($D:$E,MATCH("L",$D:$D,0),2))=0,"",SUMIFS(Dados!$G:$G,Dados!$E:$E,$B226,Dados!$C:$C,INDEX(M$3,1,1),Dados!$A:$A,INDEX($D:$E,MATCH("L",$D:$D,0),2))/COUNTIFS(Dados!$E:$E,$B226,Dados!$C:$C,INDEX(M$3,1,1),Dados!$A:$A,INDEX($D:$E,MATCH("L",$D:$D,0),2)))</f>
        <v/>
      </c>
      <c r="N226" s="68" t="str">
        <f ca="1">IF(COUNTIFS(Dados!$E:$E,$B226,Dados!$C:$C,INDEX(N$3,1,1),Dados!$A:$A,INDEX($D:$E,MATCH("L",$D:$D,0),2))=0,"",SUMIFS(Dados!$G:$G,Dados!$E:$E,$B226,Dados!$C:$C,INDEX(N$3,1,1),Dados!$A:$A,INDEX($D:$E,MATCH("L",$D:$D,0),2))/COUNTIFS(Dados!$E:$E,$B226,Dados!$C:$C,INDEX(N$3,1,1),Dados!$A:$A,INDEX($D:$E,MATCH("L",$D:$D,0),2)))</f>
        <v/>
      </c>
      <c r="O226" s="68" t="str">
        <f ca="1">IF(COUNTIFS(Dados!$E:$E,$B226,Dados!$C:$C,INDEX(O$3,1,1),Dados!$A:$A,INDEX($D:$E,MATCH("L",$D:$D,0),2))=0,"",SUMIFS(Dados!$G:$G,Dados!$E:$E,$B226,Dados!$C:$C,INDEX(O$3,1,1),Dados!$A:$A,INDEX($D:$E,MATCH("L",$D:$D,0),2))/COUNTIFS(Dados!$E:$E,$B226,Dados!$C:$C,INDEX(O$3,1,1),Dados!$A:$A,INDEX($D:$E,MATCH("L",$D:$D,0),2)))</f>
        <v/>
      </c>
      <c r="P226" s="68" t="str">
        <f ca="1">IF(COUNTIFS(Dados!$E:$E,$B226,Dados!$C:$C,INDEX(P$3,1,1),Dados!$A:$A,INDEX($D:$E,MATCH("L",$D:$D,0),2))=0,"",SUMIFS(Dados!$G:$G,Dados!$E:$E,$B226,Dados!$C:$C,INDEX(P$3,1,1),Dados!$A:$A,INDEX($D:$E,MATCH("L",$D:$D,0),2))/COUNTIFS(Dados!$E:$E,$B226,Dados!$C:$C,INDEX(P$3,1,1),Dados!$A:$A,INDEX($D:$E,MATCH("L",$D:$D,0),2)))</f>
        <v/>
      </c>
      <c r="Q226" s="68" t="str">
        <f ca="1">IF(COUNTIFS(Dados!$E:$E,$B226,Dados!$C:$C,INDEX(Q$3,1,1),Dados!$A:$A,INDEX($D:$E,MATCH("L",$D:$D,0),2))=0,"",SUMIFS(Dados!$G:$G,Dados!$E:$E,$B226,Dados!$C:$C,INDEX(Q$3,1,1),Dados!$A:$A,INDEX($D:$E,MATCH("L",$D:$D,0),2))/COUNTIFS(Dados!$E:$E,$B226,Dados!$C:$C,INDEX(Q$3,1,1),Dados!$A:$A,INDEX($D:$E,MATCH("L",$D:$D,0),2)))</f>
        <v/>
      </c>
      <c r="R226" s="68" t="str">
        <f ca="1">IF(COUNTIFS(Dados!$E:$E,$B226,Dados!$C:$C,INDEX(R$3,1,1),Dados!$A:$A,INDEX($D:$E,MATCH("L",$D:$D,0),2))=0,"",SUMIFS(Dados!$G:$G,Dados!$E:$E,$B226,Dados!$C:$C,INDEX(R$3,1,1),Dados!$A:$A,INDEX($D:$E,MATCH("L",$D:$D,0),2))/COUNTIFS(Dados!$E:$E,$B226,Dados!$C:$C,INDEX(R$3,1,1),Dados!$A:$A,INDEX($D:$E,MATCH("L",$D:$D,0),2)))</f>
        <v/>
      </c>
      <c r="S226" s="68" t="str">
        <f ca="1">IF(COUNTIFS(Dados!$E:$E,$B226,Dados!$C:$C,INDEX(S$3,1,1),Dados!$A:$A,INDEX($D:$E,MATCH("L",$D:$D,0),2))=0,"",SUMIFS(Dados!$G:$G,Dados!$E:$E,$B226,Dados!$C:$C,INDEX(S$3,1,1),Dados!$A:$A,INDEX($D:$E,MATCH("L",$D:$D,0),2))/COUNTIFS(Dados!$E:$E,$B226,Dados!$C:$C,INDEX(S$3,1,1),Dados!$A:$A,INDEX($D:$E,MATCH("L",$D:$D,0),2)))</f>
        <v/>
      </c>
      <c r="T226" s="68" t="str">
        <f ca="1">IF(COUNTIFS(Dados!$E:$E,$B226,Dados!$C:$C,INDEX(T$3,1,1),Dados!$A:$A,INDEX($D:$E,MATCH("L",$D:$D,0),2))=0,"",SUMIFS(Dados!$G:$G,Dados!$E:$E,$B226,Dados!$C:$C,INDEX(T$3,1,1),Dados!$A:$A,INDEX($D:$E,MATCH("L",$D:$D,0),2))/COUNTIFS(Dados!$E:$E,$B226,Dados!$C:$C,INDEX(T$3,1,1),Dados!$A:$A,INDEX($D:$E,MATCH("L",$D:$D,0),2)))</f>
        <v/>
      </c>
      <c r="U226" s="68" t="str">
        <f ca="1">IF(COUNTIFS(Dados!$E:$E,$B226,Dados!$C:$C,INDEX(U$3,1,1),Dados!$A:$A,INDEX($D:$E,MATCH("L",$D:$D,0),2))=0,"",SUMIFS(Dados!$G:$G,Dados!$E:$E,$B226,Dados!$C:$C,INDEX(U$3,1,1),Dados!$A:$A,INDEX($D:$E,MATCH("L",$D:$D,0),2))/COUNTIFS(Dados!$E:$E,$B226,Dados!$C:$C,INDEX(U$3,1,1),Dados!$A:$A,INDEX($D:$E,MATCH("L",$D:$D,0),2)))</f>
        <v/>
      </c>
      <c r="V226" s="68" t="str">
        <f ca="1">IF(COUNTIFS(Dados!$E:$E,$B226,Dados!$C:$C,INDEX(V$3,1,1),Dados!$A:$A,INDEX($D:$E,MATCH("L",$D:$D,0),2))=0,"",SUMIFS(Dados!$G:$G,Dados!$E:$E,$B226,Dados!$C:$C,INDEX(V$3,1,1),Dados!$A:$A,INDEX($D:$E,MATCH("L",$D:$D,0),2))/COUNTIFS(Dados!$E:$E,$B226,Dados!$C:$C,INDEX(V$3,1,1),Dados!$A:$A,INDEX($D:$E,MATCH("L",$D:$D,0),2)))</f>
        <v/>
      </c>
    </row>
    <row r="227" spans="2:22" x14ac:dyDescent="0.25">
      <c r="B227" s="65" t="s">
        <v>1296</v>
      </c>
      <c r="C227" s="72">
        <f>VLOOKUP(B227,B4:C22,2,0)</f>
        <v>14</v>
      </c>
      <c r="D227" s="66" t="str">
        <f ca="1">IF(COUNTIFS(Dados!$E:$E,$B227,Dados!$C:$C,INDEX(D$3,1,1),Dados!$A:$A,INDEX($D:$E,MATCH("L",$D:$D,0),2))=0,"",SUMIFS(Dados!$G:$G,Dados!$E:$E,$B227,Dados!$C:$C,INDEX(D$3,1,1),Dados!$A:$A,INDEX($D:$E,MATCH("L",$D:$D,0),2))/COUNTIFS(Dados!$E:$E,$B227,Dados!$C:$C,INDEX(D$3,1,1),Dados!$A:$A,INDEX($D:$E,MATCH("L",$D:$D,0),2)))</f>
        <v/>
      </c>
      <c r="E227" s="66" t="str">
        <f ca="1">IF(COUNTIFS(Dados!$E:$E,$B227,Dados!$C:$C,INDEX(E$3,1,1),Dados!$A:$A,INDEX($D:$E,MATCH("L",$D:$D,0),2))=0,"",SUMIFS(Dados!$G:$G,Dados!$E:$E,$B227,Dados!$C:$C,INDEX(E$3,1,1),Dados!$A:$A,INDEX($D:$E,MATCH("L",$D:$D,0),2))/COUNTIFS(Dados!$E:$E,$B227,Dados!$C:$C,INDEX(E$3,1,1),Dados!$A:$A,INDEX($D:$E,MATCH("L",$D:$D,0),2)))</f>
        <v/>
      </c>
      <c r="F227" s="66" t="str">
        <f ca="1">IF(COUNTIFS(Dados!$E:$E,$B227,Dados!$C:$C,INDEX(F$3,1,1),Dados!$A:$A,INDEX($D:$E,MATCH("L",$D:$D,0),2))=0,"",SUMIFS(Dados!$G:$G,Dados!$E:$E,$B227,Dados!$C:$C,INDEX(F$3,1,1),Dados!$A:$A,INDEX($D:$E,MATCH("L",$D:$D,0),2))/COUNTIFS(Dados!$E:$E,$B227,Dados!$C:$C,INDEX(F$3,1,1),Dados!$A:$A,INDEX($D:$E,MATCH("L",$D:$D,0),2)))</f>
        <v/>
      </c>
      <c r="G227" s="66" t="str">
        <f ca="1">IF(COUNTIFS(Dados!$E:$E,$B227,Dados!$C:$C,INDEX(G$3,1,1),Dados!$A:$A,INDEX($D:$E,MATCH("L",$D:$D,0),2))=0,"",SUMIFS(Dados!$G:$G,Dados!$E:$E,$B227,Dados!$C:$C,INDEX(G$3,1,1),Dados!$A:$A,INDEX($D:$E,MATCH("L",$D:$D,0),2))/COUNTIFS(Dados!$E:$E,$B227,Dados!$C:$C,INDEX(G$3,1,1),Dados!$A:$A,INDEX($D:$E,MATCH("L",$D:$D,0),2)))</f>
        <v/>
      </c>
      <c r="H227" s="66" t="str">
        <f ca="1">IF(COUNTIFS(Dados!$E:$E,$B227,Dados!$C:$C,INDEX(H$3,1,1),Dados!$A:$A,INDEX($D:$E,MATCH("L",$D:$D,0),2))=0,"",SUMIFS(Dados!$G:$G,Dados!$E:$E,$B227,Dados!$C:$C,INDEX(H$3,1,1),Dados!$A:$A,INDEX($D:$E,MATCH("L",$D:$D,0),2))/COUNTIFS(Dados!$E:$E,$B227,Dados!$C:$C,INDEX(H$3,1,1),Dados!$A:$A,INDEX($D:$E,MATCH("L",$D:$D,0),2)))</f>
        <v/>
      </c>
      <c r="I227" s="66" t="str">
        <f ca="1">IF(COUNTIFS(Dados!$E:$E,$B227,Dados!$C:$C,INDEX(I$3,1,1),Dados!$A:$A,INDEX($D:$E,MATCH("L",$D:$D,0),2))=0,"",SUMIFS(Dados!$G:$G,Dados!$E:$E,$B227,Dados!$C:$C,INDEX(I$3,1,1),Dados!$A:$A,INDEX($D:$E,MATCH("L",$D:$D,0),2))/COUNTIFS(Dados!$E:$E,$B227,Dados!$C:$C,INDEX(I$3,1,1),Dados!$A:$A,INDEX($D:$E,MATCH("L",$D:$D,0),2)))</f>
        <v/>
      </c>
      <c r="J227" s="66" t="str">
        <f ca="1">IF(COUNTIFS(Dados!$E:$E,$B227,Dados!$C:$C,INDEX(J$3,1,1),Dados!$A:$A,INDEX($D:$E,MATCH("L",$D:$D,0),2))=0,"",SUMIFS(Dados!$G:$G,Dados!$E:$E,$B227,Dados!$C:$C,INDEX(J$3,1,1),Dados!$A:$A,INDEX($D:$E,MATCH("L",$D:$D,0),2))/COUNTIFS(Dados!$E:$E,$B227,Dados!$C:$C,INDEX(J$3,1,1),Dados!$A:$A,INDEX($D:$E,MATCH("L",$D:$D,0),2)))</f>
        <v/>
      </c>
      <c r="K227" s="66" t="str">
        <f ca="1">IF(COUNTIFS(Dados!$E:$E,$B227,Dados!$C:$C,INDEX(K$3,1,1),Dados!$A:$A,INDEX($D:$E,MATCH("L",$D:$D,0),2))=0,"",SUMIFS(Dados!$G:$G,Dados!$E:$E,$B227,Dados!$C:$C,INDEX(K$3,1,1),Dados!$A:$A,INDEX($D:$E,MATCH("L",$D:$D,0),2))/COUNTIFS(Dados!$E:$E,$B227,Dados!$C:$C,INDEX(K$3,1,1),Dados!$A:$A,INDEX($D:$E,MATCH("L",$D:$D,0),2)))</f>
        <v/>
      </c>
      <c r="L227" s="66" t="str">
        <f ca="1">IF(COUNTIFS(Dados!$E:$E,$B227,Dados!$C:$C,INDEX(L$3,1,1),Dados!$A:$A,INDEX($D:$E,MATCH("L",$D:$D,0),2))=0,"",SUMIFS(Dados!$G:$G,Dados!$E:$E,$B227,Dados!$C:$C,INDEX(L$3,1,1),Dados!$A:$A,INDEX($D:$E,MATCH("L",$D:$D,0),2))/COUNTIFS(Dados!$E:$E,$B227,Dados!$C:$C,INDEX(L$3,1,1),Dados!$A:$A,INDEX($D:$E,MATCH("L",$D:$D,0),2)))</f>
        <v/>
      </c>
      <c r="M227" s="66" t="str">
        <f ca="1">IF(COUNTIFS(Dados!$E:$E,$B227,Dados!$C:$C,INDEX(M$3,1,1),Dados!$A:$A,INDEX($D:$E,MATCH("L",$D:$D,0),2))=0,"",SUMIFS(Dados!$G:$G,Dados!$E:$E,$B227,Dados!$C:$C,INDEX(M$3,1,1),Dados!$A:$A,INDEX($D:$E,MATCH("L",$D:$D,0),2))/COUNTIFS(Dados!$E:$E,$B227,Dados!$C:$C,INDEX(M$3,1,1),Dados!$A:$A,INDEX($D:$E,MATCH("L",$D:$D,0),2)))</f>
        <v/>
      </c>
      <c r="N227" s="66" t="str">
        <f ca="1">IF(COUNTIFS(Dados!$E:$E,$B227,Dados!$C:$C,INDEX(N$3,1,1),Dados!$A:$A,INDEX($D:$E,MATCH("L",$D:$D,0),2))=0,"",SUMIFS(Dados!$G:$G,Dados!$E:$E,$B227,Dados!$C:$C,INDEX(N$3,1,1),Dados!$A:$A,INDEX($D:$E,MATCH("L",$D:$D,0),2))/COUNTIFS(Dados!$E:$E,$B227,Dados!$C:$C,INDEX(N$3,1,1),Dados!$A:$A,INDEX($D:$E,MATCH("L",$D:$D,0),2)))</f>
        <v/>
      </c>
      <c r="O227" s="66" t="str">
        <f ca="1">IF(COUNTIFS(Dados!$E:$E,$B227,Dados!$C:$C,INDEX(O$3,1,1),Dados!$A:$A,INDEX($D:$E,MATCH("L",$D:$D,0),2))=0,"",SUMIFS(Dados!$G:$G,Dados!$E:$E,$B227,Dados!$C:$C,INDEX(O$3,1,1),Dados!$A:$A,INDEX($D:$E,MATCH("L",$D:$D,0),2))/COUNTIFS(Dados!$E:$E,$B227,Dados!$C:$C,INDEX(O$3,1,1),Dados!$A:$A,INDEX($D:$E,MATCH("L",$D:$D,0),2)))</f>
        <v/>
      </c>
      <c r="P227" s="66" t="str">
        <f ca="1">IF(COUNTIFS(Dados!$E:$E,$B227,Dados!$C:$C,INDEX(P$3,1,1),Dados!$A:$A,INDEX($D:$E,MATCH("L",$D:$D,0),2))=0,"",SUMIFS(Dados!$G:$G,Dados!$E:$E,$B227,Dados!$C:$C,INDEX(P$3,1,1),Dados!$A:$A,INDEX($D:$E,MATCH("L",$D:$D,0),2))/COUNTIFS(Dados!$E:$E,$B227,Dados!$C:$C,INDEX(P$3,1,1),Dados!$A:$A,INDEX($D:$E,MATCH("L",$D:$D,0),2)))</f>
        <v/>
      </c>
      <c r="Q227" s="66" t="str">
        <f ca="1">IF(COUNTIFS(Dados!$E:$E,$B227,Dados!$C:$C,INDEX(Q$3,1,1),Dados!$A:$A,INDEX($D:$E,MATCH("L",$D:$D,0),2))=0,"",SUMIFS(Dados!$G:$G,Dados!$E:$E,$B227,Dados!$C:$C,INDEX(Q$3,1,1),Dados!$A:$A,INDEX($D:$E,MATCH("L",$D:$D,0),2))/COUNTIFS(Dados!$E:$E,$B227,Dados!$C:$C,INDEX(Q$3,1,1),Dados!$A:$A,INDEX($D:$E,MATCH("L",$D:$D,0),2)))</f>
        <v/>
      </c>
      <c r="R227" s="66" t="str">
        <f ca="1">IF(COUNTIFS(Dados!$E:$E,$B227,Dados!$C:$C,INDEX(R$3,1,1),Dados!$A:$A,INDEX($D:$E,MATCH("L",$D:$D,0),2))=0,"",SUMIFS(Dados!$G:$G,Dados!$E:$E,$B227,Dados!$C:$C,INDEX(R$3,1,1),Dados!$A:$A,INDEX($D:$E,MATCH("L",$D:$D,0),2))/COUNTIFS(Dados!$E:$E,$B227,Dados!$C:$C,INDEX(R$3,1,1),Dados!$A:$A,INDEX($D:$E,MATCH("L",$D:$D,0),2)))</f>
        <v/>
      </c>
      <c r="S227" s="66" t="str">
        <f ca="1">IF(COUNTIFS(Dados!$E:$E,$B227,Dados!$C:$C,INDEX(S$3,1,1),Dados!$A:$A,INDEX($D:$E,MATCH("L",$D:$D,0),2))=0,"",SUMIFS(Dados!$G:$G,Dados!$E:$E,$B227,Dados!$C:$C,INDEX(S$3,1,1),Dados!$A:$A,INDEX($D:$E,MATCH("L",$D:$D,0),2))/COUNTIFS(Dados!$E:$E,$B227,Dados!$C:$C,INDEX(S$3,1,1),Dados!$A:$A,INDEX($D:$E,MATCH("L",$D:$D,0),2)))</f>
        <v/>
      </c>
      <c r="T227" s="66" t="str">
        <f ca="1">IF(COUNTIFS(Dados!$E:$E,$B227,Dados!$C:$C,INDEX(T$3,1,1),Dados!$A:$A,INDEX($D:$E,MATCH("L",$D:$D,0),2))=0,"",SUMIFS(Dados!$G:$G,Dados!$E:$E,$B227,Dados!$C:$C,INDEX(T$3,1,1),Dados!$A:$A,INDEX($D:$E,MATCH("L",$D:$D,0),2))/COUNTIFS(Dados!$E:$E,$B227,Dados!$C:$C,INDEX(T$3,1,1),Dados!$A:$A,INDEX($D:$E,MATCH("L",$D:$D,0),2)))</f>
        <v/>
      </c>
      <c r="U227" s="66" t="str">
        <f ca="1">IF(COUNTIFS(Dados!$E:$E,$B227,Dados!$C:$C,INDEX(U$3,1,1),Dados!$A:$A,INDEX($D:$E,MATCH("L",$D:$D,0),2))=0,"",SUMIFS(Dados!$G:$G,Dados!$E:$E,$B227,Dados!$C:$C,INDEX(U$3,1,1),Dados!$A:$A,INDEX($D:$E,MATCH("L",$D:$D,0),2))/COUNTIFS(Dados!$E:$E,$B227,Dados!$C:$C,INDEX(U$3,1,1),Dados!$A:$A,INDEX($D:$E,MATCH("L",$D:$D,0),2)))</f>
        <v/>
      </c>
      <c r="V227" s="66" t="str">
        <f ca="1">IF(COUNTIFS(Dados!$E:$E,$B227,Dados!$C:$C,INDEX(V$3,1,1),Dados!$A:$A,INDEX($D:$E,MATCH("L",$D:$D,0),2))=0,"",SUMIFS(Dados!$G:$G,Dados!$E:$E,$B227,Dados!$C:$C,INDEX(V$3,1,1),Dados!$A:$A,INDEX($D:$E,MATCH("L",$D:$D,0),2))/COUNTIFS(Dados!$E:$E,$B227,Dados!$C:$C,INDEX(V$3,1,1),Dados!$A:$A,INDEX($D:$E,MATCH("L",$D:$D,0),2)))</f>
        <v/>
      </c>
    </row>
    <row r="228" spans="2:22" x14ac:dyDescent="0.25">
      <c r="B228" s="67" t="s">
        <v>33</v>
      </c>
      <c r="C228" s="71">
        <f>VLOOKUP(B228,B4:C22,2,0)</f>
        <v>15</v>
      </c>
      <c r="D228" s="68" t="str">
        <f ca="1">IF(COUNTIFS(Dados!$E:$E,$B228,Dados!$C:$C,INDEX(D$3,1,1),Dados!$A:$A,INDEX($D:$E,MATCH("L",$D:$D,0),2))=0,"",SUMIFS(Dados!$G:$G,Dados!$E:$E,$B228,Dados!$C:$C,INDEX(D$3,1,1),Dados!$A:$A,INDEX($D:$E,MATCH("L",$D:$D,0),2))/COUNTIFS(Dados!$E:$E,$B228,Dados!$C:$C,INDEX(D$3,1,1),Dados!$A:$A,INDEX($D:$E,MATCH("L",$D:$D,0),2)))</f>
        <v/>
      </c>
      <c r="E228" s="68" t="str">
        <f ca="1">IF(COUNTIFS(Dados!$E:$E,$B228,Dados!$C:$C,INDEX(E$3,1,1),Dados!$A:$A,INDEX($D:$E,MATCH("L",$D:$D,0),2))=0,"",SUMIFS(Dados!$G:$G,Dados!$E:$E,$B228,Dados!$C:$C,INDEX(E$3,1,1),Dados!$A:$A,INDEX($D:$E,MATCH("L",$D:$D,0),2))/COUNTIFS(Dados!$E:$E,$B228,Dados!$C:$C,INDEX(E$3,1,1),Dados!$A:$A,INDEX($D:$E,MATCH("L",$D:$D,0),2)))</f>
        <v/>
      </c>
      <c r="F228" s="68" t="str">
        <f ca="1">IF(COUNTIFS(Dados!$E:$E,$B228,Dados!$C:$C,INDEX(F$3,1,1),Dados!$A:$A,INDEX($D:$E,MATCH("L",$D:$D,0),2))=0,"",SUMIFS(Dados!$G:$G,Dados!$E:$E,$B228,Dados!$C:$C,INDEX(F$3,1,1),Dados!$A:$A,INDEX($D:$E,MATCH("L",$D:$D,0),2))/COUNTIFS(Dados!$E:$E,$B228,Dados!$C:$C,INDEX(F$3,1,1),Dados!$A:$A,INDEX($D:$E,MATCH("L",$D:$D,0),2)))</f>
        <v/>
      </c>
      <c r="G228" s="68" t="str">
        <f ca="1">IF(COUNTIFS(Dados!$E:$E,$B228,Dados!$C:$C,INDEX(G$3,1,1),Dados!$A:$A,INDEX($D:$E,MATCH("L",$D:$D,0),2))=0,"",SUMIFS(Dados!$G:$G,Dados!$E:$E,$B228,Dados!$C:$C,INDEX(G$3,1,1),Dados!$A:$A,INDEX($D:$E,MATCH("L",$D:$D,0),2))/COUNTIFS(Dados!$E:$E,$B228,Dados!$C:$C,INDEX(G$3,1,1),Dados!$A:$A,INDEX($D:$E,MATCH("L",$D:$D,0),2)))</f>
        <v/>
      </c>
      <c r="H228" s="68" t="str">
        <f ca="1">IF(COUNTIFS(Dados!$E:$E,$B228,Dados!$C:$C,INDEX(H$3,1,1),Dados!$A:$A,INDEX($D:$E,MATCH("L",$D:$D,0),2))=0,"",SUMIFS(Dados!$G:$G,Dados!$E:$E,$B228,Dados!$C:$C,INDEX(H$3,1,1),Dados!$A:$A,INDEX($D:$E,MATCH("L",$D:$D,0),2))/COUNTIFS(Dados!$E:$E,$B228,Dados!$C:$C,INDEX(H$3,1,1),Dados!$A:$A,INDEX($D:$E,MATCH("L",$D:$D,0),2)))</f>
        <v/>
      </c>
      <c r="I228" s="68" t="str">
        <f ca="1">IF(COUNTIFS(Dados!$E:$E,$B228,Dados!$C:$C,INDEX(I$3,1,1),Dados!$A:$A,INDEX($D:$E,MATCH("L",$D:$D,0),2))=0,"",SUMIFS(Dados!$G:$G,Dados!$E:$E,$B228,Dados!$C:$C,INDEX(I$3,1,1),Dados!$A:$A,INDEX($D:$E,MATCH("L",$D:$D,0),2))/COUNTIFS(Dados!$E:$E,$B228,Dados!$C:$C,INDEX(I$3,1,1),Dados!$A:$A,INDEX($D:$E,MATCH("L",$D:$D,0),2)))</f>
        <v/>
      </c>
      <c r="J228" s="68" t="str">
        <f ca="1">IF(COUNTIFS(Dados!$E:$E,$B228,Dados!$C:$C,INDEX(J$3,1,1),Dados!$A:$A,INDEX($D:$E,MATCH("L",$D:$D,0),2))=0,"",SUMIFS(Dados!$G:$G,Dados!$E:$E,$B228,Dados!$C:$C,INDEX(J$3,1,1),Dados!$A:$A,INDEX($D:$E,MATCH("L",$D:$D,0),2))/COUNTIFS(Dados!$E:$E,$B228,Dados!$C:$C,INDEX(J$3,1,1),Dados!$A:$A,INDEX($D:$E,MATCH("L",$D:$D,0),2)))</f>
        <v/>
      </c>
      <c r="K228" s="68" t="str">
        <f ca="1">IF(COUNTIFS(Dados!$E:$E,$B228,Dados!$C:$C,INDEX(K$3,1,1),Dados!$A:$A,INDEX($D:$E,MATCH("L",$D:$D,0),2))=0,"",SUMIFS(Dados!$G:$G,Dados!$E:$E,$B228,Dados!$C:$C,INDEX(K$3,1,1),Dados!$A:$A,INDEX($D:$E,MATCH("L",$D:$D,0),2))/COUNTIFS(Dados!$E:$E,$B228,Dados!$C:$C,INDEX(K$3,1,1),Dados!$A:$A,INDEX($D:$E,MATCH("L",$D:$D,0),2)))</f>
        <v/>
      </c>
      <c r="L228" s="68" t="str">
        <f ca="1">IF(COUNTIFS(Dados!$E:$E,$B228,Dados!$C:$C,INDEX(L$3,1,1),Dados!$A:$A,INDEX($D:$E,MATCH("L",$D:$D,0),2))=0,"",SUMIFS(Dados!$G:$G,Dados!$E:$E,$B228,Dados!$C:$C,INDEX(L$3,1,1),Dados!$A:$A,INDEX($D:$E,MATCH("L",$D:$D,0),2))/COUNTIFS(Dados!$E:$E,$B228,Dados!$C:$C,INDEX(L$3,1,1),Dados!$A:$A,INDEX($D:$E,MATCH("L",$D:$D,0),2)))</f>
        <v/>
      </c>
      <c r="M228" s="68" t="str">
        <f ca="1">IF(COUNTIFS(Dados!$E:$E,$B228,Dados!$C:$C,INDEX(M$3,1,1),Dados!$A:$A,INDEX($D:$E,MATCH("L",$D:$D,0),2))=0,"",SUMIFS(Dados!$G:$G,Dados!$E:$E,$B228,Dados!$C:$C,INDEX(M$3,1,1),Dados!$A:$A,INDEX($D:$E,MATCH("L",$D:$D,0),2))/COUNTIFS(Dados!$E:$E,$B228,Dados!$C:$C,INDEX(M$3,1,1),Dados!$A:$A,INDEX($D:$E,MATCH("L",$D:$D,0),2)))</f>
        <v/>
      </c>
      <c r="N228" s="68" t="str">
        <f ca="1">IF(COUNTIFS(Dados!$E:$E,$B228,Dados!$C:$C,INDEX(N$3,1,1),Dados!$A:$A,INDEX($D:$E,MATCH("L",$D:$D,0),2))=0,"",SUMIFS(Dados!$G:$G,Dados!$E:$E,$B228,Dados!$C:$C,INDEX(N$3,1,1),Dados!$A:$A,INDEX($D:$E,MATCH("L",$D:$D,0),2))/COUNTIFS(Dados!$E:$E,$B228,Dados!$C:$C,INDEX(N$3,1,1),Dados!$A:$A,INDEX($D:$E,MATCH("L",$D:$D,0),2)))</f>
        <v/>
      </c>
      <c r="O228" s="68" t="str">
        <f ca="1">IF(COUNTIFS(Dados!$E:$E,$B228,Dados!$C:$C,INDEX(O$3,1,1),Dados!$A:$A,INDEX($D:$E,MATCH("L",$D:$D,0),2))=0,"",SUMIFS(Dados!$G:$G,Dados!$E:$E,$B228,Dados!$C:$C,INDEX(O$3,1,1),Dados!$A:$A,INDEX($D:$E,MATCH("L",$D:$D,0),2))/COUNTIFS(Dados!$E:$E,$B228,Dados!$C:$C,INDEX(O$3,1,1),Dados!$A:$A,INDEX($D:$E,MATCH("L",$D:$D,0),2)))</f>
        <v/>
      </c>
      <c r="P228" s="68" t="str">
        <f ca="1">IF(COUNTIFS(Dados!$E:$E,$B228,Dados!$C:$C,INDEX(P$3,1,1),Dados!$A:$A,INDEX($D:$E,MATCH("L",$D:$D,0),2))=0,"",SUMIFS(Dados!$G:$G,Dados!$E:$E,$B228,Dados!$C:$C,INDEX(P$3,1,1),Dados!$A:$A,INDEX($D:$E,MATCH("L",$D:$D,0),2))/COUNTIFS(Dados!$E:$E,$B228,Dados!$C:$C,INDEX(P$3,1,1),Dados!$A:$A,INDEX($D:$E,MATCH("L",$D:$D,0),2)))</f>
        <v/>
      </c>
      <c r="Q228" s="68" t="str">
        <f ca="1">IF(COUNTIFS(Dados!$E:$E,$B228,Dados!$C:$C,INDEX(Q$3,1,1),Dados!$A:$A,INDEX($D:$E,MATCH("L",$D:$D,0),2))=0,"",SUMIFS(Dados!$G:$G,Dados!$E:$E,$B228,Dados!$C:$C,INDEX(Q$3,1,1),Dados!$A:$A,INDEX($D:$E,MATCH("L",$D:$D,0),2))/COUNTIFS(Dados!$E:$E,$B228,Dados!$C:$C,INDEX(Q$3,1,1),Dados!$A:$A,INDEX($D:$E,MATCH("L",$D:$D,0),2)))</f>
        <v/>
      </c>
      <c r="R228" s="68" t="str">
        <f ca="1">IF(COUNTIFS(Dados!$E:$E,$B228,Dados!$C:$C,INDEX(R$3,1,1),Dados!$A:$A,INDEX($D:$E,MATCH("L",$D:$D,0),2))=0,"",SUMIFS(Dados!$G:$G,Dados!$E:$E,$B228,Dados!$C:$C,INDEX(R$3,1,1),Dados!$A:$A,INDEX($D:$E,MATCH("L",$D:$D,0),2))/COUNTIFS(Dados!$E:$E,$B228,Dados!$C:$C,INDEX(R$3,1,1),Dados!$A:$A,INDEX($D:$E,MATCH("L",$D:$D,0),2)))</f>
        <v/>
      </c>
      <c r="S228" s="68" t="str">
        <f ca="1">IF(COUNTIFS(Dados!$E:$E,$B228,Dados!$C:$C,INDEX(S$3,1,1),Dados!$A:$A,INDEX($D:$E,MATCH("L",$D:$D,0),2))=0,"",SUMIFS(Dados!$G:$G,Dados!$E:$E,$B228,Dados!$C:$C,INDEX(S$3,1,1),Dados!$A:$A,INDEX($D:$E,MATCH("L",$D:$D,0),2))/COUNTIFS(Dados!$E:$E,$B228,Dados!$C:$C,INDEX(S$3,1,1),Dados!$A:$A,INDEX($D:$E,MATCH("L",$D:$D,0),2)))</f>
        <v/>
      </c>
      <c r="T228" s="68" t="str">
        <f ca="1">IF(COUNTIFS(Dados!$E:$E,$B228,Dados!$C:$C,INDEX(T$3,1,1),Dados!$A:$A,INDEX($D:$E,MATCH("L",$D:$D,0),2))=0,"",SUMIFS(Dados!$G:$G,Dados!$E:$E,$B228,Dados!$C:$C,INDEX(T$3,1,1),Dados!$A:$A,INDEX($D:$E,MATCH("L",$D:$D,0),2))/COUNTIFS(Dados!$E:$E,$B228,Dados!$C:$C,INDEX(T$3,1,1),Dados!$A:$A,INDEX($D:$E,MATCH("L",$D:$D,0),2)))</f>
        <v/>
      </c>
      <c r="U228" s="68" t="str">
        <f ca="1">IF(COUNTIFS(Dados!$E:$E,$B228,Dados!$C:$C,INDEX(U$3,1,1),Dados!$A:$A,INDEX($D:$E,MATCH("L",$D:$D,0),2))=0,"",SUMIFS(Dados!$G:$G,Dados!$E:$E,$B228,Dados!$C:$C,INDEX(U$3,1,1),Dados!$A:$A,INDEX($D:$E,MATCH("L",$D:$D,0),2))/COUNTIFS(Dados!$E:$E,$B228,Dados!$C:$C,INDEX(U$3,1,1),Dados!$A:$A,INDEX($D:$E,MATCH("L",$D:$D,0),2)))</f>
        <v/>
      </c>
      <c r="V228" s="68" t="str">
        <f ca="1">IF(COUNTIFS(Dados!$E:$E,$B228,Dados!$C:$C,INDEX(V$3,1,1),Dados!$A:$A,INDEX($D:$E,MATCH("L",$D:$D,0),2))=0,"",SUMIFS(Dados!$G:$G,Dados!$E:$E,$B228,Dados!$C:$C,INDEX(V$3,1,1),Dados!$A:$A,INDEX($D:$E,MATCH("L",$D:$D,0),2))/COUNTIFS(Dados!$E:$E,$B228,Dados!$C:$C,INDEX(V$3,1,1),Dados!$A:$A,INDEX($D:$E,MATCH("L",$D:$D,0),2)))</f>
        <v/>
      </c>
    </row>
    <row r="229" spans="2:22" x14ac:dyDescent="0.25">
      <c r="B229" s="65" t="s">
        <v>1299</v>
      </c>
      <c r="C229" s="72">
        <f>VLOOKUP(B229,B4:C22,2,0)</f>
        <v>16</v>
      </c>
      <c r="D229" s="66" t="str">
        <f ca="1">IF(COUNTIFS(Dados!$E:$E,$B229,Dados!$C:$C,INDEX(D$3,1,1),Dados!$A:$A,INDEX($D:$E,MATCH("L",$D:$D,0),2))=0,"",SUMIFS(Dados!$G:$G,Dados!$E:$E,$B229,Dados!$C:$C,INDEX(D$3,1,1),Dados!$A:$A,INDEX($D:$E,MATCH("L",$D:$D,0),2))/COUNTIFS(Dados!$E:$E,$B229,Dados!$C:$C,INDEX(D$3,1,1),Dados!$A:$A,INDEX($D:$E,MATCH("L",$D:$D,0),2)))</f>
        <v/>
      </c>
      <c r="E229" s="66" t="str">
        <f ca="1">IF(COUNTIFS(Dados!$E:$E,$B229,Dados!$C:$C,INDEX(E$3,1,1),Dados!$A:$A,INDEX($D:$E,MATCH("L",$D:$D,0),2))=0,"",SUMIFS(Dados!$G:$G,Dados!$E:$E,$B229,Dados!$C:$C,INDEX(E$3,1,1),Dados!$A:$A,INDEX($D:$E,MATCH("L",$D:$D,0),2))/COUNTIFS(Dados!$E:$E,$B229,Dados!$C:$C,INDEX(E$3,1,1),Dados!$A:$A,INDEX($D:$E,MATCH("L",$D:$D,0),2)))</f>
        <v/>
      </c>
      <c r="F229" s="66" t="str">
        <f ca="1">IF(COUNTIFS(Dados!$E:$E,$B229,Dados!$C:$C,INDEX(F$3,1,1),Dados!$A:$A,INDEX($D:$E,MATCH("L",$D:$D,0),2))=0,"",SUMIFS(Dados!$G:$G,Dados!$E:$E,$B229,Dados!$C:$C,INDEX(F$3,1,1),Dados!$A:$A,INDEX($D:$E,MATCH("L",$D:$D,0),2))/COUNTIFS(Dados!$E:$E,$B229,Dados!$C:$C,INDEX(F$3,1,1),Dados!$A:$A,INDEX($D:$E,MATCH("L",$D:$D,0),2)))</f>
        <v/>
      </c>
      <c r="G229" s="66" t="str">
        <f ca="1">IF(COUNTIFS(Dados!$E:$E,$B229,Dados!$C:$C,INDEX(G$3,1,1),Dados!$A:$A,INDEX($D:$E,MATCH("L",$D:$D,0),2))=0,"",SUMIFS(Dados!$G:$G,Dados!$E:$E,$B229,Dados!$C:$C,INDEX(G$3,1,1),Dados!$A:$A,INDEX($D:$E,MATCH("L",$D:$D,0),2))/COUNTIFS(Dados!$E:$E,$B229,Dados!$C:$C,INDEX(G$3,1,1),Dados!$A:$A,INDEX($D:$E,MATCH("L",$D:$D,0),2)))</f>
        <v/>
      </c>
      <c r="H229" s="66" t="str">
        <f ca="1">IF(COUNTIFS(Dados!$E:$E,$B229,Dados!$C:$C,INDEX(H$3,1,1),Dados!$A:$A,INDEX($D:$E,MATCH("L",$D:$D,0),2))=0,"",SUMIFS(Dados!$G:$G,Dados!$E:$E,$B229,Dados!$C:$C,INDEX(H$3,1,1),Dados!$A:$A,INDEX($D:$E,MATCH("L",$D:$D,0),2))/COUNTIFS(Dados!$E:$E,$B229,Dados!$C:$C,INDEX(H$3,1,1),Dados!$A:$A,INDEX($D:$E,MATCH("L",$D:$D,0),2)))</f>
        <v/>
      </c>
      <c r="I229" s="66" t="str">
        <f ca="1">IF(COUNTIFS(Dados!$E:$E,$B229,Dados!$C:$C,INDEX(I$3,1,1),Dados!$A:$A,INDEX($D:$E,MATCH("L",$D:$D,0),2))=0,"",SUMIFS(Dados!$G:$G,Dados!$E:$E,$B229,Dados!$C:$C,INDEX(I$3,1,1),Dados!$A:$A,INDEX($D:$E,MATCH("L",$D:$D,0),2))/COUNTIFS(Dados!$E:$E,$B229,Dados!$C:$C,INDEX(I$3,1,1),Dados!$A:$A,INDEX($D:$E,MATCH("L",$D:$D,0),2)))</f>
        <v/>
      </c>
      <c r="J229" s="66" t="str">
        <f ca="1">IF(COUNTIFS(Dados!$E:$E,$B229,Dados!$C:$C,INDEX(J$3,1,1),Dados!$A:$A,INDEX($D:$E,MATCH("L",$D:$D,0),2))=0,"",SUMIFS(Dados!$G:$G,Dados!$E:$E,$B229,Dados!$C:$C,INDEX(J$3,1,1),Dados!$A:$A,INDEX($D:$E,MATCH("L",$D:$D,0),2))/COUNTIFS(Dados!$E:$E,$B229,Dados!$C:$C,INDEX(J$3,1,1),Dados!$A:$A,INDEX($D:$E,MATCH("L",$D:$D,0),2)))</f>
        <v/>
      </c>
      <c r="K229" s="66" t="str">
        <f ca="1">IF(COUNTIFS(Dados!$E:$E,$B229,Dados!$C:$C,INDEX(K$3,1,1),Dados!$A:$A,INDEX($D:$E,MATCH("L",$D:$D,0),2))=0,"",SUMIFS(Dados!$G:$G,Dados!$E:$E,$B229,Dados!$C:$C,INDEX(K$3,1,1),Dados!$A:$A,INDEX($D:$E,MATCH("L",$D:$D,0),2))/COUNTIFS(Dados!$E:$E,$B229,Dados!$C:$C,INDEX(K$3,1,1),Dados!$A:$A,INDEX($D:$E,MATCH("L",$D:$D,0),2)))</f>
        <v/>
      </c>
      <c r="L229" s="66" t="str">
        <f ca="1">IF(COUNTIFS(Dados!$E:$E,$B229,Dados!$C:$C,INDEX(L$3,1,1),Dados!$A:$A,INDEX($D:$E,MATCH("L",$D:$D,0),2))=0,"",SUMIFS(Dados!$G:$G,Dados!$E:$E,$B229,Dados!$C:$C,INDEX(L$3,1,1),Dados!$A:$A,INDEX($D:$E,MATCH("L",$D:$D,0),2))/COUNTIFS(Dados!$E:$E,$B229,Dados!$C:$C,INDEX(L$3,1,1),Dados!$A:$A,INDEX($D:$E,MATCH("L",$D:$D,0),2)))</f>
        <v/>
      </c>
      <c r="M229" s="66" t="str">
        <f ca="1">IF(COUNTIFS(Dados!$E:$E,$B229,Dados!$C:$C,INDEX(M$3,1,1),Dados!$A:$A,INDEX($D:$E,MATCH("L",$D:$D,0),2))=0,"",SUMIFS(Dados!$G:$G,Dados!$E:$E,$B229,Dados!$C:$C,INDEX(M$3,1,1),Dados!$A:$A,INDEX($D:$E,MATCH("L",$D:$D,0),2))/COUNTIFS(Dados!$E:$E,$B229,Dados!$C:$C,INDEX(M$3,1,1),Dados!$A:$A,INDEX($D:$E,MATCH("L",$D:$D,0),2)))</f>
        <v/>
      </c>
      <c r="N229" s="66" t="str">
        <f ca="1">IF(COUNTIFS(Dados!$E:$E,$B229,Dados!$C:$C,INDEX(N$3,1,1),Dados!$A:$A,INDEX($D:$E,MATCH("L",$D:$D,0),2))=0,"",SUMIFS(Dados!$G:$G,Dados!$E:$E,$B229,Dados!$C:$C,INDEX(N$3,1,1),Dados!$A:$A,INDEX($D:$E,MATCH("L",$D:$D,0),2))/COUNTIFS(Dados!$E:$E,$B229,Dados!$C:$C,INDEX(N$3,1,1),Dados!$A:$A,INDEX($D:$E,MATCH("L",$D:$D,0),2)))</f>
        <v/>
      </c>
      <c r="O229" s="66" t="str">
        <f ca="1">IF(COUNTIFS(Dados!$E:$E,$B229,Dados!$C:$C,INDEX(O$3,1,1),Dados!$A:$A,INDEX($D:$E,MATCH("L",$D:$D,0),2))=0,"",SUMIFS(Dados!$G:$G,Dados!$E:$E,$B229,Dados!$C:$C,INDEX(O$3,1,1),Dados!$A:$A,INDEX($D:$E,MATCH("L",$D:$D,0),2))/COUNTIFS(Dados!$E:$E,$B229,Dados!$C:$C,INDEX(O$3,1,1),Dados!$A:$A,INDEX($D:$E,MATCH("L",$D:$D,0),2)))</f>
        <v/>
      </c>
      <c r="P229" s="66" t="str">
        <f ca="1">IF(COUNTIFS(Dados!$E:$E,$B229,Dados!$C:$C,INDEX(P$3,1,1),Dados!$A:$A,INDEX($D:$E,MATCH("L",$D:$D,0),2))=0,"",SUMIFS(Dados!$G:$G,Dados!$E:$E,$B229,Dados!$C:$C,INDEX(P$3,1,1),Dados!$A:$A,INDEX($D:$E,MATCH("L",$D:$D,0),2))/COUNTIFS(Dados!$E:$E,$B229,Dados!$C:$C,INDEX(P$3,1,1),Dados!$A:$A,INDEX($D:$E,MATCH("L",$D:$D,0),2)))</f>
        <v/>
      </c>
      <c r="Q229" s="66" t="str">
        <f ca="1">IF(COUNTIFS(Dados!$E:$E,$B229,Dados!$C:$C,INDEX(Q$3,1,1),Dados!$A:$A,INDEX($D:$E,MATCH("L",$D:$D,0),2))=0,"",SUMIFS(Dados!$G:$G,Dados!$E:$E,$B229,Dados!$C:$C,INDEX(Q$3,1,1),Dados!$A:$A,INDEX($D:$E,MATCH("L",$D:$D,0),2))/COUNTIFS(Dados!$E:$E,$B229,Dados!$C:$C,INDEX(Q$3,1,1),Dados!$A:$A,INDEX($D:$E,MATCH("L",$D:$D,0),2)))</f>
        <v/>
      </c>
      <c r="R229" s="66" t="str">
        <f ca="1">IF(COUNTIFS(Dados!$E:$E,$B229,Dados!$C:$C,INDEX(R$3,1,1),Dados!$A:$A,INDEX($D:$E,MATCH("L",$D:$D,0),2))=0,"",SUMIFS(Dados!$G:$G,Dados!$E:$E,$B229,Dados!$C:$C,INDEX(R$3,1,1),Dados!$A:$A,INDEX($D:$E,MATCH("L",$D:$D,0),2))/COUNTIFS(Dados!$E:$E,$B229,Dados!$C:$C,INDEX(R$3,1,1),Dados!$A:$A,INDEX($D:$E,MATCH("L",$D:$D,0),2)))</f>
        <v/>
      </c>
      <c r="S229" s="66" t="str">
        <f ca="1">IF(COUNTIFS(Dados!$E:$E,$B229,Dados!$C:$C,INDEX(S$3,1,1),Dados!$A:$A,INDEX($D:$E,MATCH("L",$D:$D,0),2))=0,"",SUMIFS(Dados!$G:$G,Dados!$E:$E,$B229,Dados!$C:$C,INDEX(S$3,1,1),Dados!$A:$A,INDEX($D:$E,MATCH("L",$D:$D,0),2))/COUNTIFS(Dados!$E:$E,$B229,Dados!$C:$C,INDEX(S$3,1,1),Dados!$A:$A,INDEX($D:$E,MATCH("L",$D:$D,0),2)))</f>
        <v/>
      </c>
      <c r="T229" s="66" t="str">
        <f ca="1">IF(COUNTIFS(Dados!$E:$E,$B229,Dados!$C:$C,INDEX(T$3,1,1),Dados!$A:$A,INDEX($D:$E,MATCH("L",$D:$D,0),2))=0,"",SUMIFS(Dados!$G:$G,Dados!$E:$E,$B229,Dados!$C:$C,INDEX(T$3,1,1),Dados!$A:$A,INDEX($D:$E,MATCH("L",$D:$D,0),2))/COUNTIFS(Dados!$E:$E,$B229,Dados!$C:$C,INDEX(T$3,1,1),Dados!$A:$A,INDEX($D:$E,MATCH("L",$D:$D,0),2)))</f>
        <v/>
      </c>
      <c r="U229" s="66" t="str">
        <f ca="1">IF(COUNTIFS(Dados!$E:$E,$B229,Dados!$C:$C,INDEX(U$3,1,1),Dados!$A:$A,INDEX($D:$E,MATCH("L",$D:$D,0),2))=0,"",SUMIFS(Dados!$G:$G,Dados!$E:$E,$B229,Dados!$C:$C,INDEX(U$3,1,1),Dados!$A:$A,INDEX($D:$E,MATCH("L",$D:$D,0),2))/COUNTIFS(Dados!$E:$E,$B229,Dados!$C:$C,INDEX(U$3,1,1),Dados!$A:$A,INDEX($D:$E,MATCH("L",$D:$D,0),2)))</f>
        <v/>
      </c>
      <c r="V229" s="66" t="str">
        <f ca="1">IF(COUNTIFS(Dados!$E:$E,$B229,Dados!$C:$C,INDEX(V$3,1,1),Dados!$A:$A,INDEX($D:$E,MATCH("L",$D:$D,0),2))=0,"",SUMIFS(Dados!$G:$G,Dados!$E:$E,$B229,Dados!$C:$C,INDEX(V$3,1,1),Dados!$A:$A,INDEX($D:$E,MATCH("L",$D:$D,0),2))/COUNTIFS(Dados!$E:$E,$B229,Dados!$C:$C,INDEX(V$3,1,1),Dados!$A:$A,INDEX($D:$E,MATCH("L",$D:$D,0),2)))</f>
        <v/>
      </c>
    </row>
    <row r="230" spans="2:22" x14ac:dyDescent="0.25">
      <c r="B230" s="67" t="s">
        <v>374</v>
      </c>
      <c r="C230" s="71">
        <f>VLOOKUP(B230,B4:C22,2,0)</f>
        <v>17</v>
      </c>
      <c r="D230" s="68" t="str">
        <f ca="1">IF(COUNTIFS(Dados!$E:$E,$B230,Dados!$C:$C,INDEX(D$3,1,1),Dados!$A:$A,INDEX($D:$E,MATCH("L",$D:$D,0),2))=0,"",SUMIFS(Dados!$G:$G,Dados!$E:$E,$B230,Dados!$C:$C,INDEX(D$3,1,1),Dados!$A:$A,INDEX($D:$E,MATCH("L",$D:$D,0),2))/COUNTIFS(Dados!$E:$E,$B230,Dados!$C:$C,INDEX(D$3,1,1),Dados!$A:$A,INDEX($D:$E,MATCH("L",$D:$D,0),2)))</f>
        <v/>
      </c>
      <c r="E230" s="68" t="str">
        <f ca="1">IF(COUNTIFS(Dados!$E:$E,$B230,Dados!$C:$C,INDEX(E$3,1,1),Dados!$A:$A,INDEX($D:$E,MATCH("L",$D:$D,0),2))=0,"",SUMIFS(Dados!$G:$G,Dados!$E:$E,$B230,Dados!$C:$C,INDEX(E$3,1,1),Dados!$A:$A,INDEX($D:$E,MATCH("L",$D:$D,0),2))/COUNTIFS(Dados!$E:$E,$B230,Dados!$C:$C,INDEX(E$3,1,1),Dados!$A:$A,INDEX($D:$E,MATCH("L",$D:$D,0),2)))</f>
        <v/>
      </c>
      <c r="F230" s="68" t="str">
        <f ca="1">IF(COUNTIFS(Dados!$E:$E,$B230,Dados!$C:$C,INDEX(F$3,1,1),Dados!$A:$A,INDEX($D:$E,MATCH("L",$D:$D,0),2))=0,"",SUMIFS(Dados!$G:$G,Dados!$E:$E,$B230,Dados!$C:$C,INDEX(F$3,1,1),Dados!$A:$A,INDEX($D:$E,MATCH("L",$D:$D,0),2))/COUNTIFS(Dados!$E:$E,$B230,Dados!$C:$C,INDEX(F$3,1,1),Dados!$A:$A,INDEX($D:$E,MATCH("L",$D:$D,0),2)))</f>
        <v/>
      </c>
      <c r="G230" s="68" t="str">
        <f ca="1">IF(COUNTIFS(Dados!$E:$E,$B230,Dados!$C:$C,INDEX(G$3,1,1),Dados!$A:$A,INDEX($D:$E,MATCH("L",$D:$D,0),2))=0,"",SUMIFS(Dados!$G:$G,Dados!$E:$E,$B230,Dados!$C:$C,INDEX(G$3,1,1),Dados!$A:$A,INDEX($D:$E,MATCH("L",$D:$D,0),2))/COUNTIFS(Dados!$E:$E,$B230,Dados!$C:$C,INDEX(G$3,1,1),Dados!$A:$A,INDEX($D:$E,MATCH("L",$D:$D,0),2)))</f>
        <v/>
      </c>
      <c r="H230" s="68" t="str">
        <f ca="1">IF(COUNTIFS(Dados!$E:$E,$B230,Dados!$C:$C,INDEX(H$3,1,1),Dados!$A:$A,INDEX($D:$E,MATCH("L",$D:$D,0),2))=0,"",SUMIFS(Dados!$G:$G,Dados!$E:$E,$B230,Dados!$C:$C,INDEX(H$3,1,1),Dados!$A:$A,INDEX($D:$E,MATCH("L",$D:$D,0),2))/COUNTIFS(Dados!$E:$E,$B230,Dados!$C:$C,INDEX(H$3,1,1),Dados!$A:$A,INDEX($D:$E,MATCH("L",$D:$D,0),2)))</f>
        <v/>
      </c>
      <c r="I230" s="68" t="str">
        <f ca="1">IF(COUNTIFS(Dados!$E:$E,$B230,Dados!$C:$C,INDEX(I$3,1,1),Dados!$A:$A,INDEX($D:$E,MATCH("L",$D:$D,0),2))=0,"",SUMIFS(Dados!$G:$G,Dados!$E:$E,$B230,Dados!$C:$C,INDEX(I$3,1,1),Dados!$A:$A,INDEX($D:$E,MATCH("L",$D:$D,0),2))/COUNTIFS(Dados!$E:$E,$B230,Dados!$C:$C,INDEX(I$3,1,1),Dados!$A:$A,INDEX($D:$E,MATCH("L",$D:$D,0),2)))</f>
        <v/>
      </c>
      <c r="J230" s="68" t="str">
        <f ca="1">IF(COUNTIFS(Dados!$E:$E,$B230,Dados!$C:$C,INDEX(J$3,1,1),Dados!$A:$A,INDEX($D:$E,MATCH("L",$D:$D,0),2))=0,"",SUMIFS(Dados!$G:$G,Dados!$E:$E,$B230,Dados!$C:$C,INDEX(J$3,1,1),Dados!$A:$A,INDEX($D:$E,MATCH("L",$D:$D,0),2))/COUNTIFS(Dados!$E:$E,$B230,Dados!$C:$C,INDEX(J$3,1,1),Dados!$A:$A,INDEX($D:$E,MATCH("L",$D:$D,0),2)))</f>
        <v/>
      </c>
      <c r="K230" s="68" t="str">
        <f ca="1">IF(COUNTIFS(Dados!$E:$E,$B230,Dados!$C:$C,INDEX(K$3,1,1),Dados!$A:$A,INDEX($D:$E,MATCH("L",$D:$D,0),2))=0,"",SUMIFS(Dados!$G:$G,Dados!$E:$E,$B230,Dados!$C:$C,INDEX(K$3,1,1),Dados!$A:$A,INDEX($D:$E,MATCH("L",$D:$D,0),2))/COUNTIFS(Dados!$E:$E,$B230,Dados!$C:$C,INDEX(K$3,1,1),Dados!$A:$A,INDEX($D:$E,MATCH("L",$D:$D,0),2)))</f>
        <v/>
      </c>
      <c r="L230" s="68" t="str">
        <f ca="1">IF(COUNTIFS(Dados!$E:$E,$B230,Dados!$C:$C,INDEX(L$3,1,1),Dados!$A:$A,INDEX($D:$E,MATCH("L",$D:$D,0),2))=0,"",SUMIFS(Dados!$G:$G,Dados!$E:$E,$B230,Dados!$C:$C,INDEX(L$3,1,1),Dados!$A:$A,INDEX($D:$E,MATCH("L",$D:$D,0),2))/COUNTIFS(Dados!$E:$E,$B230,Dados!$C:$C,INDEX(L$3,1,1),Dados!$A:$A,INDEX($D:$E,MATCH("L",$D:$D,0),2)))</f>
        <v/>
      </c>
      <c r="M230" s="68" t="str">
        <f ca="1">IF(COUNTIFS(Dados!$E:$E,$B230,Dados!$C:$C,INDEX(M$3,1,1),Dados!$A:$A,INDEX($D:$E,MATCH("L",$D:$D,0),2))=0,"",SUMIFS(Dados!$G:$G,Dados!$E:$E,$B230,Dados!$C:$C,INDEX(M$3,1,1),Dados!$A:$A,INDEX($D:$E,MATCH("L",$D:$D,0),2))/COUNTIFS(Dados!$E:$E,$B230,Dados!$C:$C,INDEX(M$3,1,1),Dados!$A:$A,INDEX($D:$E,MATCH("L",$D:$D,0),2)))</f>
        <v/>
      </c>
      <c r="N230" s="68" t="str">
        <f ca="1">IF(COUNTIFS(Dados!$E:$E,$B230,Dados!$C:$C,INDEX(N$3,1,1),Dados!$A:$A,INDEX($D:$E,MATCH("L",$D:$D,0),2))=0,"",SUMIFS(Dados!$G:$G,Dados!$E:$E,$B230,Dados!$C:$C,INDEX(N$3,1,1),Dados!$A:$A,INDEX($D:$E,MATCH("L",$D:$D,0),2))/COUNTIFS(Dados!$E:$E,$B230,Dados!$C:$C,INDEX(N$3,1,1),Dados!$A:$A,INDEX($D:$E,MATCH("L",$D:$D,0),2)))</f>
        <v/>
      </c>
      <c r="O230" s="68" t="str">
        <f ca="1">IF(COUNTIFS(Dados!$E:$E,$B230,Dados!$C:$C,INDEX(O$3,1,1),Dados!$A:$A,INDEX($D:$E,MATCH("L",$D:$D,0),2))=0,"",SUMIFS(Dados!$G:$G,Dados!$E:$E,$B230,Dados!$C:$C,INDEX(O$3,1,1),Dados!$A:$A,INDEX($D:$E,MATCH("L",$D:$D,0),2))/COUNTIFS(Dados!$E:$E,$B230,Dados!$C:$C,INDEX(O$3,1,1),Dados!$A:$A,INDEX($D:$E,MATCH("L",$D:$D,0),2)))</f>
        <v/>
      </c>
      <c r="P230" s="68" t="str">
        <f ca="1">IF(COUNTIFS(Dados!$E:$E,$B230,Dados!$C:$C,INDEX(P$3,1,1),Dados!$A:$A,INDEX($D:$E,MATCH("L",$D:$D,0),2))=0,"",SUMIFS(Dados!$G:$G,Dados!$E:$E,$B230,Dados!$C:$C,INDEX(P$3,1,1),Dados!$A:$A,INDEX($D:$E,MATCH("L",$D:$D,0),2))/COUNTIFS(Dados!$E:$E,$B230,Dados!$C:$C,INDEX(P$3,1,1),Dados!$A:$A,INDEX($D:$E,MATCH("L",$D:$D,0),2)))</f>
        <v/>
      </c>
      <c r="Q230" s="68" t="str">
        <f ca="1">IF(COUNTIFS(Dados!$E:$E,$B230,Dados!$C:$C,INDEX(Q$3,1,1),Dados!$A:$A,INDEX($D:$E,MATCH("L",$D:$D,0),2))=0,"",SUMIFS(Dados!$G:$G,Dados!$E:$E,$B230,Dados!$C:$C,INDEX(Q$3,1,1),Dados!$A:$A,INDEX($D:$E,MATCH("L",$D:$D,0),2))/COUNTIFS(Dados!$E:$E,$B230,Dados!$C:$C,INDEX(Q$3,1,1),Dados!$A:$A,INDEX($D:$E,MATCH("L",$D:$D,0),2)))</f>
        <v/>
      </c>
      <c r="R230" s="68" t="str">
        <f ca="1">IF(COUNTIFS(Dados!$E:$E,$B230,Dados!$C:$C,INDEX(R$3,1,1),Dados!$A:$A,INDEX($D:$E,MATCH("L",$D:$D,0),2))=0,"",SUMIFS(Dados!$G:$G,Dados!$E:$E,$B230,Dados!$C:$C,INDEX(R$3,1,1),Dados!$A:$A,INDEX($D:$E,MATCH("L",$D:$D,0),2))/COUNTIFS(Dados!$E:$E,$B230,Dados!$C:$C,INDEX(R$3,1,1),Dados!$A:$A,INDEX($D:$E,MATCH("L",$D:$D,0),2)))</f>
        <v/>
      </c>
      <c r="S230" s="68" t="str">
        <f ca="1">IF(COUNTIFS(Dados!$E:$E,$B230,Dados!$C:$C,INDEX(S$3,1,1),Dados!$A:$A,INDEX($D:$E,MATCH("L",$D:$D,0),2))=0,"",SUMIFS(Dados!$G:$G,Dados!$E:$E,$B230,Dados!$C:$C,INDEX(S$3,1,1),Dados!$A:$A,INDEX($D:$E,MATCH("L",$D:$D,0),2))/COUNTIFS(Dados!$E:$E,$B230,Dados!$C:$C,INDEX(S$3,1,1),Dados!$A:$A,INDEX($D:$E,MATCH("L",$D:$D,0),2)))</f>
        <v/>
      </c>
      <c r="T230" s="68" t="str">
        <f ca="1">IF(COUNTIFS(Dados!$E:$E,$B230,Dados!$C:$C,INDEX(T$3,1,1),Dados!$A:$A,INDEX($D:$E,MATCH("L",$D:$D,0),2))=0,"",SUMIFS(Dados!$G:$G,Dados!$E:$E,$B230,Dados!$C:$C,INDEX(T$3,1,1),Dados!$A:$A,INDEX($D:$E,MATCH("L",$D:$D,0),2))/COUNTIFS(Dados!$E:$E,$B230,Dados!$C:$C,INDEX(T$3,1,1),Dados!$A:$A,INDEX($D:$E,MATCH("L",$D:$D,0),2)))</f>
        <v/>
      </c>
      <c r="U230" s="68" t="str">
        <f ca="1">IF(COUNTIFS(Dados!$E:$E,$B230,Dados!$C:$C,INDEX(U$3,1,1),Dados!$A:$A,INDEX($D:$E,MATCH("L",$D:$D,0),2))=0,"",SUMIFS(Dados!$G:$G,Dados!$E:$E,$B230,Dados!$C:$C,INDEX(U$3,1,1),Dados!$A:$A,INDEX($D:$E,MATCH("L",$D:$D,0),2))/COUNTIFS(Dados!$E:$E,$B230,Dados!$C:$C,INDEX(U$3,1,1),Dados!$A:$A,INDEX($D:$E,MATCH("L",$D:$D,0),2)))</f>
        <v/>
      </c>
      <c r="V230" s="68" t="str">
        <f ca="1">IF(COUNTIFS(Dados!$E:$E,$B230,Dados!$C:$C,INDEX(V$3,1,1),Dados!$A:$A,INDEX($D:$E,MATCH("L",$D:$D,0),2))=0,"",SUMIFS(Dados!$G:$G,Dados!$E:$E,$B230,Dados!$C:$C,INDEX(V$3,1,1),Dados!$A:$A,INDEX($D:$E,MATCH("L",$D:$D,0),2))/COUNTIFS(Dados!$E:$E,$B230,Dados!$C:$C,INDEX(V$3,1,1),Dados!$A:$A,INDEX($D:$E,MATCH("L",$D:$D,0),2)))</f>
        <v/>
      </c>
    </row>
    <row r="231" spans="2:22" x14ac:dyDescent="0.25">
      <c r="B231" s="65" t="s">
        <v>375</v>
      </c>
      <c r="C231" s="72">
        <f>VLOOKUP(B231,B4:C22,2,0)</f>
        <v>18</v>
      </c>
      <c r="D231" s="66" t="str">
        <f ca="1">IF(COUNTIFS(Dados!$E:$E,$B231,Dados!$C:$C,INDEX(D$3,1,1),Dados!$A:$A,INDEX($D:$E,MATCH("L",$D:$D,0),2))=0,"",SUMIFS(Dados!$G:$G,Dados!$E:$E,$B231,Dados!$C:$C,INDEX(D$3,1,1),Dados!$A:$A,INDEX($D:$E,MATCH("L",$D:$D,0),2))/COUNTIFS(Dados!$E:$E,$B231,Dados!$C:$C,INDEX(D$3,1,1),Dados!$A:$A,INDEX($D:$E,MATCH("L",$D:$D,0),2)))</f>
        <v/>
      </c>
      <c r="E231" s="66" t="str">
        <f ca="1">IF(COUNTIFS(Dados!$E:$E,$B231,Dados!$C:$C,INDEX(E$3,1,1),Dados!$A:$A,INDEX($D:$E,MATCH("L",$D:$D,0),2))=0,"",SUMIFS(Dados!$G:$G,Dados!$E:$E,$B231,Dados!$C:$C,INDEX(E$3,1,1),Dados!$A:$A,INDEX($D:$E,MATCH("L",$D:$D,0),2))/COUNTIFS(Dados!$E:$E,$B231,Dados!$C:$C,INDEX(E$3,1,1),Dados!$A:$A,INDEX($D:$E,MATCH("L",$D:$D,0),2)))</f>
        <v/>
      </c>
      <c r="F231" s="66" t="str">
        <f ca="1">IF(COUNTIFS(Dados!$E:$E,$B231,Dados!$C:$C,INDEX(F$3,1,1),Dados!$A:$A,INDEX($D:$E,MATCH("L",$D:$D,0),2))=0,"",SUMIFS(Dados!$G:$G,Dados!$E:$E,$B231,Dados!$C:$C,INDEX(F$3,1,1),Dados!$A:$A,INDEX($D:$E,MATCH("L",$D:$D,0),2))/COUNTIFS(Dados!$E:$E,$B231,Dados!$C:$C,INDEX(F$3,1,1),Dados!$A:$A,INDEX($D:$E,MATCH("L",$D:$D,0),2)))</f>
        <v/>
      </c>
      <c r="G231" s="66" t="str">
        <f ca="1">IF(COUNTIFS(Dados!$E:$E,$B231,Dados!$C:$C,INDEX(G$3,1,1),Dados!$A:$A,INDEX($D:$E,MATCH("L",$D:$D,0),2))=0,"",SUMIFS(Dados!$G:$G,Dados!$E:$E,$B231,Dados!$C:$C,INDEX(G$3,1,1),Dados!$A:$A,INDEX($D:$E,MATCH("L",$D:$D,0),2))/COUNTIFS(Dados!$E:$E,$B231,Dados!$C:$C,INDEX(G$3,1,1),Dados!$A:$A,INDEX($D:$E,MATCH("L",$D:$D,0),2)))</f>
        <v/>
      </c>
      <c r="H231" s="66" t="str">
        <f ca="1">IF(COUNTIFS(Dados!$E:$E,$B231,Dados!$C:$C,INDEX(H$3,1,1),Dados!$A:$A,INDEX($D:$E,MATCH("L",$D:$D,0),2))=0,"",SUMIFS(Dados!$G:$G,Dados!$E:$E,$B231,Dados!$C:$C,INDEX(H$3,1,1),Dados!$A:$A,INDEX($D:$E,MATCH("L",$D:$D,0),2))/COUNTIFS(Dados!$E:$E,$B231,Dados!$C:$C,INDEX(H$3,1,1),Dados!$A:$A,INDEX($D:$E,MATCH("L",$D:$D,0),2)))</f>
        <v/>
      </c>
      <c r="I231" s="66" t="str">
        <f ca="1">IF(COUNTIFS(Dados!$E:$E,$B231,Dados!$C:$C,INDEX(I$3,1,1),Dados!$A:$A,INDEX($D:$E,MATCH("L",$D:$D,0),2))=0,"",SUMIFS(Dados!$G:$G,Dados!$E:$E,$B231,Dados!$C:$C,INDEX(I$3,1,1),Dados!$A:$A,INDEX($D:$E,MATCH("L",$D:$D,0),2))/COUNTIFS(Dados!$E:$E,$B231,Dados!$C:$C,INDEX(I$3,1,1),Dados!$A:$A,INDEX($D:$E,MATCH("L",$D:$D,0),2)))</f>
        <v/>
      </c>
      <c r="J231" s="66" t="str">
        <f ca="1">IF(COUNTIFS(Dados!$E:$E,$B231,Dados!$C:$C,INDEX(J$3,1,1),Dados!$A:$A,INDEX($D:$E,MATCH("L",$D:$D,0),2))=0,"",SUMIFS(Dados!$G:$G,Dados!$E:$E,$B231,Dados!$C:$C,INDEX(J$3,1,1),Dados!$A:$A,INDEX($D:$E,MATCH("L",$D:$D,0),2))/COUNTIFS(Dados!$E:$E,$B231,Dados!$C:$C,INDEX(J$3,1,1),Dados!$A:$A,INDEX($D:$E,MATCH("L",$D:$D,0),2)))</f>
        <v/>
      </c>
      <c r="K231" s="66" t="str">
        <f ca="1">IF(COUNTIFS(Dados!$E:$E,$B231,Dados!$C:$C,INDEX(K$3,1,1),Dados!$A:$A,INDEX($D:$E,MATCH("L",$D:$D,0),2))=0,"",SUMIFS(Dados!$G:$G,Dados!$E:$E,$B231,Dados!$C:$C,INDEX(K$3,1,1),Dados!$A:$A,INDEX($D:$E,MATCH("L",$D:$D,0),2))/COUNTIFS(Dados!$E:$E,$B231,Dados!$C:$C,INDEX(K$3,1,1),Dados!$A:$A,INDEX($D:$E,MATCH("L",$D:$D,0),2)))</f>
        <v/>
      </c>
      <c r="L231" s="66" t="str">
        <f ca="1">IF(COUNTIFS(Dados!$E:$E,$B231,Dados!$C:$C,INDEX(L$3,1,1),Dados!$A:$A,INDEX($D:$E,MATCH("L",$D:$D,0),2))=0,"",SUMIFS(Dados!$G:$G,Dados!$E:$E,$B231,Dados!$C:$C,INDEX(L$3,1,1),Dados!$A:$A,INDEX($D:$E,MATCH("L",$D:$D,0),2))/COUNTIFS(Dados!$E:$E,$B231,Dados!$C:$C,INDEX(L$3,1,1),Dados!$A:$A,INDEX($D:$E,MATCH("L",$D:$D,0),2)))</f>
        <v/>
      </c>
      <c r="M231" s="66" t="str">
        <f ca="1">IF(COUNTIFS(Dados!$E:$E,$B231,Dados!$C:$C,INDEX(M$3,1,1),Dados!$A:$A,INDEX($D:$E,MATCH("L",$D:$D,0),2))=0,"",SUMIFS(Dados!$G:$G,Dados!$E:$E,$B231,Dados!$C:$C,INDEX(M$3,1,1),Dados!$A:$A,INDEX($D:$E,MATCH("L",$D:$D,0),2))/COUNTIFS(Dados!$E:$E,$B231,Dados!$C:$C,INDEX(M$3,1,1),Dados!$A:$A,INDEX($D:$E,MATCH("L",$D:$D,0),2)))</f>
        <v/>
      </c>
      <c r="N231" s="66" t="str">
        <f ca="1">IF(COUNTIFS(Dados!$E:$E,$B231,Dados!$C:$C,INDEX(N$3,1,1),Dados!$A:$A,INDEX($D:$E,MATCH("L",$D:$D,0),2))=0,"",SUMIFS(Dados!$G:$G,Dados!$E:$E,$B231,Dados!$C:$C,INDEX(N$3,1,1),Dados!$A:$A,INDEX($D:$E,MATCH("L",$D:$D,0),2))/COUNTIFS(Dados!$E:$E,$B231,Dados!$C:$C,INDEX(N$3,1,1),Dados!$A:$A,INDEX($D:$E,MATCH("L",$D:$D,0),2)))</f>
        <v/>
      </c>
      <c r="O231" s="66" t="str">
        <f ca="1">IF(COUNTIFS(Dados!$E:$E,$B231,Dados!$C:$C,INDEX(O$3,1,1),Dados!$A:$A,INDEX($D:$E,MATCH("L",$D:$D,0),2))=0,"",SUMIFS(Dados!$G:$G,Dados!$E:$E,$B231,Dados!$C:$C,INDEX(O$3,1,1),Dados!$A:$A,INDEX($D:$E,MATCH("L",$D:$D,0),2))/COUNTIFS(Dados!$E:$E,$B231,Dados!$C:$C,INDEX(O$3,1,1),Dados!$A:$A,INDEX($D:$E,MATCH("L",$D:$D,0),2)))</f>
        <v/>
      </c>
      <c r="P231" s="66" t="str">
        <f ca="1">IF(COUNTIFS(Dados!$E:$E,$B231,Dados!$C:$C,INDEX(P$3,1,1),Dados!$A:$A,INDEX($D:$E,MATCH("L",$D:$D,0),2))=0,"",SUMIFS(Dados!$G:$G,Dados!$E:$E,$B231,Dados!$C:$C,INDEX(P$3,1,1),Dados!$A:$A,INDEX($D:$E,MATCH("L",$D:$D,0),2))/COUNTIFS(Dados!$E:$E,$B231,Dados!$C:$C,INDEX(P$3,1,1),Dados!$A:$A,INDEX($D:$E,MATCH("L",$D:$D,0),2)))</f>
        <v/>
      </c>
      <c r="Q231" s="66" t="str">
        <f ca="1">IF(COUNTIFS(Dados!$E:$E,$B231,Dados!$C:$C,INDEX(Q$3,1,1),Dados!$A:$A,INDEX($D:$E,MATCH("L",$D:$D,0),2))=0,"",SUMIFS(Dados!$G:$G,Dados!$E:$E,$B231,Dados!$C:$C,INDEX(Q$3,1,1),Dados!$A:$A,INDEX($D:$E,MATCH("L",$D:$D,0),2))/COUNTIFS(Dados!$E:$E,$B231,Dados!$C:$C,INDEX(Q$3,1,1),Dados!$A:$A,INDEX($D:$E,MATCH("L",$D:$D,0),2)))</f>
        <v/>
      </c>
      <c r="R231" s="66" t="str">
        <f ca="1">IF(COUNTIFS(Dados!$E:$E,$B231,Dados!$C:$C,INDEX(R$3,1,1),Dados!$A:$A,INDEX($D:$E,MATCH("L",$D:$D,0),2))=0,"",SUMIFS(Dados!$G:$G,Dados!$E:$E,$B231,Dados!$C:$C,INDEX(R$3,1,1),Dados!$A:$A,INDEX($D:$E,MATCH("L",$D:$D,0),2))/COUNTIFS(Dados!$E:$E,$B231,Dados!$C:$C,INDEX(R$3,1,1),Dados!$A:$A,INDEX($D:$E,MATCH("L",$D:$D,0),2)))</f>
        <v/>
      </c>
      <c r="S231" s="66" t="str">
        <f ca="1">IF(COUNTIFS(Dados!$E:$E,$B231,Dados!$C:$C,INDEX(S$3,1,1),Dados!$A:$A,INDEX($D:$E,MATCH("L",$D:$D,0),2))=0,"",SUMIFS(Dados!$G:$G,Dados!$E:$E,$B231,Dados!$C:$C,INDEX(S$3,1,1),Dados!$A:$A,INDEX($D:$E,MATCH("L",$D:$D,0),2))/COUNTIFS(Dados!$E:$E,$B231,Dados!$C:$C,INDEX(S$3,1,1),Dados!$A:$A,INDEX($D:$E,MATCH("L",$D:$D,0),2)))</f>
        <v/>
      </c>
      <c r="T231" s="66" t="str">
        <f ca="1">IF(COUNTIFS(Dados!$E:$E,$B231,Dados!$C:$C,INDEX(T$3,1,1),Dados!$A:$A,INDEX($D:$E,MATCH("L",$D:$D,0),2))=0,"",SUMIFS(Dados!$G:$G,Dados!$E:$E,$B231,Dados!$C:$C,INDEX(T$3,1,1),Dados!$A:$A,INDEX($D:$E,MATCH("L",$D:$D,0),2))/COUNTIFS(Dados!$E:$E,$B231,Dados!$C:$C,INDEX(T$3,1,1),Dados!$A:$A,INDEX($D:$E,MATCH("L",$D:$D,0),2)))</f>
        <v/>
      </c>
      <c r="U231" s="66" t="str">
        <f ca="1">IF(COUNTIFS(Dados!$E:$E,$B231,Dados!$C:$C,INDEX(U$3,1,1),Dados!$A:$A,INDEX($D:$E,MATCH("L",$D:$D,0),2))=0,"",SUMIFS(Dados!$G:$G,Dados!$E:$E,$B231,Dados!$C:$C,INDEX(U$3,1,1),Dados!$A:$A,INDEX($D:$E,MATCH("L",$D:$D,0),2))/COUNTIFS(Dados!$E:$E,$B231,Dados!$C:$C,INDEX(U$3,1,1),Dados!$A:$A,INDEX($D:$E,MATCH("L",$D:$D,0),2)))</f>
        <v/>
      </c>
      <c r="V231" s="66" t="str">
        <f ca="1">IF(COUNTIFS(Dados!$E:$E,$B231,Dados!$C:$C,INDEX(V$3,1,1),Dados!$A:$A,INDEX($D:$E,MATCH("L",$D:$D,0),2))=0,"",SUMIFS(Dados!$G:$G,Dados!$E:$E,$B231,Dados!$C:$C,INDEX(V$3,1,1),Dados!$A:$A,INDEX($D:$E,MATCH("L",$D:$D,0),2))/COUNTIFS(Dados!$E:$E,$B231,Dados!$C:$C,INDEX(V$3,1,1),Dados!$A:$A,INDEX($D:$E,MATCH("L",$D:$D,0),2)))</f>
        <v/>
      </c>
    </row>
    <row r="232" spans="2:22" x14ac:dyDescent="0.25">
      <c r="B232" s="67" t="s">
        <v>1300</v>
      </c>
      <c r="C232" s="71">
        <f>VLOOKUP(B232,B4:C22,2,0)</f>
        <v>19</v>
      </c>
      <c r="D232" s="68" t="str">
        <f ca="1">IF(COUNTIFS(Dados!$E:$E,$B232,Dados!$C:$C,INDEX(D$3,1,1),Dados!$A:$A,INDEX($D:$E,MATCH("L",$D:$D,0),2))=0,"",SUMIFS(Dados!$G:$G,Dados!$E:$E,$B232,Dados!$C:$C,INDEX(D$3,1,1),Dados!$A:$A,INDEX($D:$E,MATCH("L",$D:$D,0),2))/COUNTIFS(Dados!$E:$E,$B232,Dados!$C:$C,INDEX(D$3,1,1),Dados!$A:$A,INDEX($D:$E,MATCH("L",$D:$D,0),2)))</f>
        <v/>
      </c>
      <c r="E232" s="68" t="str">
        <f ca="1">IF(COUNTIFS(Dados!$E:$E,$B232,Dados!$C:$C,INDEX(E$3,1,1),Dados!$A:$A,INDEX($D:$E,MATCH("L",$D:$D,0),2))=0,"",SUMIFS(Dados!$G:$G,Dados!$E:$E,$B232,Dados!$C:$C,INDEX(E$3,1,1),Dados!$A:$A,INDEX($D:$E,MATCH("L",$D:$D,0),2))/COUNTIFS(Dados!$E:$E,$B232,Dados!$C:$C,INDEX(E$3,1,1),Dados!$A:$A,INDEX($D:$E,MATCH("L",$D:$D,0),2)))</f>
        <v/>
      </c>
      <c r="F232" s="68" t="str">
        <f ca="1">IF(COUNTIFS(Dados!$E:$E,$B232,Dados!$C:$C,INDEX(F$3,1,1),Dados!$A:$A,INDEX($D:$E,MATCH("L",$D:$D,0),2))=0,"",SUMIFS(Dados!$G:$G,Dados!$E:$E,$B232,Dados!$C:$C,INDEX(F$3,1,1),Dados!$A:$A,INDEX($D:$E,MATCH("L",$D:$D,0),2))/COUNTIFS(Dados!$E:$E,$B232,Dados!$C:$C,INDEX(F$3,1,1),Dados!$A:$A,INDEX($D:$E,MATCH("L",$D:$D,0),2)))</f>
        <v/>
      </c>
      <c r="G232" s="68" t="str">
        <f ca="1">IF(COUNTIFS(Dados!$E:$E,$B232,Dados!$C:$C,INDEX(G$3,1,1),Dados!$A:$A,INDEX($D:$E,MATCH("L",$D:$D,0),2))=0,"",SUMIFS(Dados!$G:$G,Dados!$E:$E,$B232,Dados!$C:$C,INDEX(G$3,1,1),Dados!$A:$A,INDEX($D:$E,MATCH("L",$D:$D,0),2))/COUNTIFS(Dados!$E:$E,$B232,Dados!$C:$C,INDEX(G$3,1,1),Dados!$A:$A,INDEX($D:$E,MATCH("L",$D:$D,0),2)))</f>
        <v/>
      </c>
      <c r="H232" s="68" t="str">
        <f ca="1">IF(COUNTIFS(Dados!$E:$E,$B232,Dados!$C:$C,INDEX(H$3,1,1),Dados!$A:$A,INDEX($D:$E,MATCH("L",$D:$D,0),2))=0,"",SUMIFS(Dados!$G:$G,Dados!$E:$E,$B232,Dados!$C:$C,INDEX(H$3,1,1),Dados!$A:$A,INDEX($D:$E,MATCH("L",$D:$D,0),2))/COUNTIFS(Dados!$E:$E,$B232,Dados!$C:$C,INDEX(H$3,1,1),Dados!$A:$A,INDEX($D:$E,MATCH("L",$D:$D,0),2)))</f>
        <v/>
      </c>
      <c r="I232" s="68" t="str">
        <f ca="1">IF(COUNTIFS(Dados!$E:$E,$B232,Dados!$C:$C,INDEX(I$3,1,1),Dados!$A:$A,INDEX($D:$E,MATCH("L",$D:$D,0),2))=0,"",SUMIFS(Dados!$G:$G,Dados!$E:$E,$B232,Dados!$C:$C,INDEX(I$3,1,1),Dados!$A:$A,INDEX($D:$E,MATCH("L",$D:$D,0),2))/COUNTIFS(Dados!$E:$E,$B232,Dados!$C:$C,INDEX(I$3,1,1),Dados!$A:$A,INDEX($D:$E,MATCH("L",$D:$D,0),2)))</f>
        <v/>
      </c>
      <c r="J232" s="68" t="str">
        <f ca="1">IF(COUNTIFS(Dados!$E:$E,$B232,Dados!$C:$C,INDEX(J$3,1,1),Dados!$A:$A,INDEX($D:$E,MATCH("L",$D:$D,0),2))=0,"",SUMIFS(Dados!$G:$G,Dados!$E:$E,$B232,Dados!$C:$C,INDEX(J$3,1,1),Dados!$A:$A,INDEX($D:$E,MATCH("L",$D:$D,0),2))/COUNTIFS(Dados!$E:$E,$B232,Dados!$C:$C,INDEX(J$3,1,1),Dados!$A:$A,INDEX($D:$E,MATCH("L",$D:$D,0),2)))</f>
        <v/>
      </c>
      <c r="K232" s="68" t="str">
        <f ca="1">IF(COUNTIFS(Dados!$E:$E,$B232,Dados!$C:$C,INDEX(K$3,1,1),Dados!$A:$A,INDEX($D:$E,MATCH("L",$D:$D,0),2))=0,"",SUMIFS(Dados!$G:$G,Dados!$E:$E,$B232,Dados!$C:$C,INDEX(K$3,1,1),Dados!$A:$A,INDEX($D:$E,MATCH("L",$D:$D,0),2))/COUNTIFS(Dados!$E:$E,$B232,Dados!$C:$C,INDEX(K$3,1,1),Dados!$A:$A,INDEX($D:$E,MATCH("L",$D:$D,0),2)))</f>
        <v/>
      </c>
      <c r="L232" s="68" t="str">
        <f ca="1">IF(COUNTIFS(Dados!$E:$E,$B232,Dados!$C:$C,INDEX(L$3,1,1),Dados!$A:$A,INDEX($D:$E,MATCH("L",$D:$D,0),2))=0,"",SUMIFS(Dados!$G:$G,Dados!$E:$E,$B232,Dados!$C:$C,INDEX(L$3,1,1),Dados!$A:$A,INDEX($D:$E,MATCH("L",$D:$D,0),2))/COUNTIFS(Dados!$E:$E,$B232,Dados!$C:$C,INDEX(L$3,1,1),Dados!$A:$A,INDEX($D:$E,MATCH("L",$D:$D,0),2)))</f>
        <v/>
      </c>
      <c r="M232" s="68" t="str">
        <f ca="1">IF(COUNTIFS(Dados!$E:$E,$B232,Dados!$C:$C,INDEX(M$3,1,1),Dados!$A:$A,INDEX($D:$E,MATCH("L",$D:$D,0),2))=0,"",SUMIFS(Dados!$G:$G,Dados!$E:$E,$B232,Dados!$C:$C,INDEX(M$3,1,1),Dados!$A:$A,INDEX($D:$E,MATCH("L",$D:$D,0),2))/COUNTIFS(Dados!$E:$E,$B232,Dados!$C:$C,INDEX(M$3,1,1),Dados!$A:$A,INDEX($D:$E,MATCH("L",$D:$D,0),2)))</f>
        <v/>
      </c>
      <c r="N232" s="68" t="str">
        <f ca="1">IF(COUNTIFS(Dados!$E:$E,$B232,Dados!$C:$C,INDEX(N$3,1,1),Dados!$A:$A,INDEX($D:$E,MATCH("L",$D:$D,0),2))=0,"",SUMIFS(Dados!$G:$G,Dados!$E:$E,$B232,Dados!$C:$C,INDEX(N$3,1,1),Dados!$A:$A,INDEX($D:$E,MATCH("L",$D:$D,0),2))/COUNTIFS(Dados!$E:$E,$B232,Dados!$C:$C,INDEX(N$3,1,1),Dados!$A:$A,INDEX($D:$E,MATCH("L",$D:$D,0),2)))</f>
        <v/>
      </c>
      <c r="O232" s="68" t="str">
        <f ca="1">IF(COUNTIFS(Dados!$E:$E,$B232,Dados!$C:$C,INDEX(O$3,1,1),Dados!$A:$A,INDEX($D:$E,MATCH("L",$D:$D,0),2))=0,"",SUMIFS(Dados!$G:$G,Dados!$E:$E,$B232,Dados!$C:$C,INDEX(O$3,1,1),Dados!$A:$A,INDEX($D:$E,MATCH("L",$D:$D,0),2))/COUNTIFS(Dados!$E:$E,$B232,Dados!$C:$C,INDEX(O$3,1,1),Dados!$A:$A,INDEX($D:$E,MATCH("L",$D:$D,0),2)))</f>
        <v/>
      </c>
      <c r="P232" s="68" t="str">
        <f ca="1">IF(COUNTIFS(Dados!$E:$E,$B232,Dados!$C:$C,INDEX(P$3,1,1),Dados!$A:$A,INDEX($D:$E,MATCH("L",$D:$D,0),2))=0,"",SUMIFS(Dados!$G:$G,Dados!$E:$E,$B232,Dados!$C:$C,INDEX(P$3,1,1),Dados!$A:$A,INDEX($D:$E,MATCH("L",$D:$D,0),2))/COUNTIFS(Dados!$E:$E,$B232,Dados!$C:$C,INDEX(P$3,1,1),Dados!$A:$A,INDEX($D:$E,MATCH("L",$D:$D,0),2)))</f>
        <v/>
      </c>
      <c r="Q232" s="68" t="str">
        <f ca="1">IF(COUNTIFS(Dados!$E:$E,$B232,Dados!$C:$C,INDEX(Q$3,1,1),Dados!$A:$A,INDEX($D:$E,MATCH("L",$D:$D,0),2))=0,"",SUMIFS(Dados!$G:$G,Dados!$E:$E,$B232,Dados!$C:$C,INDEX(Q$3,1,1),Dados!$A:$A,INDEX($D:$E,MATCH("L",$D:$D,0),2))/COUNTIFS(Dados!$E:$E,$B232,Dados!$C:$C,INDEX(Q$3,1,1),Dados!$A:$A,INDEX($D:$E,MATCH("L",$D:$D,0),2)))</f>
        <v/>
      </c>
      <c r="R232" s="68" t="str">
        <f ca="1">IF(COUNTIFS(Dados!$E:$E,$B232,Dados!$C:$C,INDEX(R$3,1,1),Dados!$A:$A,INDEX($D:$E,MATCH("L",$D:$D,0),2))=0,"",SUMIFS(Dados!$G:$G,Dados!$E:$E,$B232,Dados!$C:$C,INDEX(R$3,1,1),Dados!$A:$A,INDEX($D:$E,MATCH("L",$D:$D,0),2))/COUNTIFS(Dados!$E:$E,$B232,Dados!$C:$C,INDEX(R$3,1,1),Dados!$A:$A,INDEX($D:$E,MATCH("L",$D:$D,0),2)))</f>
        <v/>
      </c>
      <c r="S232" s="68" t="str">
        <f ca="1">IF(COUNTIFS(Dados!$E:$E,$B232,Dados!$C:$C,INDEX(S$3,1,1),Dados!$A:$A,INDEX($D:$E,MATCH("L",$D:$D,0),2))=0,"",SUMIFS(Dados!$G:$G,Dados!$E:$E,$B232,Dados!$C:$C,INDEX(S$3,1,1),Dados!$A:$A,INDEX($D:$E,MATCH("L",$D:$D,0),2))/COUNTIFS(Dados!$E:$E,$B232,Dados!$C:$C,INDEX(S$3,1,1),Dados!$A:$A,INDEX($D:$E,MATCH("L",$D:$D,0),2)))</f>
        <v/>
      </c>
      <c r="T232" s="68" t="str">
        <f ca="1">IF(COUNTIFS(Dados!$E:$E,$B232,Dados!$C:$C,INDEX(T$3,1,1),Dados!$A:$A,INDEX($D:$E,MATCH("L",$D:$D,0),2))=0,"",SUMIFS(Dados!$G:$G,Dados!$E:$E,$B232,Dados!$C:$C,INDEX(T$3,1,1),Dados!$A:$A,INDEX($D:$E,MATCH("L",$D:$D,0),2))/COUNTIFS(Dados!$E:$E,$B232,Dados!$C:$C,INDEX(T$3,1,1),Dados!$A:$A,INDEX($D:$E,MATCH("L",$D:$D,0),2)))</f>
        <v/>
      </c>
      <c r="U232" s="68" t="str">
        <f ca="1">IF(COUNTIFS(Dados!$E:$E,$B232,Dados!$C:$C,INDEX(U$3,1,1),Dados!$A:$A,INDEX($D:$E,MATCH("L",$D:$D,0),2))=0,"",SUMIFS(Dados!$G:$G,Dados!$E:$E,$B232,Dados!$C:$C,INDEX(U$3,1,1),Dados!$A:$A,INDEX($D:$E,MATCH("L",$D:$D,0),2))/COUNTIFS(Dados!$E:$E,$B232,Dados!$C:$C,INDEX(U$3,1,1),Dados!$A:$A,INDEX($D:$E,MATCH("L",$D:$D,0),2)))</f>
        <v/>
      </c>
      <c r="V232" s="68" t="str">
        <f ca="1">IF(COUNTIFS(Dados!$E:$E,$B232,Dados!$C:$C,INDEX(V$3,1,1),Dados!$A:$A,INDEX($D:$E,MATCH("L",$D:$D,0),2))=0,"",SUMIFS(Dados!$G:$G,Dados!$E:$E,$B232,Dados!$C:$C,INDEX(V$3,1,1),Dados!$A:$A,INDEX($D:$E,MATCH("L",$D:$D,0),2))/COUNTIFS(Dados!$E:$E,$B232,Dados!$C:$C,INDEX(V$3,1,1),Dados!$A:$A,INDEX($D:$E,MATCH("L",$D:$D,0),2)))</f>
        <v/>
      </c>
    </row>
  </sheetData>
  <mergeCells count="1">
    <mergeCell ref="B2:E2"/>
  </mergeCells>
  <conditionalFormatting sqref="D4">
    <cfRule type="colorScale" priority="397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E4">
    <cfRule type="colorScale" priority="397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F4">
    <cfRule type="colorScale" priority="396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G4">
    <cfRule type="colorScale" priority="396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H4">
    <cfRule type="colorScale" priority="396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I4">
    <cfRule type="colorScale" priority="396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J4">
    <cfRule type="colorScale" priority="396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K4">
    <cfRule type="colorScale" priority="396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L4">
    <cfRule type="colorScale" priority="396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M4">
    <cfRule type="colorScale" priority="396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N4">
    <cfRule type="colorScale" priority="396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O4">
    <cfRule type="colorScale" priority="396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P4">
    <cfRule type="colorScale" priority="395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Q4">
    <cfRule type="colorScale" priority="395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R4">
    <cfRule type="colorScale" priority="395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S4">
    <cfRule type="colorScale" priority="395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T4">
    <cfRule type="colorScale" priority="395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U4">
    <cfRule type="colorScale" priority="395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V4">
    <cfRule type="colorScale" priority="395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D5">
    <cfRule type="colorScale" priority="395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E5">
    <cfRule type="colorScale" priority="395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F5">
    <cfRule type="colorScale" priority="395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G5">
    <cfRule type="colorScale" priority="394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H5">
    <cfRule type="colorScale" priority="394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I5">
    <cfRule type="colorScale" priority="394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J5">
    <cfRule type="colorScale" priority="394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K5">
    <cfRule type="colorScale" priority="394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L5">
    <cfRule type="colorScale" priority="394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M5">
    <cfRule type="colorScale" priority="394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N5">
    <cfRule type="colorScale" priority="394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O5">
    <cfRule type="colorScale" priority="394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P5">
    <cfRule type="colorScale" priority="394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Q5">
    <cfRule type="colorScale" priority="393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R5">
    <cfRule type="colorScale" priority="393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S5">
    <cfRule type="colorScale" priority="393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T5">
    <cfRule type="colorScale" priority="393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U5">
    <cfRule type="colorScale" priority="393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V5">
    <cfRule type="colorScale" priority="393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D6">
    <cfRule type="colorScale" priority="393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E6">
    <cfRule type="colorScale" priority="393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F6">
    <cfRule type="colorScale" priority="393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G6">
    <cfRule type="colorScale" priority="393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H6">
    <cfRule type="colorScale" priority="392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I6">
    <cfRule type="colorScale" priority="392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J6">
    <cfRule type="colorScale" priority="392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K6">
    <cfRule type="colorScale" priority="392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L6">
    <cfRule type="colorScale" priority="392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M6">
    <cfRule type="colorScale" priority="392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N6">
    <cfRule type="colorScale" priority="392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O6">
    <cfRule type="colorScale" priority="392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P6">
    <cfRule type="colorScale" priority="392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Q6">
    <cfRule type="colorScale" priority="392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R6">
    <cfRule type="colorScale" priority="391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S6">
    <cfRule type="colorScale" priority="391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T6">
    <cfRule type="colorScale" priority="391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U6">
    <cfRule type="colorScale" priority="391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V6">
    <cfRule type="colorScale" priority="391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D7">
    <cfRule type="colorScale" priority="391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E7">
    <cfRule type="colorScale" priority="391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F7">
    <cfRule type="colorScale" priority="391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G7">
    <cfRule type="colorScale" priority="391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H7">
    <cfRule type="colorScale" priority="391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I7">
    <cfRule type="colorScale" priority="390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J7">
    <cfRule type="colorScale" priority="390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K7">
    <cfRule type="colorScale" priority="390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L7">
    <cfRule type="colorScale" priority="390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M7">
    <cfRule type="colorScale" priority="390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N7">
    <cfRule type="colorScale" priority="390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O7">
    <cfRule type="colorScale" priority="390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P7">
    <cfRule type="colorScale" priority="390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Q7">
    <cfRule type="colorScale" priority="390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R7">
    <cfRule type="colorScale" priority="390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S7">
    <cfRule type="colorScale" priority="389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T7">
    <cfRule type="colorScale" priority="389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U7">
    <cfRule type="colorScale" priority="389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V7">
    <cfRule type="colorScale" priority="389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D8">
    <cfRule type="colorScale" priority="389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E8">
    <cfRule type="colorScale" priority="389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F8">
    <cfRule type="colorScale" priority="389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G8">
    <cfRule type="colorScale" priority="389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H8">
    <cfRule type="colorScale" priority="389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I8">
    <cfRule type="colorScale" priority="389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J8">
    <cfRule type="colorScale" priority="388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K8">
    <cfRule type="colorScale" priority="388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L8">
    <cfRule type="colorScale" priority="388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M8">
    <cfRule type="colorScale" priority="388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N8">
    <cfRule type="colorScale" priority="388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O8">
    <cfRule type="colorScale" priority="388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P8">
    <cfRule type="colorScale" priority="388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Q8">
    <cfRule type="colorScale" priority="388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R8">
    <cfRule type="colorScale" priority="388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S8">
    <cfRule type="colorScale" priority="388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T8">
    <cfRule type="colorScale" priority="387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U8">
    <cfRule type="colorScale" priority="387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V8">
    <cfRule type="colorScale" priority="387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D9">
    <cfRule type="colorScale" priority="387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E9">
    <cfRule type="colorScale" priority="387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F9">
    <cfRule type="colorScale" priority="387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G9">
    <cfRule type="colorScale" priority="387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H9">
    <cfRule type="colorScale" priority="387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I9">
    <cfRule type="colorScale" priority="387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J9">
    <cfRule type="colorScale" priority="387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K9">
    <cfRule type="colorScale" priority="386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L9">
    <cfRule type="colorScale" priority="386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M9">
    <cfRule type="colorScale" priority="386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N9">
    <cfRule type="colorScale" priority="386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O9">
    <cfRule type="colorScale" priority="386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P9">
    <cfRule type="colorScale" priority="386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Q9">
    <cfRule type="colorScale" priority="386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R9">
    <cfRule type="colorScale" priority="386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S9">
    <cfRule type="colorScale" priority="386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T9">
    <cfRule type="colorScale" priority="386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U9">
    <cfRule type="colorScale" priority="385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V9">
    <cfRule type="colorScale" priority="385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D10">
    <cfRule type="colorScale" priority="385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E10">
    <cfRule type="colorScale" priority="385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F10">
    <cfRule type="colorScale" priority="385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G10">
    <cfRule type="colorScale" priority="385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H10">
    <cfRule type="colorScale" priority="385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I10">
    <cfRule type="colorScale" priority="385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J10">
    <cfRule type="colorScale" priority="385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K10">
    <cfRule type="colorScale" priority="385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L10">
    <cfRule type="colorScale" priority="384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M10">
    <cfRule type="colorScale" priority="384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N10">
    <cfRule type="colorScale" priority="384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O10">
    <cfRule type="colorScale" priority="384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P10">
    <cfRule type="colorScale" priority="384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Q10">
    <cfRule type="colorScale" priority="384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R10">
    <cfRule type="colorScale" priority="384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S10">
    <cfRule type="colorScale" priority="384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T10">
    <cfRule type="colorScale" priority="384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U10">
    <cfRule type="colorScale" priority="384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V10">
    <cfRule type="colorScale" priority="383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D11">
    <cfRule type="colorScale" priority="383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E11">
    <cfRule type="colorScale" priority="383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F11">
    <cfRule type="colorScale" priority="383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G11">
    <cfRule type="colorScale" priority="383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H11">
    <cfRule type="colorScale" priority="383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I11">
    <cfRule type="colorScale" priority="383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J11">
    <cfRule type="colorScale" priority="383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K11">
    <cfRule type="colorScale" priority="383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L11">
    <cfRule type="colorScale" priority="383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M11">
    <cfRule type="colorScale" priority="382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N11">
    <cfRule type="colorScale" priority="382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O11">
    <cfRule type="colorScale" priority="382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P11">
    <cfRule type="colorScale" priority="382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Q11">
    <cfRule type="colorScale" priority="382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R11">
    <cfRule type="colorScale" priority="382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S11">
    <cfRule type="colorScale" priority="382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T11">
    <cfRule type="colorScale" priority="382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U11">
    <cfRule type="colorScale" priority="382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V11">
    <cfRule type="colorScale" priority="382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D12">
    <cfRule type="colorScale" priority="381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E12">
    <cfRule type="colorScale" priority="381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F12">
    <cfRule type="colorScale" priority="381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G12">
    <cfRule type="colorScale" priority="381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H12">
    <cfRule type="colorScale" priority="381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I12">
    <cfRule type="colorScale" priority="381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J12">
    <cfRule type="colorScale" priority="381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K12">
    <cfRule type="colorScale" priority="381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L12">
    <cfRule type="colorScale" priority="381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M12">
    <cfRule type="colorScale" priority="381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N12">
    <cfRule type="colorScale" priority="380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O12">
    <cfRule type="colorScale" priority="380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P12">
    <cfRule type="colorScale" priority="380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Q12">
    <cfRule type="colorScale" priority="380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R12">
    <cfRule type="colorScale" priority="380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S12">
    <cfRule type="colorScale" priority="380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T12">
    <cfRule type="colorScale" priority="380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U12">
    <cfRule type="colorScale" priority="380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V12">
    <cfRule type="colorScale" priority="380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D13">
    <cfRule type="colorScale" priority="380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E13">
    <cfRule type="colorScale" priority="379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F13">
    <cfRule type="colorScale" priority="379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G13">
    <cfRule type="colorScale" priority="379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H13">
    <cfRule type="colorScale" priority="379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I13">
    <cfRule type="colorScale" priority="379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J13">
    <cfRule type="colorScale" priority="379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K13">
    <cfRule type="colorScale" priority="379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L13">
    <cfRule type="colorScale" priority="379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M13">
    <cfRule type="colorScale" priority="379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N13">
    <cfRule type="colorScale" priority="379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O13">
    <cfRule type="colorScale" priority="378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P13">
    <cfRule type="colorScale" priority="378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Q13">
    <cfRule type="colorScale" priority="378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R13">
    <cfRule type="colorScale" priority="378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S13">
    <cfRule type="colorScale" priority="378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T13">
    <cfRule type="colorScale" priority="378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U13">
    <cfRule type="colorScale" priority="378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V13">
    <cfRule type="colorScale" priority="378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D14">
    <cfRule type="colorScale" priority="378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E14">
    <cfRule type="colorScale" priority="378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F14">
    <cfRule type="colorScale" priority="377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G14">
    <cfRule type="colorScale" priority="377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H14">
    <cfRule type="colorScale" priority="377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I14">
    <cfRule type="colorScale" priority="377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J14">
    <cfRule type="colorScale" priority="377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K14">
    <cfRule type="colorScale" priority="377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L14">
    <cfRule type="colorScale" priority="377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M14">
    <cfRule type="colorScale" priority="377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N14">
    <cfRule type="colorScale" priority="377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O14">
    <cfRule type="colorScale" priority="377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P14">
    <cfRule type="colorScale" priority="376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Q14">
    <cfRule type="colorScale" priority="376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R14">
    <cfRule type="colorScale" priority="376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S14">
    <cfRule type="colorScale" priority="376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T14">
    <cfRule type="colorScale" priority="376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U14">
    <cfRule type="colorScale" priority="376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V14">
    <cfRule type="colorScale" priority="376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D15">
    <cfRule type="colorScale" priority="376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E15">
    <cfRule type="colorScale" priority="376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F15">
    <cfRule type="colorScale" priority="376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G15">
    <cfRule type="colorScale" priority="375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H15">
    <cfRule type="colorScale" priority="375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I15">
    <cfRule type="colorScale" priority="375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J15">
    <cfRule type="colorScale" priority="375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K15">
    <cfRule type="colorScale" priority="375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L15">
    <cfRule type="colorScale" priority="375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M15">
    <cfRule type="colorScale" priority="375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N15">
    <cfRule type="colorScale" priority="375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O15">
    <cfRule type="colorScale" priority="375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P15">
    <cfRule type="colorScale" priority="375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Q15">
    <cfRule type="colorScale" priority="374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R15">
    <cfRule type="colorScale" priority="374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S15">
    <cfRule type="colorScale" priority="374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T15">
    <cfRule type="colorScale" priority="374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U15">
    <cfRule type="colorScale" priority="374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V15">
    <cfRule type="colorScale" priority="374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D16">
    <cfRule type="colorScale" priority="374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E16">
    <cfRule type="colorScale" priority="374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F16">
    <cfRule type="colorScale" priority="374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G16">
    <cfRule type="colorScale" priority="374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H16">
    <cfRule type="colorScale" priority="373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I16">
    <cfRule type="colorScale" priority="373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J16">
    <cfRule type="colorScale" priority="373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K16">
    <cfRule type="colorScale" priority="373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L16">
    <cfRule type="colorScale" priority="373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M16">
    <cfRule type="colorScale" priority="373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N16">
    <cfRule type="colorScale" priority="373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O16">
    <cfRule type="colorScale" priority="373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P16">
    <cfRule type="colorScale" priority="373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Q16">
    <cfRule type="colorScale" priority="373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R16">
    <cfRule type="colorScale" priority="372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S16">
    <cfRule type="colorScale" priority="372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T16">
    <cfRule type="colorScale" priority="372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U16">
    <cfRule type="colorScale" priority="372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V16">
    <cfRule type="colorScale" priority="372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D17">
    <cfRule type="colorScale" priority="372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E17">
    <cfRule type="colorScale" priority="372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F17">
    <cfRule type="colorScale" priority="372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G17">
    <cfRule type="colorScale" priority="372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H17">
    <cfRule type="colorScale" priority="372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I17">
    <cfRule type="colorScale" priority="371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J17">
    <cfRule type="colorScale" priority="371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K17">
    <cfRule type="colorScale" priority="371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L17">
    <cfRule type="colorScale" priority="371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M17">
    <cfRule type="colorScale" priority="371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N17">
    <cfRule type="colorScale" priority="371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O17">
    <cfRule type="colorScale" priority="371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P17">
    <cfRule type="colorScale" priority="371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Q17">
    <cfRule type="colorScale" priority="371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R17">
    <cfRule type="colorScale" priority="371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S17">
    <cfRule type="colorScale" priority="370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T17">
    <cfRule type="colorScale" priority="370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U17">
    <cfRule type="colorScale" priority="370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V17">
    <cfRule type="colorScale" priority="370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D18">
    <cfRule type="colorScale" priority="370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E18">
    <cfRule type="colorScale" priority="370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F18">
    <cfRule type="colorScale" priority="370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G18">
    <cfRule type="colorScale" priority="370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H18">
    <cfRule type="colorScale" priority="370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I18">
    <cfRule type="colorScale" priority="370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J18">
    <cfRule type="colorScale" priority="369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K18">
    <cfRule type="colorScale" priority="369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L18">
    <cfRule type="colorScale" priority="369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M18">
    <cfRule type="colorScale" priority="369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N18">
    <cfRule type="colorScale" priority="369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O18">
    <cfRule type="colorScale" priority="369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P18">
    <cfRule type="colorScale" priority="369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Q18">
    <cfRule type="colorScale" priority="369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R18">
    <cfRule type="colorScale" priority="369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S18">
    <cfRule type="colorScale" priority="369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T18">
    <cfRule type="colorScale" priority="368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U18">
    <cfRule type="colorScale" priority="368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V18">
    <cfRule type="colorScale" priority="368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D19">
    <cfRule type="colorScale" priority="368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E19">
    <cfRule type="colorScale" priority="368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F19">
    <cfRule type="colorScale" priority="368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G19">
    <cfRule type="colorScale" priority="368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H19">
    <cfRule type="colorScale" priority="368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I19">
    <cfRule type="colorScale" priority="368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J19">
    <cfRule type="colorScale" priority="368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K19">
    <cfRule type="colorScale" priority="367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L19">
    <cfRule type="colorScale" priority="367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M19">
    <cfRule type="colorScale" priority="367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N19">
    <cfRule type="colorScale" priority="367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O19">
    <cfRule type="colorScale" priority="367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P19">
    <cfRule type="colorScale" priority="367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Q19">
    <cfRule type="colorScale" priority="367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R19">
    <cfRule type="colorScale" priority="367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S19">
    <cfRule type="colorScale" priority="367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T19">
    <cfRule type="colorScale" priority="367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U19">
    <cfRule type="colorScale" priority="366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V19">
    <cfRule type="colorScale" priority="366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D20">
    <cfRule type="colorScale" priority="366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E20">
    <cfRule type="colorScale" priority="366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F20">
    <cfRule type="colorScale" priority="366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G20">
    <cfRule type="colorScale" priority="366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H20">
    <cfRule type="colorScale" priority="366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I20">
    <cfRule type="colorScale" priority="366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J20">
    <cfRule type="colorScale" priority="366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K20">
    <cfRule type="colorScale" priority="366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L20">
    <cfRule type="colorScale" priority="365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M20">
    <cfRule type="colorScale" priority="365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N20">
    <cfRule type="colorScale" priority="365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O20">
    <cfRule type="colorScale" priority="365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P20">
    <cfRule type="colorScale" priority="365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Q20">
    <cfRule type="colorScale" priority="365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R20">
    <cfRule type="colorScale" priority="365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S20">
    <cfRule type="colorScale" priority="365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T20">
    <cfRule type="colorScale" priority="365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U20">
    <cfRule type="colorScale" priority="365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V20">
    <cfRule type="colorScale" priority="364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D21">
    <cfRule type="colorScale" priority="364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E21">
    <cfRule type="colorScale" priority="364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F21">
    <cfRule type="colorScale" priority="364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G21">
    <cfRule type="colorScale" priority="364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H21">
    <cfRule type="colorScale" priority="364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I21">
    <cfRule type="colorScale" priority="364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J21">
    <cfRule type="colorScale" priority="364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K21">
    <cfRule type="colorScale" priority="364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L21">
    <cfRule type="colorScale" priority="364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M21">
    <cfRule type="colorScale" priority="363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N21">
    <cfRule type="colorScale" priority="363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O21">
    <cfRule type="colorScale" priority="363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P21">
    <cfRule type="colorScale" priority="363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Q21">
    <cfRule type="colorScale" priority="363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R21">
    <cfRule type="colorScale" priority="363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S21">
    <cfRule type="colorScale" priority="363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T21">
    <cfRule type="colorScale" priority="363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U21">
    <cfRule type="colorScale" priority="363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V21">
    <cfRule type="colorScale" priority="363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D22">
    <cfRule type="colorScale" priority="362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E22">
    <cfRule type="colorScale" priority="362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F22">
    <cfRule type="colorScale" priority="362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G22">
    <cfRule type="colorScale" priority="362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H22">
    <cfRule type="colorScale" priority="362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I22">
    <cfRule type="colorScale" priority="362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J22">
    <cfRule type="colorScale" priority="362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K22">
    <cfRule type="colorScale" priority="362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L22">
    <cfRule type="colorScale" priority="362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M22">
    <cfRule type="colorScale" priority="362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N22">
    <cfRule type="colorScale" priority="361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O22">
    <cfRule type="colorScale" priority="361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P22">
    <cfRule type="colorScale" priority="361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Q22">
    <cfRule type="colorScale" priority="361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R22">
    <cfRule type="colorScale" priority="361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S22">
    <cfRule type="colorScale" priority="361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T22">
    <cfRule type="colorScale" priority="361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U22">
    <cfRule type="colorScale" priority="361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V22">
    <cfRule type="colorScale" priority="361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D25">
    <cfRule type="colorScale" priority="361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E25">
    <cfRule type="colorScale" priority="360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F25">
    <cfRule type="colorScale" priority="360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G25">
    <cfRule type="colorScale" priority="360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H25">
    <cfRule type="colorScale" priority="360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I25">
    <cfRule type="colorScale" priority="360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J25">
    <cfRule type="colorScale" priority="360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K25">
    <cfRule type="colorScale" priority="360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L25">
    <cfRule type="colorScale" priority="360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M25">
    <cfRule type="colorScale" priority="360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N25">
    <cfRule type="colorScale" priority="360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O25">
    <cfRule type="colorScale" priority="359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P25">
    <cfRule type="colorScale" priority="359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Q25">
    <cfRule type="colorScale" priority="359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R25">
    <cfRule type="colorScale" priority="359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S25">
    <cfRule type="colorScale" priority="359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T25">
    <cfRule type="colorScale" priority="359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U25">
    <cfRule type="colorScale" priority="359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V25">
    <cfRule type="colorScale" priority="359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D26">
    <cfRule type="colorScale" priority="359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E26">
    <cfRule type="colorScale" priority="359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F26">
    <cfRule type="colorScale" priority="358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G26">
    <cfRule type="colorScale" priority="358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H26">
    <cfRule type="colorScale" priority="358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I26">
    <cfRule type="colorScale" priority="358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J26">
    <cfRule type="colorScale" priority="358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K26">
    <cfRule type="colorScale" priority="358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L26">
    <cfRule type="colorScale" priority="358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M26">
    <cfRule type="colorScale" priority="358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N26">
    <cfRule type="colorScale" priority="358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O26">
    <cfRule type="colorScale" priority="358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P26">
    <cfRule type="colorScale" priority="357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Q26">
    <cfRule type="colorScale" priority="357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R26">
    <cfRule type="colorScale" priority="357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S26">
    <cfRule type="colorScale" priority="357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T26">
    <cfRule type="colorScale" priority="357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U26">
    <cfRule type="colorScale" priority="357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V26">
    <cfRule type="colorScale" priority="357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D27">
    <cfRule type="colorScale" priority="357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E27">
    <cfRule type="colorScale" priority="357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F27">
    <cfRule type="colorScale" priority="357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G27">
    <cfRule type="colorScale" priority="356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H27">
    <cfRule type="colorScale" priority="356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I27">
    <cfRule type="colorScale" priority="356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J27">
    <cfRule type="colorScale" priority="356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K27">
    <cfRule type="colorScale" priority="356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L27">
    <cfRule type="colorScale" priority="356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M27">
    <cfRule type="colorScale" priority="356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N27">
    <cfRule type="colorScale" priority="356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O27">
    <cfRule type="colorScale" priority="356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P27">
    <cfRule type="colorScale" priority="356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Q27">
    <cfRule type="colorScale" priority="355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R27">
    <cfRule type="colorScale" priority="355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S27">
    <cfRule type="colorScale" priority="355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T27">
    <cfRule type="colorScale" priority="355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U27">
    <cfRule type="colorScale" priority="355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V27">
    <cfRule type="colorScale" priority="355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D28">
    <cfRule type="colorScale" priority="355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E28">
    <cfRule type="colorScale" priority="355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F28">
    <cfRule type="colorScale" priority="355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G28">
    <cfRule type="colorScale" priority="355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H28">
    <cfRule type="colorScale" priority="354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I28">
    <cfRule type="colorScale" priority="354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J28">
    <cfRule type="colorScale" priority="354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K28">
    <cfRule type="colorScale" priority="354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L28">
    <cfRule type="colorScale" priority="354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M28">
    <cfRule type="colorScale" priority="354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N28">
    <cfRule type="colorScale" priority="354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O28">
    <cfRule type="colorScale" priority="354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P28">
    <cfRule type="colorScale" priority="354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Q28">
    <cfRule type="colorScale" priority="354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R28">
    <cfRule type="colorScale" priority="353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S28">
    <cfRule type="colorScale" priority="353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T28">
    <cfRule type="colorScale" priority="353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U28">
    <cfRule type="colorScale" priority="353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V28">
    <cfRule type="colorScale" priority="353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D29">
    <cfRule type="colorScale" priority="353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E29">
    <cfRule type="colorScale" priority="353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F29">
    <cfRule type="colorScale" priority="353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G29">
    <cfRule type="colorScale" priority="353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H29">
    <cfRule type="colorScale" priority="353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I29">
    <cfRule type="colorScale" priority="352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J29">
    <cfRule type="colorScale" priority="352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K29">
    <cfRule type="colorScale" priority="352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L29">
    <cfRule type="colorScale" priority="352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M29">
    <cfRule type="colorScale" priority="352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N29">
    <cfRule type="colorScale" priority="352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O29">
    <cfRule type="colorScale" priority="352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P29">
    <cfRule type="colorScale" priority="352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Q29">
    <cfRule type="colorScale" priority="352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R29">
    <cfRule type="colorScale" priority="352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S29">
    <cfRule type="colorScale" priority="351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T29">
    <cfRule type="colorScale" priority="351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U29">
    <cfRule type="colorScale" priority="351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V29">
    <cfRule type="colorScale" priority="351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D30">
    <cfRule type="colorScale" priority="351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E30">
    <cfRule type="colorScale" priority="351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F30">
    <cfRule type="colorScale" priority="351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G30">
    <cfRule type="colorScale" priority="351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H30">
    <cfRule type="colorScale" priority="351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I30">
    <cfRule type="colorScale" priority="351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J30">
    <cfRule type="colorScale" priority="350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K30">
    <cfRule type="colorScale" priority="350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L30">
    <cfRule type="colorScale" priority="350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M30">
    <cfRule type="colorScale" priority="350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N30">
    <cfRule type="colorScale" priority="350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O30">
    <cfRule type="colorScale" priority="350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P30">
    <cfRule type="colorScale" priority="350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Q30">
    <cfRule type="colorScale" priority="350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R30">
    <cfRule type="colorScale" priority="350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S30">
    <cfRule type="colorScale" priority="350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T30">
    <cfRule type="colorScale" priority="349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U30">
    <cfRule type="colorScale" priority="349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V30">
    <cfRule type="colorScale" priority="349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D31">
    <cfRule type="colorScale" priority="349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E31">
    <cfRule type="colorScale" priority="349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F31">
    <cfRule type="colorScale" priority="349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G31">
    <cfRule type="colorScale" priority="349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H31">
    <cfRule type="colorScale" priority="349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I31">
    <cfRule type="colorScale" priority="349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J31">
    <cfRule type="colorScale" priority="349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K31">
    <cfRule type="colorScale" priority="348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L31">
    <cfRule type="colorScale" priority="348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M31">
    <cfRule type="colorScale" priority="348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N31">
    <cfRule type="colorScale" priority="348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O31">
    <cfRule type="colorScale" priority="348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P31">
    <cfRule type="colorScale" priority="348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Q31">
    <cfRule type="colorScale" priority="348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R31">
    <cfRule type="colorScale" priority="348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S31">
    <cfRule type="colorScale" priority="348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T31">
    <cfRule type="colorScale" priority="348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U31">
    <cfRule type="colorScale" priority="347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V31">
    <cfRule type="colorScale" priority="347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D32">
    <cfRule type="colorScale" priority="347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E32">
    <cfRule type="colorScale" priority="347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F32">
    <cfRule type="colorScale" priority="347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G32">
    <cfRule type="colorScale" priority="347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H32">
    <cfRule type="colorScale" priority="347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I32">
    <cfRule type="colorScale" priority="347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J32">
    <cfRule type="colorScale" priority="347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K32">
    <cfRule type="colorScale" priority="347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L32">
    <cfRule type="colorScale" priority="346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M32">
    <cfRule type="colorScale" priority="346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N32">
    <cfRule type="colorScale" priority="346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O32">
    <cfRule type="colorScale" priority="346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P32">
    <cfRule type="colorScale" priority="346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Q32">
    <cfRule type="colorScale" priority="346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R32">
    <cfRule type="colorScale" priority="346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S32">
    <cfRule type="colorScale" priority="346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T32">
    <cfRule type="colorScale" priority="346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U32">
    <cfRule type="colorScale" priority="346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V32">
    <cfRule type="colorScale" priority="345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D33">
    <cfRule type="colorScale" priority="345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E33">
    <cfRule type="colorScale" priority="345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F33">
    <cfRule type="colorScale" priority="345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G33">
    <cfRule type="colorScale" priority="345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H33">
    <cfRule type="colorScale" priority="345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I33">
    <cfRule type="colorScale" priority="345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J33">
    <cfRule type="colorScale" priority="345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K33">
    <cfRule type="colorScale" priority="345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L33">
    <cfRule type="colorScale" priority="345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M33">
    <cfRule type="colorScale" priority="344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N33">
    <cfRule type="colorScale" priority="344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O33">
    <cfRule type="colorScale" priority="344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P33">
    <cfRule type="colorScale" priority="344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Q33">
    <cfRule type="colorScale" priority="344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R33">
    <cfRule type="colorScale" priority="344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S33">
    <cfRule type="colorScale" priority="344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T33">
    <cfRule type="colorScale" priority="344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U33">
    <cfRule type="colorScale" priority="344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V33">
    <cfRule type="colorScale" priority="344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D34">
    <cfRule type="colorScale" priority="343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E34">
    <cfRule type="colorScale" priority="343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F34">
    <cfRule type="colorScale" priority="343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G34">
    <cfRule type="colorScale" priority="343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H34">
    <cfRule type="colorScale" priority="343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I34">
    <cfRule type="colorScale" priority="343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J34">
    <cfRule type="colorScale" priority="343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K34">
    <cfRule type="colorScale" priority="343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L34">
    <cfRule type="colorScale" priority="343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M34">
    <cfRule type="colorScale" priority="343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N34">
    <cfRule type="colorScale" priority="342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O34">
    <cfRule type="colorScale" priority="342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P34">
    <cfRule type="colorScale" priority="342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Q34">
    <cfRule type="colorScale" priority="342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R34">
    <cfRule type="colorScale" priority="342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S34">
    <cfRule type="colorScale" priority="342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T34">
    <cfRule type="colorScale" priority="342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U34">
    <cfRule type="colorScale" priority="342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V34">
    <cfRule type="colorScale" priority="342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D35">
    <cfRule type="colorScale" priority="342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E35">
    <cfRule type="colorScale" priority="341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F35">
    <cfRule type="colorScale" priority="341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G35">
    <cfRule type="colorScale" priority="341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H35">
    <cfRule type="colorScale" priority="341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I35">
    <cfRule type="colorScale" priority="341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J35">
    <cfRule type="colorScale" priority="341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K35">
    <cfRule type="colorScale" priority="341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L35">
    <cfRule type="colorScale" priority="341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M35">
    <cfRule type="colorScale" priority="341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N35">
    <cfRule type="colorScale" priority="341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O35">
    <cfRule type="colorScale" priority="340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P35">
    <cfRule type="colorScale" priority="340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Q35">
    <cfRule type="colorScale" priority="340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R35">
    <cfRule type="colorScale" priority="340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S35">
    <cfRule type="colorScale" priority="340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T35">
    <cfRule type="colorScale" priority="340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U35">
    <cfRule type="colorScale" priority="340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V35">
    <cfRule type="colorScale" priority="340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D36">
    <cfRule type="colorScale" priority="340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E36">
    <cfRule type="colorScale" priority="340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F36">
    <cfRule type="colorScale" priority="339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G36">
    <cfRule type="colorScale" priority="339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H36">
    <cfRule type="colorScale" priority="339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I36">
    <cfRule type="colorScale" priority="339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J36">
    <cfRule type="colorScale" priority="339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K36">
    <cfRule type="colorScale" priority="339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L36">
    <cfRule type="colorScale" priority="339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M36">
    <cfRule type="colorScale" priority="339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N36">
    <cfRule type="colorScale" priority="339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O36">
    <cfRule type="colorScale" priority="339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P36">
    <cfRule type="colorScale" priority="338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Q36">
    <cfRule type="colorScale" priority="338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R36">
    <cfRule type="colorScale" priority="338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S36">
    <cfRule type="colorScale" priority="338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T36">
    <cfRule type="colorScale" priority="338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U36">
    <cfRule type="colorScale" priority="338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V36">
    <cfRule type="colorScale" priority="338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D37">
    <cfRule type="colorScale" priority="338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E37">
    <cfRule type="colorScale" priority="338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F37">
    <cfRule type="colorScale" priority="338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G37">
    <cfRule type="colorScale" priority="337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H37">
    <cfRule type="colorScale" priority="337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I37">
    <cfRule type="colorScale" priority="337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J37">
    <cfRule type="colorScale" priority="337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K37">
    <cfRule type="colorScale" priority="337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L37">
    <cfRule type="colorScale" priority="337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M37">
    <cfRule type="colorScale" priority="337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N37">
    <cfRule type="colorScale" priority="337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O37">
    <cfRule type="colorScale" priority="337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P37">
    <cfRule type="colorScale" priority="337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Q37">
    <cfRule type="colorScale" priority="336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R37">
    <cfRule type="colorScale" priority="336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S37">
    <cfRule type="colorScale" priority="336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T37">
    <cfRule type="colorScale" priority="336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U37">
    <cfRule type="colorScale" priority="336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V37">
    <cfRule type="colorScale" priority="336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D38">
    <cfRule type="colorScale" priority="336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E38">
    <cfRule type="colorScale" priority="336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F38">
    <cfRule type="colorScale" priority="336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G38">
    <cfRule type="colorScale" priority="336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H38">
    <cfRule type="colorScale" priority="335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I38">
    <cfRule type="colorScale" priority="335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J38">
    <cfRule type="colorScale" priority="335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K38">
    <cfRule type="colorScale" priority="335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L38">
    <cfRule type="colorScale" priority="335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M38">
    <cfRule type="colorScale" priority="335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N38">
    <cfRule type="colorScale" priority="335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O38">
    <cfRule type="colorScale" priority="335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P38">
    <cfRule type="colorScale" priority="335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Q38">
    <cfRule type="colorScale" priority="335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R38">
    <cfRule type="colorScale" priority="334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S38">
    <cfRule type="colorScale" priority="334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T38">
    <cfRule type="colorScale" priority="334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U38">
    <cfRule type="colorScale" priority="334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V38">
    <cfRule type="colorScale" priority="334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D39">
    <cfRule type="colorScale" priority="334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E39">
    <cfRule type="colorScale" priority="334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F39">
    <cfRule type="colorScale" priority="334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G39">
    <cfRule type="colorScale" priority="334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H39">
    <cfRule type="colorScale" priority="334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I39">
    <cfRule type="colorScale" priority="333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J39">
    <cfRule type="colorScale" priority="333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K39">
    <cfRule type="colorScale" priority="333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L39">
    <cfRule type="colorScale" priority="333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M39">
    <cfRule type="colorScale" priority="333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N39">
    <cfRule type="colorScale" priority="333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O39">
    <cfRule type="colorScale" priority="333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P39">
    <cfRule type="colorScale" priority="333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Q39">
    <cfRule type="colorScale" priority="333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R39">
    <cfRule type="colorScale" priority="333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S39">
    <cfRule type="colorScale" priority="332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T39">
    <cfRule type="colorScale" priority="332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U39">
    <cfRule type="colorScale" priority="332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V39">
    <cfRule type="colorScale" priority="332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D40">
    <cfRule type="colorScale" priority="332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E40">
    <cfRule type="colorScale" priority="332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F40">
    <cfRule type="colorScale" priority="332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G40">
    <cfRule type="colorScale" priority="332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H40">
    <cfRule type="colorScale" priority="332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I40">
    <cfRule type="colorScale" priority="332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J40">
    <cfRule type="colorScale" priority="331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K40">
    <cfRule type="colorScale" priority="331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L40">
    <cfRule type="colorScale" priority="331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M40">
    <cfRule type="colorScale" priority="331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N40">
    <cfRule type="colorScale" priority="331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O40">
    <cfRule type="colorScale" priority="331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P40">
    <cfRule type="colorScale" priority="331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Q40">
    <cfRule type="colorScale" priority="331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R40">
    <cfRule type="colorScale" priority="331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S40">
    <cfRule type="colorScale" priority="331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T40">
    <cfRule type="colorScale" priority="330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U40">
    <cfRule type="colorScale" priority="330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V40">
    <cfRule type="colorScale" priority="330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D41">
    <cfRule type="colorScale" priority="330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E41">
    <cfRule type="colorScale" priority="330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F41">
    <cfRule type="colorScale" priority="330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G41">
    <cfRule type="colorScale" priority="330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H41">
    <cfRule type="colorScale" priority="330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I41">
    <cfRule type="colorScale" priority="330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J41">
    <cfRule type="colorScale" priority="330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K41">
    <cfRule type="colorScale" priority="329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L41">
    <cfRule type="colorScale" priority="329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M41">
    <cfRule type="colorScale" priority="329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N41">
    <cfRule type="colorScale" priority="329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O41">
    <cfRule type="colorScale" priority="329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P41">
    <cfRule type="colorScale" priority="329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Q41">
    <cfRule type="colorScale" priority="329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R41">
    <cfRule type="colorScale" priority="329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S41">
    <cfRule type="colorScale" priority="329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T41">
    <cfRule type="colorScale" priority="329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U41">
    <cfRule type="colorScale" priority="328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V41">
    <cfRule type="colorScale" priority="328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D42">
    <cfRule type="colorScale" priority="328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E42">
    <cfRule type="colorScale" priority="328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F42">
    <cfRule type="colorScale" priority="328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G42">
    <cfRule type="colorScale" priority="328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H42">
    <cfRule type="colorScale" priority="328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I42">
    <cfRule type="colorScale" priority="328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J42">
    <cfRule type="colorScale" priority="328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K42">
    <cfRule type="colorScale" priority="328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L42">
    <cfRule type="colorScale" priority="327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M42">
    <cfRule type="colorScale" priority="327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N42">
    <cfRule type="colorScale" priority="327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O42">
    <cfRule type="colorScale" priority="327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P42">
    <cfRule type="colorScale" priority="327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Q42">
    <cfRule type="colorScale" priority="327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R42">
    <cfRule type="colorScale" priority="327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S42">
    <cfRule type="colorScale" priority="327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T42">
    <cfRule type="colorScale" priority="327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U42">
    <cfRule type="colorScale" priority="327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V42">
    <cfRule type="colorScale" priority="326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D43">
    <cfRule type="colorScale" priority="326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E43">
    <cfRule type="colorScale" priority="326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F43">
    <cfRule type="colorScale" priority="326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G43">
    <cfRule type="colorScale" priority="326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H43">
    <cfRule type="colorScale" priority="326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I43">
    <cfRule type="colorScale" priority="326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J43">
    <cfRule type="colorScale" priority="326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K43">
    <cfRule type="colorScale" priority="326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L43">
    <cfRule type="colorScale" priority="326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M43">
    <cfRule type="colorScale" priority="325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N43">
    <cfRule type="colorScale" priority="325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O43">
    <cfRule type="colorScale" priority="325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P43">
    <cfRule type="colorScale" priority="325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Q43">
    <cfRule type="colorScale" priority="325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R43">
    <cfRule type="colorScale" priority="325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S43">
    <cfRule type="colorScale" priority="325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T43">
    <cfRule type="colorScale" priority="325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U43">
    <cfRule type="colorScale" priority="325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V43">
    <cfRule type="colorScale" priority="325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D46">
    <cfRule type="colorScale" priority="324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E46">
    <cfRule type="colorScale" priority="324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F46">
    <cfRule type="colorScale" priority="324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G46">
    <cfRule type="colorScale" priority="324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H46">
    <cfRule type="colorScale" priority="324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I46">
    <cfRule type="colorScale" priority="324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J46">
    <cfRule type="colorScale" priority="324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K46">
    <cfRule type="colorScale" priority="324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L46">
    <cfRule type="colorScale" priority="324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M46">
    <cfRule type="colorScale" priority="324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N46">
    <cfRule type="colorScale" priority="323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O46">
    <cfRule type="colorScale" priority="323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P46">
    <cfRule type="colorScale" priority="323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Q46">
    <cfRule type="colorScale" priority="323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R46">
    <cfRule type="colorScale" priority="323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S46">
    <cfRule type="colorScale" priority="323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T46">
    <cfRule type="colorScale" priority="323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U46">
    <cfRule type="colorScale" priority="323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V46">
    <cfRule type="colorScale" priority="323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D47">
    <cfRule type="colorScale" priority="323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E47">
    <cfRule type="colorScale" priority="322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F47">
    <cfRule type="colorScale" priority="322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G47">
    <cfRule type="colorScale" priority="322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H47">
    <cfRule type="colorScale" priority="322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I47">
    <cfRule type="colorScale" priority="322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J47">
    <cfRule type="colorScale" priority="322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K47">
    <cfRule type="colorScale" priority="322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L47">
    <cfRule type="colorScale" priority="322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M47">
    <cfRule type="colorScale" priority="322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N47">
    <cfRule type="colorScale" priority="322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O47">
    <cfRule type="colorScale" priority="321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P47">
    <cfRule type="colorScale" priority="321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Q47">
    <cfRule type="colorScale" priority="321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R47">
    <cfRule type="colorScale" priority="321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S47">
    <cfRule type="colorScale" priority="321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T47">
    <cfRule type="colorScale" priority="321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U47">
    <cfRule type="colorScale" priority="321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V47">
    <cfRule type="colorScale" priority="321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D48">
    <cfRule type="colorScale" priority="321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E48">
    <cfRule type="colorScale" priority="321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F48">
    <cfRule type="colorScale" priority="320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G48">
    <cfRule type="colorScale" priority="320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H48">
    <cfRule type="colorScale" priority="320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I48">
    <cfRule type="colorScale" priority="320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J48">
    <cfRule type="colorScale" priority="320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K48">
    <cfRule type="colorScale" priority="320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L48">
    <cfRule type="colorScale" priority="320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M48">
    <cfRule type="colorScale" priority="320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N48">
    <cfRule type="colorScale" priority="320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O48">
    <cfRule type="colorScale" priority="320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P48">
    <cfRule type="colorScale" priority="319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Q48">
    <cfRule type="colorScale" priority="319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R48">
    <cfRule type="colorScale" priority="319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S48">
    <cfRule type="colorScale" priority="319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T48">
    <cfRule type="colorScale" priority="319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U48">
    <cfRule type="colorScale" priority="319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V48">
    <cfRule type="colorScale" priority="319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D49">
    <cfRule type="colorScale" priority="319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E49">
    <cfRule type="colorScale" priority="319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F49">
    <cfRule type="colorScale" priority="319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G49">
    <cfRule type="colorScale" priority="318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H49">
    <cfRule type="colorScale" priority="318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I49">
    <cfRule type="colorScale" priority="318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J49">
    <cfRule type="colorScale" priority="318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K49">
    <cfRule type="colorScale" priority="318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L49">
    <cfRule type="colorScale" priority="318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M49">
    <cfRule type="colorScale" priority="318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N49">
    <cfRule type="colorScale" priority="318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O49">
    <cfRule type="colorScale" priority="318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P49">
    <cfRule type="colorScale" priority="318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Q49">
    <cfRule type="colorScale" priority="317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R49">
    <cfRule type="colorScale" priority="317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S49">
    <cfRule type="colorScale" priority="317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T49">
    <cfRule type="colorScale" priority="317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U49">
    <cfRule type="colorScale" priority="317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V49">
    <cfRule type="colorScale" priority="317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D50">
    <cfRule type="colorScale" priority="317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E50">
    <cfRule type="colorScale" priority="317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F50">
    <cfRule type="colorScale" priority="317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G50">
    <cfRule type="colorScale" priority="317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H50">
    <cfRule type="colorScale" priority="316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I50">
    <cfRule type="colorScale" priority="316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J50">
    <cfRule type="colorScale" priority="316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K50">
    <cfRule type="colorScale" priority="316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L50">
    <cfRule type="colorScale" priority="316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M50">
    <cfRule type="colorScale" priority="316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N50">
    <cfRule type="colorScale" priority="316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O50">
    <cfRule type="colorScale" priority="316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P50">
    <cfRule type="colorScale" priority="316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Q50">
    <cfRule type="colorScale" priority="316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R50">
    <cfRule type="colorScale" priority="315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S50">
    <cfRule type="colorScale" priority="315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T50">
    <cfRule type="colorScale" priority="315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U50">
    <cfRule type="colorScale" priority="315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V50">
    <cfRule type="colorScale" priority="315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D51">
    <cfRule type="colorScale" priority="315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E51">
    <cfRule type="colorScale" priority="315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F51">
    <cfRule type="colorScale" priority="315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G51">
    <cfRule type="colorScale" priority="315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H51">
    <cfRule type="colorScale" priority="315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I51">
    <cfRule type="colorScale" priority="314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J51">
    <cfRule type="colorScale" priority="314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K51">
    <cfRule type="colorScale" priority="314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L51">
    <cfRule type="colorScale" priority="314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M51">
    <cfRule type="colorScale" priority="314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N51">
    <cfRule type="colorScale" priority="314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O51">
    <cfRule type="colorScale" priority="314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P51">
    <cfRule type="colorScale" priority="314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Q51">
    <cfRule type="colorScale" priority="314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R51">
    <cfRule type="colorScale" priority="314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S51">
    <cfRule type="colorScale" priority="313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T51">
    <cfRule type="colorScale" priority="313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U51">
    <cfRule type="colorScale" priority="313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V51">
    <cfRule type="colorScale" priority="313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D52">
    <cfRule type="colorScale" priority="313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E52">
    <cfRule type="colorScale" priority="313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F52">
    <cfRule type="colorScale" priority="313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G52">
    <cfRule type="colorScale" priority="313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H52">
    <cfRule type="colorScale" priority="313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I52">
    <cfRule type="colorScale" priority="313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J52">
    <cfRule type="colorScale" priority="312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K52">
    <cfRule type="colorScale" priority="312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L52">
    <cfRule type="colorScale" priority="312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M52">
    <cfRule type="colorScale" priority="312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N52">
    <cfRule type="colorScale" priority="312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O52">
    <cfRule type="colorScale" priority="312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P52">
    <cfRule type="colorScale" priority="312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Q52">
    <cfRule type="colorScale" priority="312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R52">
    <cfRule type="colorScale" priority="312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S52">
    <cfRule type="colorScale" priority="312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T52">
    <cfRule type="colorScale" priority="311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U52">
    <cfRule type="colorScale" priority="311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V52">
    <cfRule type="colorScale" priority="311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D53">
    <cfRule type="colorScale" priority="311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E53">
    <cfRule type="colorScale" priority="311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F53">
    <cfRule type="colorScale" priority="311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G53">
    <cfRule type="colorScale" priority="311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H53">
    <cfRule type="colorScale" priority="311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I53">
    <cfRule type="colorScale" priority="311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J53">
    <cfRule type="colorScale" priority="311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K53">
    <cfRule type="colorScale" priority="310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L53">
    <cfRule type="colorScale" priority="310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M53">
    <cfRule type="colorScale" priority="310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N53">
    <cfRule type="colorScale" priority="310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O53">
    <cfRule type="colorScale" priority="310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P53">
    <cfRule type="colorScale" priority="310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Q53">
    <cfRule type="colorScale" priority="310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R53">
    <cfRule type="colorScale" priority="310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S53">
    <cfRule type="colorScale" priority="310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T53">
    <cfRule type="colorScale" priority="310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U53">
    <cfRule type="colorScale" priority="309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V53">
    <cfRule type="colorScale" priority="309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D54">
    <cfRule type="colorScale" priority="309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E54">
    <cfRule type="colorScale" priority="309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F54">
    <cfRule type="colorScale" priority="309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G54">
    <cfRule type="colorScale" priority="309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H54">
    <cfRule type="colorScale" priority="309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I54">
    <cfRule type="colorScale" priority="309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J54">
    <cfRule type="colorScale" priority="309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K54">
    <cfRule type="colorScale" priority="309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L54">
    <cfRule type="colorScale" priority="308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M54">
    <cfRule type="colorScale" priority="308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N54">
    <cfRule type="colorScale" priority="308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O54">
    <cfRule type="colorScale" priority="308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P54">
    <cfRule type="colorScale" priority="308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Q54">
    <cfRule type="colorScale" priority="308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R54">
    <cfRule type="colorScale" priority="308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S54">
    <cfRule type="colorScale" priority="308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T54">
    <cfRule type="colorScale" priority="308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U54">
    <cfRule type="colorScale" priority="308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V54">
    <cfRule type="colorScale" priority="307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D55">
    <cfRule type="colorScale" priority="307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E55">
    <cfRule type="colorScale" priority="307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F55">
    <cfRule type="colorScale" priority="307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G55">
    <cfRule type="colorScale" priority="307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H55">
    <cfRule type="colorScale" priority="307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I55">
    <cfRule type="colorScale" priority="307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J55">
    <cfRule type="colorScale" priority="307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K55">
    <cfRule type="colorScale" priority="307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L55">
    <cfRule type="colorScale" priority="307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M55">
    <cfRule type="colorScale" priority="306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N55">
    <cfRule type="colorScale" priority="306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O55">
    <cfRule type="colorScale" priority="306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P55">
    <cfRule type="colorScale" priority="306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Q55">
    <cfRule type="colorScale" priority="306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R55">
    <cfRule type="colorScale" priority="306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S55">
    <cfRule type="colorScale" priority="306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T55">
    <cfRule type="colorScale" priority="306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U55">
    <cfRule type="colorScale" priority="306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V55">
    <cfRule type="colorScale" priority="306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D56">
    <cfRule type="colorScale" priority="305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E56">
    <cfRule type="colorScale" priority="305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F56">
    <cfRule type="colorScale" priority="305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G56">
    <cfRule type="colorScale" priority="305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H56">
    <cfRule type="colorScale" priority="305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I56">
    <cfRule type="colorScale" priority="305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J56">
    <cfRule type="colorScale" priority="305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K56">
    <cfRule type="colorScale" priority="305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L56">
    <cfRule type="colorScale" priority="305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M56">
    <cfRule type="colorScale" priority="305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N56">
    <cfRule type="colorScale" priority="304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O56">
    <cfRule type="colorScale" priority="304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P56">
    <cfRule type="colorScale" priority="304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Q56">
    <cfRule type="colorScale" priority="304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R56">
    <cfRule type="colorScale" priority="304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S56">
    <cfRule type="colorScale" priority="304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T56">
    <cfRule type="colorScale" priority="304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U56">
    <cfRule type="colorScale" priority="304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V56">
    <cfRule type="colorScale" priority="304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D57">
    <cfRule type="colorScale" priority="304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E57">
    <cfRule type="colorScale" priority="303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F57">
    <cfRule type="colorScale" priority="303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G57">
    <cfRule type="colorScale" priority="303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H57">
    <cfRule type="colorScale" priority="303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I57">
    <cfRule type="colorScale" priority="303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J57">
    <cfRule type="colorScale" priority="303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K57">
    <cfRule type="colorScale" priority="303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L57">
    <cfRule type="colorScale" priority="303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M57">
    <cfRule type="colorScale" priority="303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N57">
    <cfRule type="colorScale" priority="303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O57">
    <cfRule type="colorScale" priority="302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P57">
    <cfRule type="colorScale" priority="302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Q57">
    <cfRule type="colorScale" priority="302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R57">
    <cfRule type="colorScale" priority="302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S57">
    <cfRule type="colorScale" priority="302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T57">
    <cfRule type="colorScale" priority="302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U57">
    <cfRule type="colorScale" priority="302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V57">
    <cfRule type="colorScale" priority="302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D58">
    <cfRule type="colorScale" priority="302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E58">
    <cfRule type="colorScale" priority="302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F58">
    <cfRule type="colorScale" priority="301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G58">
    <cfRule type="colorScale" priority="301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H58">
    <cfRule type="colorScale" priority="301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I58">
    <cfRule type="colorScale" priority="301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J58">
    <cfRule type="colorScale" priority="301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K58">
    <cfRule type="colorScale" priority="301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L58">
    <cfRule type="colorScale" priority="301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M58">
    <cfRule type="colorScale" priority="301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N58">
    <cfRule type="colorScale" priority="301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O58">
    <cfRule type="colorScale" priority="301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P58">
    <cfRule type="colorScale" priority="300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Q58">
    <cfRule type="colorScale" priority="300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R58">
    <cfRule type="colorScale" priority="300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S58">
    <cfRule type="colorScale" priority="300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T58">
    <cfRule type="colorScale" priority="300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U58">
    <cfRule type="colorScale" priority="300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V58">
    <cfRule type="colorScale" priority="300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D59">
    <cfRule type="colorScale" priority="300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E59">
    <cfRule type="colorScale" priority="300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F59">
    <cfRule type="colorScale" priority="300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G59">
    <cfRule type="colorScale" priority="299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H59">
    <cfRule type="colorScale" priority="299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I59">
    <cfRule type="colorScale" priority="299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J59">
    <cfRule type="colorScale" priority="299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K59">
    <cfRule type="colorScale" priority="299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L59">
    <cfRule type="colorScale" priority="299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M59">
    <cfRule type="colorScale" priority="299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N59">
    <cfRule type="colorScale" priority="299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O59">
    <cfRule type="colorScale" priority="299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P59">
    <cfRule type="colorScale" priority="299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Q59">
    <cfRule type="colorScale" priority="298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R59">
    <cfRule type="colorScale" priority="298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S59">
    <cfRule type="colorScale" priority="298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T59">
    <cfRule type="colorScale" priority="298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U59">
    <cfRule type="colorScale" priority="298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V59">
    <cfRule type="colorScale" priority="298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D60">
    <cfRule type="colorScale" priority="298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E60">
    <cfRule type="colorScale" priority="298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F60">
    <cfRule type="colorScale" priority="298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G60">
    <cfRule type="colorScale" priority="298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H60">
    <cfRule type="colorScale" priority="297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I60">
    <cfRule type="colorScale" priority="297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J60">
    <cfRule type="colorScale" priority="297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K60">
    <cfRule type="colorScale" priority="297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L60">
    <cfRule type="colorScale" priority="297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M60">
    <cfRule type="colorScale" priority="297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N60">
    <cfRule type="colorScale" priority="297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O60">
    <cfRule type="colorScale" priority="297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P60">
    <cfRule type="colorScale" priority="297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Q60">
    <cfRule type="colorScale" priority="297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R60">
    <cfRule type="colorScale" priority="296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S60">
    <cfRule type="colorScale" priority="296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T60">
    <cfRule type="colorScale" priority="296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U60">
    <cfRule type="colorScale" priority="296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V60">
    <cfRule type="colorScale" priority="296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D61">
    <cfRule type="colorScale" priority="296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E61">
    <cfRule type="colorScale" priority="296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F61">
    <cfRule type="colorScale" priority="296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G61">
    <cfRule type="colorScale" priority="296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H61">
    <cfRule type="colorScale" priority="296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I61">
    <cfRule type="colorScale" priority="295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J61">
    <cfRule type="colorScale" priority="295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K61">
    <cfRule type="colorScale" priority="295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L61">
    <cfRule type="colorScale" priority="295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M61">
    <cfRule type="colorScale" priority="295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N61">
    <cfRule type="colorScale" priority="295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O61">
    <cfRule type="colorScale" priority="295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P61">
    <cfRule type="colorScale" priority="295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Q61">
    <cfRule type="colorScale" priority="295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R61">
    <cfRule type="colorScale" priority="295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S61">
    <cfRule type="colorScale" priority="294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T61">
    <cfRule type="colorScale" priority="294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U61">
    <cfRule type="colorScale" priority="294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V61">
    <cfRule type="colorScale" priority="294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D62">
    <cfRule type="colorScale" priority="294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E62">
    <cfRule type="colorScale" priority="294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F62">
    <cfRule type="colorScale" priority="294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G62">
    <cfRule type="colorScale" priority="294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H62">
    <cfRule type="colorScale" priority="294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I62">
    <cfRule type="colorScale" priority="294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J62">
    <cfRule type="colorScale" priority="293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K62">
    <cfRule type="colorScale" priority="293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L62">
    <cfRule type="colorScale" priority="293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M62">
    <cfRule type="colorScale" priority="293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N62">
    <cfRule type="colorScale" priority="293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O62">
    <cfRule type="colorScale" priority="293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P62">
    <cfRule type="colorScale" priority="293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Q62">
    <cfRule type="colorScale" priority="293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R62">
    <cfRule type="colorScale" priority="293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S62">
    <cfRule type="colorScale" priority="293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T62">
    <cfRule type="colorScale" priority="292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U62">
    <cfRule type="colorScale" priority="292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V62">
    <cfRule type="colorScale" priority="292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D63">
    <cfRule type="colorScale" priority="292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E63">
    <cfRule type="colorScale" priority="292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F63">
    <cfRule type="colorScale" priority="292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G63">
    <cfRule type="colorScale" priority="292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H63">
    <cfRule type="colorScale" priority="292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I63">
    <cfRule type="colorScale" priority="292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J63">
    <cfRule type="colorScale" priority="292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K63">
    <cfRule type="colorScale" priority="291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L63">
    <cfRule type="colorScale" priority="291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M63">
    <cfRule type="colorScale" priority="291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N63">
    <cfRule type="colorScale" priority="291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O63">
    <cfRule type="colorScale" priority="291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P63">
    <cfRule type="colorScale" priority="291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Q63">
    <cfRule type="colorScale" priority="291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R63">
    <cfRule type="colorScale" priority="291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S63">
    <cfRule type="colorScale" priority="291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T63">
    <cfRule type="colorScale" priority="291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U63">
    <cfRule type="colorScale" priority="290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V63">
    <cfRule type="colorScale" priority="290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D64">
    <cfRule type="colorScale" priority="290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E64">
    <cfRule type="colorScale" priority="290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F64">
    <cfRule type="colorScale" priority="290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G64">
    <cfRule type="colorScale" priority="290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H64">
    <cfRule type="colorScale" priority="290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I64">
    <cfRule type="colorScale" priority="290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J64">
    <cfRule type="colorScale" priority="290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K64">
    <cfRule type="colorScale" priority="290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L64">
    <cfRule type="colorScale" priority="289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M64">
    <cfRule type="colorScale" priority="289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N64">
    <cfRule type="colorScale" priority="289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O64">
    <cfRule type="colorScale" priority="289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P64">
    <cfRule type="colorScale" priority="289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Q64">
    <cfRule type="colorScale" priority="289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R64">
    <cfRule type="colorScale" priority="289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S64">
    <cfRule type="colorScale" priority="289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T64">
    <cfRule type="colorScale" priority="289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U64">
    <cfRule type="colorScale" priority="289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V64">
    <cfRule type="colorScale" priority="288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D67">
    <cfRule type="colorScale" priority="288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E67">
    <cfRule type="colorScale" priority="288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F67">
    <cfRule type="colorScale" priority="288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G67">
    <cfRule type="colorScale" priority="288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H67">
    <cfRule type="colorScale" priority="288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I67">
    <cfRule type="colorScale" priority="288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J67">
    <cfRule type="colorScale" priority="288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K67">
    <cfRule type="colorScale" priority="288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L67">
    <cfRule type="colorScale" priority="288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M67">
    <cfRule type="colorScale" priority="287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N67">
    <cfRule type="colorScale" priority="287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O67">
    <cfRule type="colorScale" priority="287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P67">
    <cfRule type="colorScale" priority="287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Q67">
    <cfRule type="colorScale" priority="287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R67">
    <cfRule type="colorScale" priority="287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S67">
    <cfRule type="colorScale" priority="287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T67">
    <cfRule type="colorScale" priority="287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U67">
    <cfRule type="colorScale" priority="287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V67">
    <cfRule type="colorScale" priority="287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D68">
    <cfRule type="colorScale" priority="286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E68">
    <cfRule type="colorScale" priority="286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F68">
    <cfRule type="colorScale" priority="286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G68">
    <cfRule type="colorScale" priority="286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H68">
    <cfRule type="colorScale" priority="286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I68">
    <cfRule type="colorScale" priority="286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J68">
    <cfRule type="colorScale" priority="286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K68">
    <cfRule type="colorScale" priority="286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L68">
    <cfRule type="colorScale" priority="286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M68">
    <cfRule type="colorScale" priority="286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N68">
    <cfRule type="colorScale" priority="285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O68">
    <cfRule type="colorScale" priority="285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P68">
    <cfRule type="colorScale" priority="285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Q68">
    <cfRule type="colorScale" priority="285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R68">
    <cfRule type="colorScale" priority="285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S68">
    <cfRule type="colorScale" priority="285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T68">
    <cfRule type="colorScale" priority="285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U68">
    <cfRule type="colorScale" priority="285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V68">
    <cfRule type="colorScale" priority="285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D69">
    <cfRule type="colorScale" priority="285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E69">
    <cfRule type="colorScale" priority="284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F69">
    <cfRule type="colorScale" priority="284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G69">
    <cfRule type="colorScale" priority="284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H69">
    <cfRule type="colorScale" priority="284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I69">
    <cfRule type="colorScale" priority="284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J69">
    <cfRule type="colorScale" priority="284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K69">
    <cfRule type="colorScale" priority="284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L69">
    <cfRule type="colorScale" priority="284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M69">
    <cfRule type="colorScale" priority="284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N69">
    <cfRule type="colorScale" priority="284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O69">
    <cfRule type="colorScale" priority="283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P69">
    <cfRule type="colorScale" priority="283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Q69">
    <cfRule type="colorScale" priority="283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R69">
    <cfRule type="colorScale" priority="283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S69">
    <cfRule type="colorScale" priority="283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T69">
    <cfRule type="colorScale" priority="283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U69">
    <cfRule type="colorScale" priority="283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V69">
    <cfRule type="colorScale" priority="283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D70">
    <cfRule type="colorScale" priority="283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E70">
    <cfRule type="colorScale" priority="283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F70">
    <cfRule type="colorScale" priority="282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G70">
    <cfRule type="colorScale" priority="282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H70">
    <cfRule type="colorScale" priority="282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I70">
    <cfRule type="colorScale" priority="282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J70">
    <cfRule type="colorScale" priority="282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K70">
    <cfRule type="colorScale" priority="282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L70">
    <cfRule type="colorScale" priority="282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M70">
    <cfRule type="colorScale" priority="282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N70">
    <cfRule type="colorScale" priority="282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O70">
    <cfRule type="colorScale" priority="282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P70">
    <cfRule type="colorScale" priority="281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Q70">
    <cfRule type="colorScale" priority="281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R70">
    <cfRule type="colorScale" priority="281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S70">
    <cfRule type="colorScale" priority="281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T70">
    <cfRule type="colorScale" priority="281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U70">
    <cfRule type="colorScale" priority="281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V70">
    <cfRule type="colorScale" priority="281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D71">
    <cfRule type="colorScale" priority="281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E71">
    <cfRule type="colorScale" priority="281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F71">
    <cfRule type="colorScale" priority="281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G71">
    <cfRule type="colorScale" priority="280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H71">
    <cfRule type="colorScale" priority="280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I71">
    <cfRule type="colorScale" priority="280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J71">
    <cfRule type="colorScale" priority="280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K71">
    <cfRule type="colorScale" priority="280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L71">
    <cfRule type="colorScale" priority="280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M71">
    <cfRule type="colorScale" priority="280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N71">
    <cfRule type="colorScale" priority="280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O71">
    <cfRule type="colorScale" priority="280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P71">
    <cfRule type="colorScale" priority="280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Q71">
    <cfRule type="colorScale" priority="279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R71">
    <cfRule type="colorScale" priority="279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S71">
    <cfRule type="colorScale" priority="279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T71">
    <cfRule type="colorScale" priority="279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U71">
    <cfRule type="colorScale" priority="279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V71">
    <cfRule type="colorScale" priority="279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D72">
    <cfRule type="colorScale" priority="279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E72">
    <cfRule type="colorScale" priority="279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F72">
    <cfRule type="colorScale" priority="279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G72">
    <cfRule type="colorScale" priority="279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H72">
    <cfRule type="colorScale" priority="278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I72">
    <cfRule type="colorScale" priority="278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J72">
    <cfRule type="colorScale" priority="278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K72">
    <cfRule type="colorScale" priority="278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L72">
    <cfRule type="colorScale" priority="278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M72">
    <cfRule type="colorScale" priority="278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N72">
    <cfRule type="colorScale" priority="278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O72">
    <cfRule type="colorScale" priority="278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P72">
    <cfRule type="colorScale" priority="278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Q72">
    <cfRule type="colorScale" priority="278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R72">
    <cfRule type="colorScale" priority="277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S72">
    <cfRule type="colorScale" priority="277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T72">
    <cfRule type="colorScale" priority="277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U72">
    <cfRule type="colorScale" priority="277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V72">
    <cfRule type="colorScale" priority="277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D73">
    <cfRule type="colorScale" priority="277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E73">
    <cfRule type="colorScale" priority="277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F73">
    <cfRule type="colorScale" priority="277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G73">
    <cfRule type="colorScale" priority="277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H73">
    <cfRule type="colorScale" priority="277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I73">
    <cfRule type="colorScale" priority="276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J73">
    <cfRule type="colorScale" priority="276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K73">
    <cfRule type="colorScale" priority="276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L73">
    <cfRule type="colorScale" priority="276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M73">
    <cfRule type="colorScale" priority="276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N73">
    <cfRule type="colorScale" priority="276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O73">
    <cfRule type="colorScale" priority="276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P73">
    <cfRule type="colorScale" priority="276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Q73">
    <cfRule type="colorScale" priority="276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R73">
    <cfRule type="colorScale" priority="276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S73">
    <cfRule type="colorScale" priority="275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T73">
    <cfRule type="colorScale" priority="275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U73">
    <cfRule type="colorScale" priority="275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V73">
    <cfRule type="colorScale" priority="275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D74">
    <cfRule type="colorScale" priority="275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E74">
    <cfRule type="colorScale" priority="275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F74">
    <cfRule type="colorScale" priority="275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G74">
    <cfRule type="colorScale" priority="275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H74">
    <cfRule type="colorScale" priority="275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I74">
    <cfRule type="colorScale" priority="275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J74">
    <cfRule type="colorScale" priority="274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K74">
    <cfRule type="colorScale" priority="274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L74">
    <cfRule type="colorScale" priority="274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M74">
    <cfRule type="colorScale" priority="274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N74">
    <cfRule type="colorScale" priority="274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O74">
    <cfRule type="colorScale" priority="274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P74">
    <cfRule type="colorScale" priority="274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Q74">
    <cfRule type="colorScale" priority="274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R74">
    <cfRule type="colorScale" priority="274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S74">
    <cfRule type="colorScale" priority="274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T74">
    <cfRule type="colorScale" priority="273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U74">
    <cfRule type="colorScale" priority="273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V74">
    <cfRule type="colorScale" priority="273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D75">
    <cfRule type="colorScale" priority="273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E75">
    <cfRule type="colorScale" priority="273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F75">
    <cfRule type="colorScale" priority="273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G75">
    <cfRule type="colorScale" priority="273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H75">
    <cfRule type="colorScale" priority="273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I75">
    <cfRule type="colorScale" priority="273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J75">
    <cfRule type="colorScale" priority="273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K75">
    <cfRule type="colorScale" priority="272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L75">
    <cfRule type="colorScale" priority="272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M75">
    <cfRule type="colorScale" priority="272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N75">
    <cfRule type="colorScale" priority="272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O75">
    <cfRule type="colorScale" priority="272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P75">
    <cfRule type="colorScale" priority="272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Q75">
    <cfRule type="colorScale" priority="272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R75">
    <cfRule type="colorScale" priority="272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S75">
    <cfRule type="colorScale" priority="272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T75">
    <cfRule type="colorScale" priority="272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U75">
    <cfRule type="colorScale" priority="271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V75">
    <cfRule type="colorScale" priority="271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D76">
    <cfRule type="colorScale" priority="271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E76">
    <cfRule type="colorScale" priority="271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F76">
    <cfRule type="colorScale" priority="271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G76">
    <cfRule type="colorScale" priority="271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H76">
    <cfRule type="colorScale" priority="271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I76">
    <cfRule type="colorScale" priority="271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J76">
    <cfRule type="colorScale" priority="271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K76">
    <cfRule type="colorScale" priority="271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L76">
    <cfRule type="colorScale" priority="270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M76">
    <cfRule type="colorScale" priority="270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N76">
    <cfRule type="colorScale" priority="270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O76">
    <cfRule type="colorScale" priority="270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P76">
    <cfRule type="colorScale" priority="270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Q76">
    <cfRule type="colorScale" priority="270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R76">
    <cfRule type="colorScale" priority="270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S76">
    <cfRule type="colorScale" priority="270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T76">
    <cfRule type="colorScale" priority="270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U76">
    <cfRule type="colorScale" priority="270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V76">
    <cfRule type="colorScale" priority="269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D77">
    <cfRule type="colorScale" priority="269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E77">
    <cfRule type="colorScale" priority="269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F77">
    <cfRule type="colorScale" priority="269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G77">
    <cfRule type="colorScale" priority="269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H77">
    <cfRule type="colorScale" priority="269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I77">
    <cfRule type="colorScale" priority="269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J77">
    <cfRule type="colorScale" priority="269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K77">
    <cfRule type="colorScale" priority="269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L77">
    <cfRule type="colorScale" priority="269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M77">
    <cfRule type="colorScale" priority="268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N77">
    <cfRule type="colorScale" priority="268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O77">
    <cfRule type="colorScale" priority="268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P77">
    <cfRule type="colorScale" priority="268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Q77">
    <cfRule type="colorScale" priority="268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R77">
    <cfRule type="colorScale" priority="268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S77">
    <cfRule type="colorScale" priority="268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T77">
    <cfRule type="colorScale" priority="268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U77">
    <cfRule type="colorScale" priority="268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V77">
    <cfRule type="colorScale" priority="268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D78">
    <cfRule type="colorScale" priority="267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E78">
    <cfRule type="colorScale" priority="267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F78">
    <cfRule type="colorScale" priority="267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G78">
    <cfRule type="colorScale" priority="267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H78">
    <cfRule type="colorScale" priority="267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I78">
    <cfRule type="colorScale" priority="267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J78">
    <cfRule type="colorScale" priority="267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K78">
    <cfRule type="colorScale" priority="267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L78">
    <cfRule type="colorScale" priority="267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M78">
    <cfRule type="colorScale" priority="267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N78">
    <cfRule type="colorScale" priority="266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O78">
    <cfRule type="colorScale" priority="266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P78">
    <cfRule type="colorScale" priority="266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Q78">
    <cfRule type="colorScale" priority="266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R78">
    <cfRule type="colorScale" priority="266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S78">
    <cfRule type="colorScale" priority="266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T78">
    <cfRule type="colorScale" priority="266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U78">
    <cfRule type="colorScale" priority="266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V78">
    <cfRule type="colorScale" priority="266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D79">
    <cfRule type="colorScale" priority="266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E79">
    <cfRule type="colorScale" priority="265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F79">
    <cfRule type="colorScale" priority="265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G79">
    <cfRule type="colorScale" priority="265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H79">
    <cfRule type="colorScale" priority="265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I79">
    <cfRule type="colorScale" priority="265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J79">
    <cfRule type="colorScale" priority="265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K79">
    <cfRule type="colorScale" priority="265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L79">
    <cfRule type="colorScale" priority="265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M79">
    <cfRule type="colorScale" priority="265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N79">
    <cfRule type="colorScale" priority="265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O79">
    <cfRule type="colorScale" priority="264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P79">
    <cfRule type="colorScale" priority="264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Q79">
    <cfRule type="colorScale" priority="264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R79">
    <cfRule type="colorScale" priority="264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S79">
    <cfRule type="colorScale" priority="264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T79">
    <cfRule type="colorScale" priority="264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U79">
    <cfRule type="colorScale" priority="264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V79">
    <cfRule type="colorScale" priority="264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D80">
    <cfRule type="colorScale" priority="264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E80">
    <cfRule type="colorScale" priority="264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F80">
    <cfRule type="colorScale" priority="263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G80">
    <cfRule type="colorScale" priority="263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H80">
    <cfRule type="colorScale" priority="263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I80">
    <cfRule type="colorScale" priority="263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J80">
    <cfRule type="colorScale" priority="263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K80">
    <cfRule type="colorScale" priority="263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L80">
    <cfRule type="colorScale" priority="263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M80">
    <cfRule type="colorScale" priority="263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N80">
    <cfRule type="colorScale" priority="263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O80">
    <cfRule type="colorScale" priority="263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P80">
    <cfRule type="colorScale" priority="262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Q80">
    <cfRule type="colorScale" priority="262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R80">
    <cfRule type="colorScale" priority="262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S80">
    <cfRule type="colorScale" priority="262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T80">
    <cfRule type="colorScale" priority="262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U80">
    <cfRule type="colorScale" priority="262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V80">
    <cfRule type="colorScale" priority="262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D81">
    <cfRule type="colorScale" priority="262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E81">
    <cfRule type="colorScale" priority="262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F81">
    <cfRule type="colorScale" priority="262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G81">
    <cfRule type="colorScale" priority="261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H81">
    <cfRule type="colorScale" priority="261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I81">
    <cfRule type="colorScale" priority="261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J81">
    <cfRule type="colorScale" priority="261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K81">
    <cfRule type="colorScale" priority="261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L81">
    <cfRule type="colorScale" priority="261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M81">
    <cfRule type="colorScale" priority="261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N81">
    <cfRule type="colorScale" priority="261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O81">
    <cfRule type="colorScale" priority="261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P81">
    <cfRule type="colorScale" priority="261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Q81">
    <cfRule type="colorScale" priority="260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R81">
    <cfRule type="colorScale" priority="260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S81">
    <cfRule type="colorScale" priority="260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T81">
    <cfRule type="colorScale" priority="260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U81">
    <cfRule type="colorScale" priority="260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V81">
    <cfRule type="colorScale" priority="260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D82">
    <cfRule type="colorScale" priority="260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E82">
    <cfRule type="colorScale" priority="260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F82">
    <cfRule type="colorScale" priority="260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G82">
    <cfRule type="colorScale" priority="260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H82">
    <cfRule type="colorScale" priority="259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I82">
    <cfRule type="colorScale" priority="259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J82">
    <cfRule type="colorScale" priority="259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K82">
    <cfRule type="colorScale" priority="259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L82">
    <cfRule type="colorScale" priority="259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M82">
    <cfRule type="colorScale" priority="259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N82">
    <cfRule type="colorScale" priority="259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O82">
    <cfRule type="colorScale" priority="259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P82">
    <cfRule type="colorScale" priority="259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Q82">
    <cfRule type="colorScale" priority="259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R82">
    <cfRule type="colorScale" priority="258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S82">
    <cfRule type="colorScale" priority="258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T82">
    <cfRule type="colorScale" priority="258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U82">
    <cfRule type="colorScale" priority="258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V82">
    <cfRule type="colorScale" priority="258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D83">
    <cfRule type="colorScale" priority="258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E83">
    <cfRule type="colorScale" priority="258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F83">
    <cfRule type="colorScale" priority="258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G83">
    <cfRule type="colorScale" priority="258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H83">
    <cfRule type="colorScale" priority="258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I83">
    <cfRule type="colorScale" priority="257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J83">
    <cfRule type="colorScale" priority="257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K83">
    <cfRule type="colorScale" priority="257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L83">
    <cfRule type="colorScale" priority="257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M83">
    <cfRule type="colorScale" priority="257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N83">
    <cfRule type="colorScale" priority="257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O83">
    <cfRule type="colorScale" priority="257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P83">
    <cfRule type="colorScale" priority="257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Q83">
    <cfRule type="colorScale" priority="257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R83">
    <cfRule type="colorScale" priority="257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S83">
    <cfRule type="colorScale" priority="256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T83">
    <cfRule type="colorScale" priority="256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U83">
    <cfRule type="colorScale" priority="256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V83">
    <cfRule type="colorScale" priority="256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D84">
    <cfRule type="colorScale" priority="256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E84">
    <cfRule type="colorScale" priority="256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F84">
    <cfRule type="colorScale" priority="256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G84">
    <cfRule type="colorScale" priority="256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H84">
    <cfRule type="colorScale" priority="256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I84">
    <cfRule type="colorScale" priority="256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J84">
    <cfRule type="colorScale" priority="255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K84">
    <cfRule type="colorScale" priority="255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L84">
    <cfRule type="colorScale" priority="255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M84">
    <cfRule type="colorScale" priority="255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N84">
    <cfRule type="colorScale" priority="255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O84">
    <cfRule type="colorScale" priority="255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P84">
    <cfRule type="colorScale" priority="255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Q84">
    <cfRule type="colorScale" priority="255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R84">
    <cfRule type="colorScale" priority="255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S84">
    <cfRule type="colorScale" priority="255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T84">
    <cfRule type="colorScale" priority="254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U84">
    <cfRule type="colorScale" priority="254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V84">
    <cfRule type="colorScale" priority="254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D85">
    <cfRule type="colorScale" priority="254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E85">
    <cfRule type="colorScale" priority="254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F85">
    <cfRule type="colorScale" priority="254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G85">
    <cfRule type="colorScale" priority="254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H85">
    <cfRule type="colorScale" priority="254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I85">
    <cfRule type="colorScale" priority="254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J85">
    <cfRule type="colorScale" priority="254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K85">
    <cfRule type="colorScale" priority="253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L85">
    <cfRule type="colorScale" priority="253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M85">
    <cfRule type="colorScale" priority="253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N85">
    <cfRule type="colorScale" priority="253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O85">
    <cfRule type="colorScale" priority="253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P85">
    <cfRule type="colorScale" priority="253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Q85">
    <cfRule type="colorScale" priority="253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R85">
    <cfRule type="colorScale" priority="253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S85">
    <cfRule type="colorScale" priority="253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T85">
    <cfRule type="colorScale" priority="253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U85">
    <cfRule type="colorScale" priority="252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V85">
    <cfRule type="colorScale" priority="252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D88">
    <cfRule type="colorScale" priority="252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E88">
    <cfRule type="colorScale" priority="252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F88">
    <cfRule type="colorScale" priority="252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G88">
    <cfRule type="colorScale" priority="252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H88">
    <cfRule type="colorScale" priority="252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I88">
    <cfRule type="colorScale" priority="252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J88">
    <cfRule type="colorScale" priority="252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K88">
    <cfRule type="colorScale" priority="252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L88">
    <cfRule type="colorScale" priority="251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M88">
    <cfRule type="colorScale" priority="251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N88">
    <cfRule type="colorScale" priority="251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O88">
    <cfRule type="colorScale" priority="251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P88">
    <cfRule type="colorScale" priority="251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Q88">
    <cfRule type="colorScale" priority="251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R88">
    <cfRule type="colorScale" priority="251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S88">
    <cfRule type="colorScale" priority="251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T88">
    <cfRule type="colorScale" priority="251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U88">
    <cfRule type="colorScale" priority="251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V88">
    <cfRule type="colorScale" priority="250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D89">
    <cfRule type="colorScale" priority="250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E89">
    <cfRule type="colorScale" priority="250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F89">
    <cfRule type="colorScale" priority="250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G89">
    <cfRule type="colorScale" priority="250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H89">
    <cfRule type="colorScale" priority="250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I89">
    <cfRule type="colorScale" priority="250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J89">
    <cfRule type="colorScale" priority="250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K89">
    <cfRule type="colorScale" priority="250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L89">
    <cfRule type="colorScale" priority="250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M89">
    <cfRule type="colorScale" priority="249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N89">
    <cfRule type="colorScale" priority="249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O89">
    <cfRule type="colorScale" priority="249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P89">
    <cfRule type="colorScale" priority="249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Q89">
    <cfRule type="colorScale" priority="249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R89">
    <cfRule type="colorScale" priority="249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S89">
    <cfRule type="colorScale" priority="249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T89">
    <cfRule type="colorScale" priority="249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U89">
    <cfRule type="colorScale" priority="249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V89">
    <cfRule type="colorScale" priority="249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D90">
    <cfRule type="colorScale" priority="248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E90">
    <cfRule type="colorScale" priority="248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F90">
    <cfRule type="colorScale" priority="248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G90">
    <cfRule type="colorScale" priority="248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H90">
    <cfRule type="colorScale" priority="248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I90">
    <cfRule type="colorScale" priority="248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J90">
    <cfRule type="colorScale" priority="248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K90">
    <cfRule type="colorScale" priority="248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L90">
    <cfRule type="colorScale" priority="248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M90">
    <cfRule type="colorScale" priority="248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N90">
    <cfRule type="colorScale" priority="247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O90">
    <cfRule type="colorScale" priority="247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P90">
    <cfRule type="colorScale" priority="247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Q90">
    <cfRule type="colorScale" priority="247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R90">
    <cfRule type="colorScale" priority="247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S90">
    <cfRule type="colorScale" priority="247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T90">
    <cfRule type="colorScale" priority="247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U90">
    <cfRule type="colorScale" priority="247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V90">
    <cfRule type="colorScale" priority="247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D91">
    <cfRule type="colorScale" priority="247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E91">
    <cfRule type="colorScale" priority="246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F91">
    <cfRule type="colorScale" priority="246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G91">
    <cfRule type="colorScale" priority="246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H91">
    <cfRule type="colorScale" priority="246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I91">
    <cfRule type="colorScale" priority="246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J91">
    <cfRule type="colorScale" priority="246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K91">
    <cfRule type="colorScale" priority="246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L91">
    <cfRule type="colorScale" priority="246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M91">
    <cfRule type="colorScale" priority="246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N91">
    <cfRule type="colorScale" priority="246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O91">
    <cfRule type="colorScale" priority="245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P91">
    <cfRule type="colorScale" priority="245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Q91">
    <cfRule type="colorScale" priority="245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R91">
    <cfRule type="colorScale" priority="245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S91">
    <cfRule type="colorScale" priority="245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T91">
    <cfRule type="colorScale" priority="245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U91">
    <cfRule type="colorScale" priority="245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V91">
    <cfRule type="colorScale" priority="245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D92">
    <cfRule type="colorScale" priority="245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E92">
    <cfRule type="colorScale" priority="245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F92">
    <cfRule type="colorScale" priority="244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G92">
    <cfRule type="colorScale" priority="244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H92">
    <cfRule type="colorScale" priority="244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I92">
    <cfRule type="colorScale" priority="244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J92">
    <cfRule type="colorScale" priority="244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K92">
    <cfRule type="colorScale" priority="244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L92">
    <cfRule type="colorScale" priority="244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M92">
    <cfRule type="colorScale" priority="244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N92">
    <cfRule type="colorScale" priority="244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O92">
    <cfRule type="colorScale" priority="244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P92">
    <cfRule type="colorScale" priority="243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Q92">
    <cfRule type="colorScale" priority="243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R92">
    <cfRule type="colorScale" priority="243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S92">
    <cfRule type="colorScale" priority="243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T92">
    <cfRule type="colorScale" priority="243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U92">
    <cfRule type="colorScale" priority="243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V92">
    <cfRule type="colorScale" priority="243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D93">
    <cfRule type="colorScale" priority="243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E93">
    <cfRule type="colorScale" priority="243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F93">
    <cfRule type="colorScale" priority="243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G93">
    <cfRule type="colorScale" priority="242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H93">
    <cfRule type="colorScale" priority="242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I93">
    <cfRule type="colorScale" priority="242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J93">
    <cfRule type="colorScale" priority="242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K93">
    <cfRule type="colorScale" priority="242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L93">
    <cfRule type="colorScale" priority="242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M93">
    <cfRule type="colorScale" priority="242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N93">
    <cfRule type="colorScale" priority="242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O93">
    <cfRule type="colorScale" priority="242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P93">
    <cfRule type="colorScale" priority="242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Q93">
    <cfRule type="colorScale" priority="241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R93">
    <cfRule type="colorScale" priority="241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S93">
    <cfRule type="colorScale" priority="241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T93">
    <cfRule type="colorScale" priority="241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U93">
    <cfRule type="colorScale" priority="241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V93">
    <cfRule type="colorScale" priority="241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D94">
    <cfRule type="colorScale" priority="241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E94">
    <cfRule type="colorScale" priority="241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F94">
    <cfRule type="colorScale" priority="241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G94">
    <cfRule type="colorScale" priority="241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H94">
    <cfRule type="colorScale" priority="240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I94">
    <cfRule type="colorScale" priority="240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J94">
    <cfRule type="colorScale" priority="240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K94">
    <cfRule type="colorScale" priority="240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L94">
    <cfRule type="colorScale" priority="240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M94">
    <cfRule type="colorScale" priority="240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N94">
    <cfRule type="colorScale" priority="240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O94">
    <cfRule type="colorScale" priority="240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P94">
    <cfRule type="colorScale" priority="240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Q94">
    <cfRule type="colorScale" priority="240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R94">
    <cfRule type="colorScale" priority="239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S94">
    <cfRule type="colorScale" priority="239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T94">
    <cfRule type="colorScale" priority="239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U94">
    <cfRule type="colorScale" priority="239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V94">
    <cfRule type="colorScale" priority="239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D95">
    <cfRule type="colorScale" priority="239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E95">
    <cfRule type="colorScale" priority="239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F95">
    <cfRule type="colorScale" priority="239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G95">
    <cfRule type="colorScale" priority="239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H95">
    <cfRule type="colorScale" priority="239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I95">
    <cfRule type="colorScale" priority="238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J95">
    <cfRule type="colorScale" priority="238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K95">
    <cfRule type="colorScale" priority="238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L95">
    <cfRule type="colorScale" priority="238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M95">
    <cfRule type="colorScale" priority="238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N95">
    <cfRule type="colorScale" priority="238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O95">
    <cfRule type="colorScale" priority="238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P95">
    <cfRule type="colorScale" priority="238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Q95">
    <cfRule type="colorScale" priority="238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R95">
    <cfRule type="colorScale" priority="238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S95">
    <cfRule type="colorScale" priority="237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T95">
    <cfRule type="colorScale" priority="237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U95">
    <cfRule type="colorScale" priority="237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V95">
    <cfRule type="colorScale" priority="237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D96">
    <cfRule type="colorScale" priority="237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E96">
    <cfRule type="colorScale" priority="237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F96">
    <cfRule type="colorScale" priority="237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G96">
    <cfRule type="colorScale" priority="237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H96">
    <cfRule type="colorScale" priority="237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I96">
    <cfRule type="colorScale" priority="237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J96">
    <cfRule type="colorScale" priority="236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K96">
    <cfRule type="colorScale" priority="236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L96">
    <cfRule type="colorScale" priority="236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M96">
    <cfRule type="colorScale" priority="236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N96">
    <cfRule type="colorScale" priority="236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O96">
    <cfRule type="colorScale" priority="236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P96">
    <cfRule type="colorScale" priority="236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Q96">
    <cfRule type="colorScale" priority="236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R96">
    <cfRule type="colorScale" priority="236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S96">
    <cfRule type="colorScale" priority="236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T96">
    <cfRule type="colorScale" priority="235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U96">
    <cfRule type="colorScale" priority="235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V96">
    <cfRule type="colorScale" priority="235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D97">
    <cfRule type="colorScale" priority="235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E97">
    <cfRule type="colorScale" priority="235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F97">
    <cfRule type="colorScale" priority="235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G97">
    <cfRule type="colorScale" priority="235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H97">
    <cfRule type="colorScale" priority="235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I97">
    <cfRule type="colorScale" priority="235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J97">
    <cfRule type="colorScale" priority="235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K97">
    <cfRule type="colorScale" priority="234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L97">
    <cfRule type="colorScale" priority="234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M97">
    <cfRule type="colorScale" priority="234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N97">
    <cfRule type="colorScale" priority="234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O97">
    <cfRule type="colorScale" priority="234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P97">
    <cfRule type="colorScale" priority="234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Q97">
    <cfRule type="colorScale" priority="234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R97">
    <cfRule type="colorScale" priority="234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S97">
    <cfRule type="colorScale" priority="234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T97">
    <cfRule type="colorScale" priority="234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U97">
    <cfRule type="colorScale" priority="233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V97">
    <cfRule type="colorScale" priority="233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D98">
    <cfRule type="colorScale" priority="233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E98">
    <cfRule type="colorScale" priority="233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F98">
    <cfRule type="colorScale" priority="233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G98">
    <cfRule type="colorScale" priority="233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H98">
    <cfRule type="colorScale" priority="233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I98">
    <cfRule type="colorScale" priority="233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J98">
    <cfRule type="colorScale" priority="233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K98">
    <cfRule type="colorScale" priority="233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L98">
    <cfRule type="colorScale" priority="232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M98">
    <cfRule type="colorScale" priority="232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N98">
    <cfRule type="colorScale" priority="232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O98">
    <cfRule type="colorScale" priority="232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P98">
    <cfRule type="colorScale" priority="232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Q98">
    <cfRule type="colorScale" priority="232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R98">
    <cfRule type="colorScale" priority="232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S98">
    <cfRule type="colorScale" priority="232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T98">
    <cfRule type="colorScale" priority="232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U98">
    <cfRule type="colorScale" priority="232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V98">
    <cfRule type="colorScale" priority="231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D99">
    <cfRule type="colorScale" priority="231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E99">
    <cfRule type="colorScale" priority="231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F99">
    <cfRule type="colorScale" priority="231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G99">
    <cfRule type="colorScale" priority="231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H99">
    <cfRule type="colorScale" priority="231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I99">
    <cfRule type="colorScale" priority="231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J99">
    <cfRule type="colorScale" priority="231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K99">
    <cfRule type="colorScale" priority="231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L99">
    <cfRule type="colorScale" priority="231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M99">
    <cfRule type="colorScale" priority="230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N99">
    <cfRule type="colorScale" priority="230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O99">
    <cfRule type="colorScale" priority="230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P99">
    <cfRule type="colorScale" priority="230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Q99">
    <cfRule type="colorScale" priority="230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R99">
    <cfRule type="colorScale" priority="230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S99">
    <cfRule type="colorScale" priority="230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T99">
    <cfRule type="colorScale" priority="230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U99">
    <cfRule type="colorScale" priority="230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V99">
    <cfRule type="colorScale" priority="230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D100">
    <cfRule type="colorScale" priority="229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E100">
    <cfRule type="colorScale" priority="229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F100">
    <cfRule type="colorScale" priority="229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G100">
    <cfRule type="colorScale" priority="229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H100">
    <cfRule type="colorScale" priority="229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I100">
    <cfRule type="colorScale" priority="229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J100">
    <cfRule type="colorScale" priority="229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K100">
    <cfRule type="colorScale" priority="229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L100">
    <cfRule type="colorScale" priority="229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M100">
    <cfRule type="colorScale" priority="229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N100">
    <cfRule type="colorScale" priority="228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O100">
    <cfRule type="colorScale" priority="228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P100">
    <cfRule type="colorScale" priority="228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Q100">
    <cfRule type="colorScale" priority="228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R100">
    <cfRule type="colorScale" priority="228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S100">
    <cfRule type="colorScale" priority="228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T100">
    <cfRule type="colorScale" priority="228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U100">
    <cfRule type="colorScale" priority="228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V100">
    <cfRule type="colorScale" priority="228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D101">
    <cfRule type="colorScale" priority="228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E101">
    <cfRule type="colorScale" priority="227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F101">
    <cfRule type="colorScale" priority="227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G101">
    <cfRule type="colorScale" priority="227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H101">
    <cfRule type="colorScale" priority="227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I101">
    <cfRule type="colorScale" priority="227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J101">
    <cfRule type="colorScale" priority="227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K101">
    <cfRule type="colorScale" priority="227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L101">
    <cfRule type="colorScale" priority="227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M101">
    <cfRule type="colorScale" priority="227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N101">
    <cfRule type="colorScale" priority="227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O101">
    <cfRule type="colorScale" priority="226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P101">
    <cfRule type="colorScale" priority="226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Q101">
    <cfRule type="colorScale" priority="226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R101">
    <cfRule type="colorScale" priority="226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S101">
    <cfRule type="colorScale" priority="226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T101">
    <cfRule type="colorScale" priority="226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U101">
    <cfRule type="colorScale" priority="226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V101">
    <cfRule type="colorScale" priority="226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D102">
    <cfRule type="colorScale" priority="226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E102">
    <cfRule type="colorScale" priority="226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F102">
    <cfRule type="colorScale" priority="225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G102">
    <cfRule type="colorScale" priority="225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H102">
    <cfRule type="colorScale" priority="225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I102">
    <cfRule type="colorScale" priority="225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J102">
    <cfRule type="colorScale" priority="225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K102">
    <cfRule type="colorScale" priority="225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L102">
    <cfRule type="colorScale" priority="225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M102">
    <cfRule type="colorScale" priority="225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N102">
    <cfRule type="colorScale" priority="225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O102">
    <cfRule type="colorScale" priority="225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P102">
    <cfRule type="colorScale" priority="224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Q102">
    <cfRule type="colorScale" priority="224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R102">
    <cfRule type="colorScale" priority="224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S102">
    <cfRule type="colorScale" priority="224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T102">
    <cfRule type="colorScale" priority="224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U102">
    <cfRule type="colorScale" priority="224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V102">
    <cfRule type="colorScale" priority="224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D103">
    <cfRule type="colorScale" priority="224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E103">
    <cfRule type="colorScale" priority="224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F103">
    <cfRule type="colorScale" priority="224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G103">
    <cfRule type="colorScale" priority="223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H103">
    <cfRule type="colorScale" priority="223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I103">
    <cfRule type="colorScale" priority="223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J103">
    <cfRule type="colorScale" priority="223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K103">
    <cfRule type="colorScale" priority="223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L103">
    <cfRule type="colorScale" priority="223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M103">
    <cfRule type="colorScale" priority="223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N103">
    <cfRule type="colorScale" priority="223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O103">
    <cfRule type="colorScale" priority="223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P103">
    <cfRule type="colorScale" priority="223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Q103">
    <cfRule type="colorScale" priority="222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R103">
    <cfRule type="colorScale" priority="222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S103">
    <cfRule type="colorScale" priority="222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T103">
    <cfRule type="colorScale" priority="222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U103">
    <cfRule type="colorScale" priority="222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V103">
    <cfRule type="colorScale" priority="222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D104">
    <cfRule type="colorScale" priority="222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E104">
    <cfRule type="colorScale" priority="222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F104">
    <cfRule type="colorScale" priority="222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G104">
    <cfRule type="colorScale" priority="222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H104">
    <cfRule type="colorScale" priority="221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I104">
    <cfRule type="colorScale" priority="221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J104">
    <cfRule type="colorScale" priority="221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K104">
    <cfRule type="colorScale" priority="221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L104">
    <cfRule type="colorScale" priority="221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M104">
    <cfRule type="colorScale" priority="221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N104">
    <cfRule type="colorScale" priority="221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O104">
    <cfRule type="colorScale" priority="221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P104">
    <cfRule type="colorScale" priority="221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Q104">
    <cfRule type="colorScale" priority="221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R104">
    <cfRule type="colorScale" priority="220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S104">
    <cfRule type="colorScale" priority="220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T104">
    <cfRule type="colorScale" priority="220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U104">
    <cfRule type="colorScale" priority="220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V104">
    <cfRule type="colorScale" priority="220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D105">
    <cfRule type="colorScale" priority="220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E105">
    <cfRule type="colorScale" priority="220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F105">
    <cfRule type="colorScale" priority="220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G105">
    <cfRule type="colorScale" priority="220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H105">
    <cfRule type="colorScale" priority="220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I105">
    <cfRule type="colorScale" priority="219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J105">
    <cfRule type="colorScale" priority="219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K105">
    <cfRule type="colorScale" priority="219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L105">
    <cfRule type="colorScale" priority="219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M105">
    <cfRule type="colorScale" priority="219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N105">
    <cfRule type="colorScale" priority="219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O105">
    <cfRule type="colorScale" priority="219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P105">
    <cfRule type="colorScale" priority="219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Q105">
    <cfRule type="colorScale" priority="219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R105">
    <cfRule type="colorScale" priority="219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S105">
    <cfRule type="colorScale" priority="218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T105">
    <cfRule type="colorScale" priority="218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U105">
    <cfRule type="colorScale" priority="218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V105">
    <cfRule type="colorScale" priority="218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D106">
    <cfRule type="colorScale" priority="218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E106">
    <cfRule type="colorScale" priority="218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F106">
    <cfRule type="colorScale" priority="218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G106">
    <cfRule type="colorScale" priority="218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H106">
    <cfRule type="colorScale" priority="218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I106">
    <cfRule type="colorScale" priority="218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J106">
    <cfRule type="colorScale" priority="217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K106">
    <cfRule type="colorScale" priority="217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L106">
    <cfRule type="colorScale" priority="217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M106">
    <cfRule type="colorScale" priority="217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N106">
    <cfRule type="colorScale" priority="217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O106">
    <cfRule type="colorScale" priority="217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P106">
    <cfRule type="colorScale" priority="217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Q106">
    <cfRule type="colorScale" priority="217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R106">
    <cfRule type="colorScale" priority="217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S106">
    <cfRule type="colorScale" priority="217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T106">
    <cfRule type="colorScale" priority="216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U106">
    <cfRule type="colorScale" priority="216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V106">
    <cfRule type="colorScale" priority="216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D109">
    <cfRule type="colorScale" priority="216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E109">
    <cfRule type="colorScale" priority="216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F109">
    <cfRule type="colorScale" priority="216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G109">
    <cfRule type="colorScale" priority="216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H109">
    <cfRule type="colorScale" priority="216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I109">
    <cfRule type="colorScale" priority="216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J109">
    <cfRule type="colorScale" priority="216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K109">
    <cfRule type="colorScale" priority="215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L109">
    <cfRule type="colorScale" priority="215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M109">
    <cfRule type="colorScale" priority="215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N109">
    <cfRule type="colorScale" priority="215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O109">
    <cfRule type="colorScale" priority="215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P109">
    <cfRule type="colorScale" priority="215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Q109">
    <cfRule type="colorScale" priority="215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R109">
    <cfRule type="colorScale" priority="215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S109">
    <cfRule type="colorScale" priority="215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T109">
    <cfRule type="colorScale" priority="215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U109">
    <cfRule type="colorScale" priority="214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V109">
    <cfRule type="colorScale" priority="214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D110">
    <cfRule type="colorScale" priority="214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E110">
    <cfRule type="colorScale" priority="214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F110">
    <cfRule type="colorScale" priority="214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G110">
    <cfRule type="colorScale" priority="214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H110">
    <cfRule type="colorScale" priority="214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I110">
    <cfRule type="colorScale" priority="214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J110">
    <cfRule type="colorScale" priority="214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K110">
    <cfRule type="colorScale" priority="214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L110">
    <cfRule type="colorScale" priority="213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M110">
    <cfRule type="colorScale" priority="213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N110">
    <cfRule type="colorScale" priority="213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O110">
    <cfRule type="colorScale" priority="213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P110">
    <cfRule type="colorScale" priority="213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Q110">
    <cfRule type="colorScale" priority="213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R110">
    <cfRule type="colorScale" priority="213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S110">
    <cfRule type="colorScale" priority="213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T110">
    <cfRule type="colorScale" priority="213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U110">
    <cfRule type="colorScale" priority="213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V110">
    <cfRule type="colorScale" priority="212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D111">
    <cfRule type="colorScale" priority="212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E111">
    <cfRule type="colorScale" priority="212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F111">
    <cfRule type="colorScale" priority="212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G111">
    <cfRule type="colorScale" priority="212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H111">
    <cfRule type="colorScale" priority="212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I111">
    <cfRule type="colorScale" priority="212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J111">
    <cfRule type="colorScale" priority="212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K111">
    <cfRule type="colorScale" priority="212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L111">
    <cfRule type="colorScale" priority="212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M111">
    <cfRule type="colorScale" priority="211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N111">
    <cfRule type="colorScale" priority="211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O111">
    <cfRule type="colorScale" priority="211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P111">
    <cfRule type="colorScale" priority="211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Q111">
    <cfRule type="colorScale" priority="211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R111">
    <cfRule type="colorScale" priority="211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S111">
    <cfRule type="colorScale" priority="211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T111">
    <cfRule type="colorScale" priority="211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U111">
    <cfRule type="colorScale" priority="211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V111">
    <cfRule type="colorScale" priority="211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D112">
    <cfRule type="colorScale" priority="210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E112">
    <cfRule type="colorScale" priority="210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F112">
    <cfRule type="colorScale" priority="210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G112">
    <cfRule type="colorScale" priority="210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H112">
    <cfRule type="colorScale" priority="210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I112">
    <cfRule type="colorScale" priority="210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J112">
    <cfRule type="colorScale" priority="210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K112">
    <cfRule type="colorScale" priority="210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L112">
    <cfRule type="colorScale" priority="210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M112">
    <cfRule type="colorScale" priority="210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N112">
    <cfRule type="colorScale" priority="209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O112">
    <cfRule type="colorScale" priority="209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P112">
    <cfRule type="colorScale" priority="209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Q112">
    <cfRule type="colorScale" priority="209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R112">
    <cfRule type="colorScale" priority="209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S112">
    <cfRule type="colorScale" priority="209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T112">
    <cfRule type="colorScale" priority="209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U112">
    <cfRule type="colorScale" priority="209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V112">
    <cfRule type="colorScale" priority="209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D113">
    <cfRule type="colorScale" priority="209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E113">
    <cfRule type="colorScale" priority="208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F113">
    <cfRule type="colorScale" priority="208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G113">
    <cfRule type="colorScale" priority="208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H113">
    <cfRule type="colorScale" priority="208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I113">
    <cfRule type="colorScale" priority="208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J113">
    <cfRule type="colorScale" priority="208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K113">
    <cfRule type="colorScale" priority="208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L113">
    <cfRule type="colorScale" priority="208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M113">
    <cfRule type="colorScale" priority="208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N113">
    <cfRule type="colorScale" priority="208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O113">
    <cfRule type="colorScale" priority="207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P113">
    <cfRule type="colorScale" priority="207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Q113">
    <cfRule type="colorScale" priority="207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R113">
    <cfRule type="colorScale" priority="207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S113">
    <cfRule type="colorScale" priority="207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T113">
    <cfRule type="colorScale" priority="207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U113">
    <cfRule type="colorScale" priority="207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V113">
    <cfRule type="colorScale" priority="207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D114">
    <cfRule type="colorScale" priority="207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E114">
    <cfRule type="colorScale" priority="207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F114">
    <cfRule type="colorScale" priority="206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G114">
    <cfRule type="colorScale" priority="206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H114">
    <cfRule type="colorScale" priority="206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I114">
    <cfRule type="colorScale" priority="206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J114">
    <cfRule type="colorScale" priority="206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K114">
    <cfRule type="colorScale" priority="206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L114">
    <cfRule type="colorScale" priority="206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M114">
    <cfRule type="colorScale" priority="206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N114">
    <cfRule type="colorScale" priority="206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O114">
    <cfRule type="colorScale" priority="206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P114">
    <cfRule type="colorScale" priority="205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Q114">
    <cfRule type="colorScale" priority="205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R114">
    <cfRule type="colorScale" priority="205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S114">
    <cfRule type="colorScale" priority="205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T114">
    <cfRule type="colorScale" priority="205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U114">
    <cfRule type="colorScale" priority="205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V114">
    <cfRule type="colorScale" priority="205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D115">
    <cfRule type="colorScale" priority="205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E115">
    <cfRule type="colorScale" priority="205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F115">
    <cfRule type="colorScale" priority="205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G115">
    <cfRule type="colorScale" priority="204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H115">
    <cfRule type="colorScale" priority="204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I115">
    <cfRule type="colorScale" priority="204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J115">
    <cfRule type="colorScale" priority="204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K115">
    <cfRule type="colorScale" priority="204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L115">
    <cfRule type="colorScale" priority="204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M115">
    <cfRule type="colorScale" priority="204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N115">
    <cfRule type="colorScale" priority="204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O115">
    <cfRule type="colorScale" priority="204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P115">
    <cfRule type="colorScale" priority="204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Q115">
    <cfRule type="colorScale" priority="203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R115">
    <cfRule type="colorScale" priority="203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S115">
    <cfRule type="colorScale" priority="203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T115">
    <cfRule type="colorScale" priority="203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U115">
    <cfRule type="colorScale" priority="203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V115">
    <cfRule type="colorScale" priority="203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D116">
    <cfRule type="colorScale" priority="203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E116">
    <cfRule type="colorScale" priority="203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F116">
    <cfRule type="colorScale" priority="203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G116">
    <cfRule type="colorScale" priority="203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H116">
    <cfRule type="colorScale" priority="202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I116">
    <cfRule type="colorScale" priority="202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J116">
    <cfRule type="colorScale" priority="202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K116">
    <cfRule type="colorScale" priority="202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L116">
    <cfRule type="colorScale" priority="202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M116">
    <cfRule type="colorScale" priority="202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N116">
    <cfRule type="colorScale" priority="202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O116">
    <cfRule type="colorScale" priority="202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P116">
    <cfRule type="colorScale" priority="202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Q116">
    <cfRule type="colorScale" priority="202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R116">
    <cfRule type="colorScale" priority="201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S116">
    <cfRule type="colorScale" priority="201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T116">
    <cfRule type="colorScale" priority="201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U116">
    <cfRule type="colorScale" priority="201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V116">
    <cfRule type="colorScale" priority="201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D117">
    <cfRule type="colorScale" priority="201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E117">
    <cfRule type="colorScale" priority="201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F117">
    <cfRule type="colorScale" priority="201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G117">
    <cfRule type="colorScale" priority="201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H117">
    <cfRule type="colorScale" priority="201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I117">
    <cfRule type="colorScale" priority="200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J117">
    <cfRule type="colorScale" priority="200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K117">
    <cfRule type="colorScale" priority="200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L117">
    <cfRule type="colorScale" priority="200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M117">
    <cfRule type="colorScale" priority="200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N117">
    <cfRule type="colorScale" priority="200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O117">
    <cfRule type="colorScale" priority="200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P117">
    <cfRule type="colorScale" priority="200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Q117">
    <cfRule type="colorScale" priority="200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R117">
    <cfRule type="colorScale" priority="200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S117">
    <cfRule type="colorScale" priority="199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T117">
    <cfRule type="colorScale" priority="199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U117">
    <cfRule type="colorScale" priority="199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V117">
    <cfRule type="colorScale" priority="199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D118">
    <cfRule type="colorScale" priority="199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E118">
    <cfRule type="colorScale" priority="199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F118">
    <cfRule type="colorScale" priority="199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G118">
    <cfRule type="colorScale" priority="199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H118">
    <cfRule type="colorScale" priority="199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I118">
    <cfRule type="colorScale" priority="199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J118">
    <cfRule type="colorScale" priority="198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K118">
    <cfRule type="colorScale" priority="198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L118">
    <cfRule type="colorScale" priority="198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M118">
    <cfRule type="colorScale" priority="198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N118">
    <cfRule type="colorScale" priority="198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O118">
    <cfRule type="colorScale" priority="198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P118">
    <cfRule type="colorScale" priority="198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Q118">
    <cfRule type="colorScale" priority="198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R118">
    <cfRule type="colorScale" priority="198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S118">
    <cfRule type="colorScale" priority="198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T118">
    <cfRule type="colorScale" priority="197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U118">
    <cfRule type="colorScale" priority="197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V118">
    <cfRule type="colorScale" priority="197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D119">
    <cfRule type="colorScale" priority="197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E119">
    <cfRule type="colorScale" priority="197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F119">
    <cfRule type="colorScale" priority="197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G119">
    <cfRule type="colorScale" priority="197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H119">
    <cfRule type="colorScale" priority="197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I119">
    <cfRule type="colorScale" priority="197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J119">
    <cfRule type="colorScale" priority="197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K119">
    <cfRule type="colorScale" priority="196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L119">
    <cfRule type="colorScale" priority="196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M119">
    <cfRule type="colorScale" priority="196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N119">
    <cfRule type="colorScale" priority="196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O119">
    <cfRule type="colorScale" priority="196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P119">
    <cfRule type="colorScale" priority="196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Q119">
    <cfRule type="colorScale" priority="196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R119">
    <cfRule type="colorScale" priority="196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S119">
    <cfRule type="colorScale" priority="196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T119">
    <cfRule type="colorScale" priority="196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U119">
    <cfRule type="colorScale" priority="195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V119">
    <cfRule type="colorScale" priority="195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D120">
    <cfRule type="colorScale" priority="195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E120">
    <cfRule type="colorScale" priority="195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F120">
    <cfRule type="colorScale" priority="195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G120">
    <cfRule type="colorScale" priority="195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H120">
    <cfRule type="colorScale" priority="195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I120">
    <cfRule type="colorScale" priority="195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J120">
    <cfRule type="colorScale" priority="195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K120">
    <cfRule type="colorScale" priority="195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L120">
    <cfRule type="colorScale" priority="194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M120">
    <cfRule type="colorScale" priority="194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N120">
    <cfRule type="colorScale" priority="194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O120">
    <cfRule type="colorScale" priority="194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P120">
    <cfRule type="colorScale" priority="194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Q120">
    <cfRule type="colorScale" priority="194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R120">
    <cfRule type="colorScale" priority="194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S120">
    <cfRule type="colorScale" priority="194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T120">
    <cfRule type="colorScale" priority="194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U120">
    <cfRule type="colorScale" priority="194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V120">
    <cfRule type="colorScale" priority="193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D121">
    <cfRule type="colorScale" priority="193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E121">
    <cfRule type="colorScale" priority="193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F121">
    <cfRule type="colorScale" priority="193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G121">
    <cfRule type="colorScale" priority="193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H121">
    <cfRule type="colorScale" priority="193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I121">
    <cfRule type="colorScale" priority="193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J121">
    <cfRule type="colorScale" priority="193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K121">
    <cfRule type="colorScale" priority="193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L121">
    <cfRule type="colorScale" priority="193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M121">
    <cfRule type="colorScale" priority="192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N121">
    <cfRule type="colorScale" priority="192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O121">
    <cfRule type="colorScale" priority="192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P121">
    <cfRule type="colorScale" priority="192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Q121">
    <cfRule type="colorScale" priority="192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R121">
    <cfRule type="colorScale" priority="192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S121">
    <cfRule type="colorScale" priority="192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T121">
    <cfRule type="colorScale" priority="192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U121">
    <cfRule type="colorScale" priority="192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V121">
    <cfRule type="colorScale" priority="192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D122">
    <cfRule type="colorScale" priority="191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E122">
    <cfRule type="colorScale" priority="191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F122">
    <cfRule type="colorScale" priority="191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G122">
    <cfRule type="colorScale" priority="191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H122">
    <cfRule type="colorScale" priority="191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I122">
    <cfRule type="colorScale" priority="191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J122">
    <cfRule type="colorScale" priority="191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K122">
    <cfRule type="colorScale" priority="191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L122">
    <cfRule type="colorScale" priority="191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M122">
    <cfRule type="colorScale" priority="191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N122">
    <cfRule type="colorScale" priority="190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O122">
    <cfRule type="colorScale" priority="190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P122">
    <cfRule type="colorScale" priority="190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Q122">
    <cfRule type="colorScale" priority="190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R122">
    <cfRule type="colorScale" priority="190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S122">
    <cfRule type="colorScale" priority="190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T122">
    <cfRule type="colorScale" priority="190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U122">
    <cfRule type="colorScale" priority="190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V122">
    <cfRule type="colorScale" priority="190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D123">
    <cfRule type="colorScale" priority="190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E123">
    <cfRule type="colorScale" priority="189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F123">
    <cfRule type="colorScale" priority="189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G123">
    <cfRule type="colorScale" priority="189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H123">
    <cfRule type="colorScale" priority="189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I123">
    <cfRule type="colorScale" priority="189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J123">
    <cfRule type="colorScale" priority="189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K123">
    <cfRule type="colorScale" priority="189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L123">
    <cfRule type="colorScale" priority="189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M123">
    <cfRule type="colorScale" priority="189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N123">
    <cfRule type="colorScale" priority="189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O123">
    <cfRule type="colorScale" priority="188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P123">
    <cfRule type="colorScale" priority="188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Q123">
    <cfRule type="colorScale" priority="188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R123">
    <cfRule type="colorScale" priority="188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S123">
    <cfRule type="colorScale" priority="188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T123">
    <cfRule type="colorScale" priority="188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U123">
    <cfRule type="colorScale" priority="188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V123">
    <cfRule type="colorScale" priority="188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D124">
    <cfRule type="colorScale" priority="188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E124">
    <cfRule type="colorScale" priority="188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F124">
    <cfRule type="colorScale" priority="187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G124">
    <cfRule type="colorScale" priority="187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H124">
    <cfRule type="colorScale" priority="187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I124">
    <cfRule type="colorScale" priority="187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J124">
    <cfRule type="colorScale" priority="187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K124">
    <cfRule type="colorScale" priority="187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L124">
    <cfRule type="colorScale" priority="187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M124">
    <cfRule type="colorScale" priority="187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N124">
    <cfRule type="colorScale" priority="187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O124">
    <cfRule type="colorScale" priority="187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P124">
    <cfRule type="colorScale" priority="186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Q124">
    <cfRule type="colorScale" priority="186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R124">
    <cfRule type="colorScale" priority="186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S124">
    <cfRule type="colorScale" priority="186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T124">
    <cfRule type="colorScale" priority="186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U124">
    <cfRule type="colorScale" priority="186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V124">
    <cfRule type="colorScale" priority="186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D125">
    <cfRule type="colorScale" priority="186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E125">
    <cfRule type="colorScale" priority="186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F125">
    <cfRule type="colorScale" priority="186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G125">
    <cfRule type="colorScale" priority="185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H125">
    <cfRule type="colorScale" priority="185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I125">
    <cfRule type="colorScale" priority="185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J125">
    <cfRule type="colorScale" priority="185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K125">
    <cfRule type="colorScale" priority="185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L125">
    <cfRule type="colorScale" priority="185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M125">
    <cfRule type="colorScale" priority="185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N125">
    <cfRule type="colorScale" priority="185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O125">
    <cfRule type="colorScale" priority="185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P125">
    <cfRule type="colorScale" priority="185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Q125">
    <cfRule type="colorScale" priority="184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R125">
    <cfRule type="colorScale" priority="184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S125">
    <cfRule type="colorScale" priority="184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T125">
    <cfRule type="colorScale" priority="184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U125">
    <cfRule type="colorScale" priority="184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V125">
    <cfRule type="colorScale" priority="184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D126">
    <cfRule type="colorScale" priority="184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E126">
    <cfRule type="colorScale" priority="184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F126">
    <cfRule type="colorScale" priority="184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G126">
    <cfRule type="colorScale" priority="184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H126">
    <cfRule type="colorScale" priority="183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I126">
    <cfRule type="colorScale" priority="183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J126">
    <cfRule type="colorScale" priority="183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K126">
    <cfRule type="colorScale" priority="183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L126">
    <cfRule type="colorScale" priority="183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M126">
    <cfRule type="colorScale" priority="183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N126">
    <cfRule type="colorScale" priority="183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O126">
    <cfRule type="colorScale" priority="183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P126">
    <cfRule type="colorScale" priority="183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Q126">
    <cfRule type="colorScale" priority="183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R126">
    <cfRule type="colorScale" priority="182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S126">
    <cfRule type="colorScale" priority="182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T126">
    <cfRule type="colorScale" priority="182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U126">
    <cfRule type="colorScale" priority="182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V126">
    <cfRule type="colorScale" priority="182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D127">
    <cfRule type="colorScale" priority="182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E127">
    <cfRule type="colorScale" priority="182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F127">
    <cfRule type="colorScale" priority="182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G127">
    <cfRule type="colorScale" priority="182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H127">
    <cfRule type="colorScale" priority="182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I127">
    <cfRule type="colorScale" priority="181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J127">
    <cfRule type="colorScale" priority="181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K127">
    <cfRule type="colorScale" priority="181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L127">
    <cfRule type="colorScale" priority="181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M127">
    <cfRule type="colorScale" priority="181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N127">
    <cfRule type="colorScale" priority="181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O127">
    <cfRule type="colorScale" priority="181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P127">
    <cfRule type="colorScale" priority="181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Q127">
    <cfRule type="colorScale" priority="181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R127">
    <cfRule type="colorScale" priority="181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S127">
    <cfRule type="colorScale" priority="180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T127">
    <cfRule type="colorScale" priority="180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U127">
    <cfRule type="colorScale" priority="180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V127">
    <cfRule type="colorScale" priority="180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D130">
    <cfRule type="colorScale" priority="180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E130">
    <cfRule type="colorScale" priority="180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F130">
    <cfRule type="colorScale" priority="180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G130">
    <cfRule type="colorScale" priority="180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H130">
    <cfRule type="colorScale" priority="180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I130">
    <cfRule type="colorScale" priority="180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J130">
    <cfRule type="colorScale" priority="179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K130">
    <cfRule type="colorScale" priority="179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L130">
    <cfRule type="colorScale" priority="179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M130">
    <cfRule type="colorScale" priority="179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N130">
    <cfRule type="colorScale" priority="179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O130">
    <cfRule type="colorScale" priority="179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P130">
    <cfRule type="colorScale" priority="179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Q130">
    <cfRule type="colorScale" priority="179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R130">
    <cfRule type="colorScale" priority="179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S130">
    <cfRule type="colorScale" priority="179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T130">
    <cfRule type="colorScale" priority="178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U130">
    <cfRule type="colorScale" priority="178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V130">
    <cfRule type="colorScale" priority="178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D131">
    <cfRule type="colorScale" priority="178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E131">
    <cfRule type="colorScale" priority="178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F131">
    <cfRule type="colorScale" priority="178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G131">
    <cfRule type="colorScale" priority="178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H131">
    <cfRule type="colorScale" priority="178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I131">
    <cfRule type="colorScale" priority="178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J131">
    <cfRule type="colorScale" priority="178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K131">
    <cfRule type="colorScale" priority="177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L131">
    <cfRule type="colorScale" priority="177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M131">
    <cfRule type="colorScale" priority="177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N131">
    <cfRule type="colorScale" priority="177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O131">
    <cfRule type="colorScale" priority="177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P131">
    <cfRule type="colorScale" priority="177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Q131">
    <cfRule type="colorScale" priority="177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R131">
    <cfRule type="colorScale" priority="177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S131">
    <cfRule type="colorScale" priority="177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T131">
    <cfRule type="colorScale" priority="177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U131">
    <cfRule type="colorScale" priority="176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V131">
    <cfRule type="colorScale" priority="176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D132">
    <cfRule type="colorScale" priority="176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E132">
    <cfRule type="colorScale" priority="176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F132">
    <cfRule type="colorScale" priority="176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G132">
    <cfRule type="colorScale" priority="176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H132">
    <cfRule type="colorScale" priority="176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I132">
    <cfRule type="colorScale" priority="176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J132">
    <cfRule type="colorScale" priority="176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K132">
    <cfRule type="colorScale" priority="176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L132">
    <cfRule type="colorScale" priority="175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M132">
    <cfRule type="colorScale" priority="175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N132">
    <cfRule type="colorScale" priority="175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O132">
    <cfRule type="colorScale" priority="175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P132">
    <cfRule type="colorScale" priority="175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Q132">
    <cfRule type="colorScale" priority="175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R132">
    <cfRule type="colorScale" priority="175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S132">
    <cfRule type="colorScale" priority="175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T132">
    <cfRule type="colorScale" priority="175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U132">
    <cfRule type="colorScale" priority="175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V132">
    <cfRule type="colorScale" priority="174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D133">
    <cfRule type="colorScale" priority="174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E133">
    <cfRule type="colorScale" priority="174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F133">
    <cfRule type="colorScale" priority="174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G133">
    <cfRule type="colorScale" priority="174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H133">
    <cfRule type="colorScale" priority="174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I133">
    <cfRule type="colorScale" priority="174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J133">
    <cfRule type="colorScale" priority="174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K133">
    <cfRule type="colorScale" priority="174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L133">
    <cfRule type="colorScale" priority="174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M133">
    <cfRule type="colorScale" priority="173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N133">
    <cfRule type="colorScale" priority="173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O133">
    <cfRule type="colorScale" priority="173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P133">
    <cfRule type="colorScale" priority="173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Q133">
    <cfRule type="colorScale" priority="173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R133">
    <cfRule type="colorScale" priority="173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S133">
    <cfRule type="colorScale" priority="173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T133">
    <cfRule type="colorScale" priority="173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U133">
    <cfRule type="colorScale" priority="173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V133">
    <cfRule type="colorScale" priority="173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D134">
    <cfRule type="colorScale" priority="172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E134">
    <cfRule type="colorScale" priority="172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F134">
    <cfRule type="colorScale" priority="172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G134">
    <cfRule type="colorScale" priority="172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H134">
    <cfRule type="colorScale" priority="172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I134">
    <cfRule type="colorScale" priority="172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J134">
    <cfRule type="colorScale" priority="172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K134">
    <cfRule type="colorScale" priority="172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L134">
    <cfRule type="colorScale" priority="172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M134">
    <cfRule type="colorScale" priority="172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N134">
    <cfRule type="colorScale" priority="171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O134">
    <cfRule type="colorScale" priority="171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P134">
    <cfRule type="colorScale" priority="171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Q134">
    <cfRule type="colorScale" priority="171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R134">
    <cfRule type="colorScale" priority="171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S134">
    <cfRule type="colorScale" priority="171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T134">
    <cfRule type="colorScale" priority="171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U134">
    <cfRule type="colorScale" priority="171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V134">
    <cfRule type="colorScale" priority="171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D135">
    <cfRule type="colorScale" priority="171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E135">
    <cfRule type="colorScale" priority="170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F135">
    <cfRule type="colorScale" priority="170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G135">
    <cfRule type="colorScale" priority="170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H135">
    <cfRule type="colorScale" priority="170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I135">
    <cfRule type="colorScale" priority="170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J135">
    <cfRule type="colorScale" priority="170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K135">
    <cfRule type="colorScale" priority="170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L135">
    <cfRule type="colorScale" priority="170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M135">
    <cfRule type="colorScale" priority="170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N135">
    <cfRule type="colorScale" priority="170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O135">
    <cfRule type="colorScale" priority="169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P135">
    <cfRule type="colorScale" priority="169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Q135">
    <cfRule type="colorScale" priority="169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R135">
    <cfRule type="colorScale" priority="169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S135">
    <cfRule type="colorScale" priority="169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T135">
    <cfRule type="colorScale" priority="169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U135">
    <cfRule type="colorScale" priority="169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V135">
    <cfRule type="colorScale" priority="169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D136">
    <cfRule type="colorScale" priority="169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E136">
    <cfRule type="colorScale" priority="169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F136">
    <cfRule type="colorScale" priority="168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G136">
    <cfRule type="colorScale" priority="168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H136">
    <cfRule type="colorScale" priority="168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I136">
    <cfRule type="colorScale" priority="168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J136">
    <cfRule type="colorScale" priority="168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K136">
    <cfRule type="colorScale" priority="168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L136">
    <cfRule type="colorScale" priority="168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M136">
    <cfRule type="colorScale" priority="168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N136">
    <cfRule type="colorScale" priority="168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O136">
    <cfRule type="colorScale" priority="168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P136">
    <cfRule type="colorScale" priority="167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Q136">
    <cfRule type="colorScale" priority="167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R136">
    <cfRule type="colorScale" priority="167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S136">
    <cfRule type="colorScale" priority="167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T136">
    <cfRule type="colorScale" priority="167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U136">
    <cfRule type="colorScale" priority="167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V136">
    <cfRule type="colorScale" priority="167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D137">
    <cfRule type="colorScale" priority="167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E137">
    <cfRule type="colorScale" priority="167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F137">
    <cfRule type="colorScale" priority="167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G137">
    <cfRule type="colorScale" priority="166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H137">
    <cfRule type="colorScale" priority="166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I137">
    <cfRule type="colorScale" priority="166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J137">
    <cfRule type="colorScale" priority="166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K137">
    <cfRule type="colorScale" priority="166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L137">
    <cfRule type="colorScale" priority="166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M137">
    <cfRule type="colorScale" priority="166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N137">
    <cfRule type="colorScale" priority="166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O137">
    <cfRule type="colorScale" priority="166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P137">
    <cfRule type="colorScale" priority="166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Q137">
    <cfRule type="colorScale" priority="165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R137">
    <cfRule type="colorScale" priority="165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S137">
    <cfRule type="colorScale" priority="165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T137">
    <cfRule type="colorScale" priority="165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U137">
    <cfRule type="colorScale" priority="165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V137">
    <cfRule type="colorScale" priority="165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D138">
    <cfRule type="colorScale" priority="165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E138">
    <cfRule type="colorScale" priority="165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F138">
    <cfRule type="colorScale" priority="165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G138">
    <cfRule type="colorScale" priority="165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H138">
    <cfRule type="colorScale" priority="164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I138">
    <cfRule type="colorScale" priority="164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J138">
    <cfRule type="colorScale" priority="164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K138">
    <cfRule type="colorScale" priority="164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L138">
    <cfRule type="colorScale" priority="164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M138">
    <cfRule type="colorScale" priority="164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N138">
    <cfRule type="colorScale" priority="164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O138">
    <cfRule type="colorScale" priority="164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P138">
    <cfRule type="colorScale" priority="164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Q138">
    <cfRule type="colorScale" priority="164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R138">
    <cfRule type="colorScale" priority="163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S138">
    <cfRule type="colorScale" priority="163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T138">
    <cfRule type="colorScale" priority="163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U138">
    <cfRule type="colorScale" priority="163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V138">
    <cfRule type="colorScale" priority="163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D139">
    <cfRule type="colorScale" priority="163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E139">
    <cfRule type="colorScale" priority="163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F139">
    <cfRule type="colorScale" priority="163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G139">
    <cfRule type="colorScale" priority="163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H139">
    <cfRule type="colorScale" priority="163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I139">
    <cfRule type="colorScale" priority="162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J139">
    <cfRule type="colorScale" priority="162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K139">
    <cfRule type="colorScale" priority="162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L139">
    <cfRule type="colorScale" priority="162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M139">
    <cfRule type="colorScale" priority="162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N139">
    <cfRule type="colorScale" priority="162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O139">
    <cfRule type="colorScale" priority="162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P139">
    <cfRule type="colorScale" priority="162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Q139">
    <cfRule type="colorScale" priority="162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R139">
    <cfRule type="colorScale" priority="162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S139">
    <cfRule type="colorScale" priority="161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T139">
    <cfRule type="colorScale" priority="161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U139">
    <cfRule type="colorScale" priority="161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V139">
    <cfRule type="colorScale" priority="161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D140">
    <cfRule type="colorScale" priority="161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E140">
    <cfRule type="colorScale" priority="161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F140">
    <cfRule type="colorScale" priority="161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G140">
    <cfRule type="colorScale" priority="161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H140">
    <cfRule type="colorScale" priority="161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I140">
    <cfRule type="colorScale" priority="161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J140">
    <cfRule type="colorScale" priority="160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K140">
    <cfRule type="colorScale" priority="160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L140">
    <cfRule type="colorScale" priority="160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M140">
    <cfRule type="colorScale" priority="160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N140">
    <cfRule type="colorScale" priority="160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O140">
    <cfRule type="colorScale" priority="160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P140">
    <cfRule type="colorScale" priority="160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Q140">
    <cfRule type="colorScale" priority="160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R140">
    <cfRule type="colorScale" priority="160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S140">
    <cfRule type="colorScale" priority="160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T140">
    <cfRule type="colorScale" priority="159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U140">
    <cfRule type="colorScale" priority="159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V140">
    <cfRule type="colorScale" priority="159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D141">
    <cfRule type="colorScale" priority="159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E141">
    <cfRule type="colorScale" priority="159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F141">
    <cfRule type="colorScale" priority="159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G141">
    <cfRule type="colorScale" priority="159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H141">
    <cfRule type="colorScale" priority="159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I141">
    <cfRule type="colorScale" priority="159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J141">
    <cfRule type="colorScale" priority="159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K141">
    <cfRule type="colorScale" priority="158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L141">
    <cfRule type="colorScale" priority="158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M141">
    <cfRule type="colorScale" priority="158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N141">
    <cfRule type="colorScale" priority="158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O141">
    <cfRule type="colorScale" priority="158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P141">
    <cfRule type="colorScale" priority="158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Q141">
    <cfRule type="colorScale" priority="158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R141">
    <cfRule type="colorScale" priority="158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S141">
    <cfRule type="colorScale" priority="158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T141">
    <cfRule type="colorScale" priority="158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U141">
    <cfRule type="colorScale" priority="157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V141">
    <cfRule type="colorScale" priority="157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D142">
    <cfRule type="colorScale" priority="157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E142">
    <cfRule type="colorScale" priority="157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F142">
    <cfRule type="colorScale" priority="157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G142">
    <cfRule type="colorScale" priority="157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H142">
    <cfRule type="colorScale" priority="157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I142">
    <cfRule type="colorScale" priority="157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J142">
    <cfRule type="colorScale" priority="157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K142">
    <cfRule type="colorScale" priority="157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L142">
    <cfRule type="colorScale" priority="156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M142">
    <cfRule type="colorScale" priority="156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N142">
    <cfRule type="colorScale" priority="156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O142">
    <cfRule type="colorScale" priority="156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P142">
    <cfRule type="colorScale" priority="156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Q142">
    <cfRule type="colorScale" priority="156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R142">
    <cfRule type="colorScale" priority="156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S142">
    <cfRule type="colorScale" priority="156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T142">
    <cfRule type="colorScale" priority="156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U142">
    <cfRule type="colorScale" priority="156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V142">
    <cfRule type="colorScale" priority="155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D143">
    <cfRule type="colorScale" priority="155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E143">
    <cfRule type="colorScale" priority="155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F143">
    <cfRule type="colorScale" priority="155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G143">
    <cfRule type="colorScale" priority="155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H143">
    <cfRule type="colorScale" priority="155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I143">
    <cfRule type="colorScale" priority="155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J143">
    <cfRule type="colorScale" priority="155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K143">
    <cfRule type="colorScale" priority="155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L143">
    <cfRule type="colorScale" priority="155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M143">
    <cfRule type="colorScale" priority="154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N143">
    <cfRule type="colorScale" priority="154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O143">
    <cfRule type="colorScale" priority="154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P143">
    <cfRule type="colorScale" priority="154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Q143">
    <cfRule type="colorScale" priority="154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R143">
    <cfRule type="colorScale" priority="154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S143">
    <cfRule type="colorScale" priority="154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T143">
    <cfRule type="colorScale" priority="154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U143">
    <cfRule type="colorScale" priority="154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V143">
    <cfRule type="colorScale" priority="154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D144">
    <cfRule type="colorScale" priority="153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E144">
    <cfRule type="colorScale" priority="153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F144">
    <cfRule type="colorScale" priority="153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G144">
    <cfRule type="colorScale" priority="153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H144">
    <cfRule type="colorScale" priority="153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I144">
    <cfRule type="colorScale" priority="153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J144">
    <cfRule type="colorScale" priority="153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K144">
    <cfRule type="colorScale" priority="153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L144">
    <cfRule type="colorScale" priority="153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M144">
    <cfRule type="colorScale" priority="153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N144">
    <cfRule type="colorScale" priority="152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O144">
    <cfRule type="colorScale" priority="152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P144">
    <cfRule type="colorScale" priority="152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Q144">
    <cfRule type="colorScale" priority="152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R144">
    <cfRule type="colorScale" priority="152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S144">
    <cfRule type="colorScale" priority="152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T144">
    <cfRule type="colorScale" priority="152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U144">
    <cfRule type="colorScale" priority="152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V144">
    <cfRule type="colorScale" priority="152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D145">
    <cfRule type="colorScale" priority="152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E145">
    <cfRule type="colorScale" priority="151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F145">
    <cfRule type="colorScale" priority="151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G145">
    <cfRule type="colorScale" priority="151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H145">
    <cfRule type="colorScale" priority="151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I145">
    <cfRule type="colorScale" priority="151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J145">
    <cfRule type="colorScale" priority="151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K145">
    <cfRule type="colorScale" priority="151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L145">
    <cfRule type="colorScale" priority="151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M145">
    <cfRule type="colorScale" priority="151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N145">
    <cfRule type="colorScale" priority="151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O145">
    <cfRule type="colorScale" priority="150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P145">
    <cfRule type="colorScale" priority="150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Q145">
    <cfRule type="colorScale" priority="150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R145">
    <cfRule type="colorScale" priority="150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S145">
    <cfRule type="colorScale" priority="150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T145">
    <cfRule type="colorScale" priority="150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U145">
    <cfRule type="colorScale" priority="150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V145">
    <cfRule type="colorScale" priority="150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D146">
    <cfRule type="colorScale" priority="150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E146">
    <cfRule type="colorScale" priority="150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F146">
    <cfRule type="colorScale" priority="149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G146">
    <cfRule type="colorScale" priority="149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H146">
    <cfRule type="colorScale" priority="149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I146">
    <cfRule type="colorScale" priority="149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J146">
    <cfRule type="colorScale" priority="149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K146">
    <cfRule type="colorScale" priority="149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L146">
    <cfRule type="colorScale" priority="149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M146">
    <cfRule type="colorScale" priority="149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N146">
    <cfRule type="colorScale" priority="149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O146">
    <cfRule type="colorScale" priority="149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P146">
    <cfRule type="colorScale" priority="148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Q146">
    <cfRule type="colorScale" priority="148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R146">
    <cfRule type="colorScale" priority="148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S146">
    <cfRule type="colorScale" priority="148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T146">
    <cfRule type="colorScale" priority="148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U146">
    <cfRule type="colorScale" priority="148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V146">
    <cfRule type="colorScale" priority="148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D147">
    <cfRule type="colorScale" priority="148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E147">
    <cfRule type="colorScale" priority="148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F147">
    <cfRule type="colorScale" priority="148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G147">
    <cfRule type="colorScale" priority="147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H147">
    <cfRule type="colorScale" priority="147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I147">
    <cfRule type="colorScale" priority="147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J147">
    <cfRule type="colorScale" priority="147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K147">
    <cfRule type="colorScale" priority="147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L147">
    <cfRule type="colorScale" priority="147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M147">
    <cfRule type="colorScale" priority="147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N147">
    <cfRule type="colorScale" priority="147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O147">
    <cfRule type="colorScale" priority="147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P147">
    <cfRule type="colorScale" priority="147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Q147">
    <cfRule type="colorScale" priority="146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R147">
    <cfRule type="colorScale" priority="146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S147">
    <cfRule type="colorScale" priority="146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T147">
    <cfRule type="colorScale" priority="146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U147">
    <cfRule type="colorScale" priority="146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V147">
    <cfRule type="colorScale" priority="146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D148">
    <cfRule type="colorScale" priority="146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E148">
    <cfRule type="colorScale" priority="146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F148">
    <cfRule type="colorScale" priority="146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G148">
    <cfRule type="colorScale" priority="146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H148">
    <cfRule type="colorScale" priority="145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I148">
    <cfRule type="colorScale" priority="145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J148">
    <cfRule type="colorScale" priority="145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K148">
    <cfRule type="colorScale" priority="145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L148">
    <cfRule type="colorScale" priority="145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M148">
    <cfRule type="colorScale" priority="145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N148">
    <cfRule type="colorScale" priority="145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O148">
    <cfRule type="colorScale" priority="145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P148">
    <cfRule type="colorScale" priority="145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Q148">
    <cfRule type="colorScale" priority="145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R148">
    <cfRule type="colorScale" priority="144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S148">
    <cfRule type="colorScale" priority="144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T148">
    <cfRule type="colorScale" priority="144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U148">
    <cfRule type="colorScale" priority="144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V148">
    <cfRule type="colorScale" priority="144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D151">
    <cfRule type="colorScale" priority="144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E151">
    <cfRule type="colorScale" priority="144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F151">
    <cfRule type="colorScale" priority="144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G151">
    <cfRule type="colorScale" priority="144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H151">
    <cfRule type="colorScale" priority="144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I151">
    <cfRule type="colorScale" priority="143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J151">
    <cfRule type="colorScale" priority="143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K151">
    <cfRule type="colorScale" priority="143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L151">
    <cfRule type="colorScale" priority="143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M151">
    <cfRule type="colorScale" priority="143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N151">
    <cfRule type="colorScale" priority="143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O151">
    <cfRule type="colorScale" priority="143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P151">
    <cfRule type="colorScale" priority="143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Q151">
    <cfRule type="colorScale" priority="143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R151">
    <cfRule type="colorScale" priority="143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S151">
    <cfRule type="colorScale" priority="142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T151">
    <cfRule type="colorScale" priority="142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U151">
    <cfRule type="colorScale" priority="142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V151">
    <cfRule type="colorScale" priority="142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D152">
    <cfRule type="colorScale" priority="142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E152">
    <cfRule type="colorScale" priority="142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F152">
    <cfRule type="colorScale" priority="142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G152">
    <cfRule type="colorScale" priority="142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H152">
    <cfRule type="colorScale" priority="142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I152">
    <cfRule type="colorScale" priority="142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J152">
    <cfRule type="colorScale" priority="141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K152">
    <cfRule type="colorScale" priority="141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L152">
    <cfRule type="colorScale" priority="141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M152">
    <cfRule type="colorScale" priority="141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N152">
    <cfRule type="colorScale" priority="141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O152">
    <cfRule type="colorScale" priority="141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P152">
    <cfRule type="colorScale" priority="141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Q152">
    <cfRule type="colorScale" priority="141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R152">
    <cfRule type="colorScale" priority="141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S152">
    <cfRule type="colorScale" priority="141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T152">
    <cfRule type="colorScale" priority="140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U152">
    <cfRule type="colorScale" priority="140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V152">
    <cfRule type="colorScale" priority="140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D153">
    <cfRule type="colorScale" priority="140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E153">
    <cfRule type="colorScale" priority="140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F153">
    <cfRule type="colorScale" priority="140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G153">
    <cfRule type="colorScale" priority="140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H153">
    <cfRule type="colorScale" priority="140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I153">
    <cfRule type="colorScale" priority="140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J153">
    <cfRule type="colorScale" priority="140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K153">
    <cfRule type="colorScale" priority="139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L153">
    <cfRule type="colorScale" priority="139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M153">
    <cfRule type="colorScale" priority="139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N153">
    <cfRule type="colorScale" priority="139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O153">
    <cfRule type="colorScale" priority="139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P153">
    <cfRule type="colorScale" priority="139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Q153">
    <cfRule type="colorScale" priority="139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R153">
    <cfRule type="colorScale" priority="139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S153">
    <cfRule type="colorScale" priority="139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T153">
    <cfRule type="colorScale" priority="139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U153">
    <cfRule type="colorScale" priority="138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V153">
    <cfRule type="colorScale" priority="138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D154">
    <cfRule type="colorScale" priority="138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E154">
    <cfRule type="colorScale" priority="138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F154">
    <cfRule type="colorScale" priority="138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G154">
    <cfRule type="colorScale" priority="138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H154">
    <cfRule type="colorScale" priority="138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I154">
    <cfRule type="colorScale" priority="138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J154">
    <cfRule type="colorScale" priority="138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K154">
    <cfRule type="colorScale" priority="138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L154">
    <cfRule type="colorScale" priority="137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M154">
    <cfRule type="colorScale" priority="137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N154">
    <cfRule type="colorScale" priority="137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O154">
    <cfRule type="colorScale" priority="137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P154">
    <cfRule type="colorScale" priority="137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Q154">
    <cfRule type="colorScale" priority="137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R154">
    <cfRule type="colorScale" priority="137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S154">
    <cfRule type="colorScale" priority="137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T154">
    <cfRule type="colorScale" priority="137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U154">
    <cfRule type="colorScale" priority="137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V154">
    <cfRule type="colorScale" priority="136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D155">
    <cfRule type="colorScale" priority="136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E155">
    <cfRule type="colorScale" priority="136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F155">
    <cfRule type="colorScale" priority="136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G155">
    <cfRule type="colorScale" priority="136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H155">
    <cfRule type="colorScale" priority="136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I155">
    <cfRule type="colorScale" priority="136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J155">
    <cfRule type="colorScale" priority="136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K155">
    <cfRule type="colorScale" priority="136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L155">
    <cfRule type="colorScale" priority="136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M155">
    <cfRule type="colorScale" priority="135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N155">
    <cfRule type="colorScale" priority="135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O155">
    <cfRule type="colorScale" priority="135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P155">
    <cfRule type="colorScale" priority="135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Q155">
    <cfRule type="colorScale" priority="135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R155">
    <cfRule type="colorScale" priority="135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S155">
    <cfRule type="colorScale" priority="135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T155">
    <cfRule type="colorScale" priority="135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U155">
    <cfRule type="colorScale" priority="135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V155">
    <cfRule type="colorScale" priority="135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D156">
    <cfRule type="colorScale" priority="134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E156">
    <cfRule type="colorScale" priority="134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F156">
    <cfRule type="colorScale" priority="134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G156">
    <cfRule type="colorScale" priority="134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H156">
    <cfRule type="colorScale" priority="134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I156">
    <cfRule type="colorScale" priority="134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J156">
    <cfRule type="colorScale" priority="134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K156">
    <cfRule type="colorScale" priority="134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L156">
    <cfRule type="colorScale" priority="134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M156">
    <cfRule type="colorScale" priority="134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N156">
    <cfRule type="colorScale" priority="133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O156">
    <cfRule type="colorScale" priority="133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P156">
    <cfRule type="colorScale" priority="133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Q156">
    <cfRule type="colorScale" priority="133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R156">
    <cfRule type="colorScale" priority="133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S156">
    <cfRule type="colorScale" priority="133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T156">
    <cfRule type="colorScale" priority="133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U156">
    <cfRule type="colorScale" priority="133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V156">
    <cfRule type="colorScale" priority="133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D157">
    <cfRule type="colorScale" priority="133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E157">
    <cfRule type="colorScale" priority="132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F157">
    <cfRule type="colorScale" priority="132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G157">
    <cfRule type="colorScale" priority="132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H157">
    <cfRule type="colorScale" priority="132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I157">
    <cfRule type="colorScale" priority="132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J157">
    <cfRule type="colorScale" priority="132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K157">
    <cfRule type="colorScale" priority="132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L157">
    <cfRule type="colorScale" priority="132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M157">
    <cfRule type="colorScale" priority="132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N157">
    <cfRule type="colorScale" priority="132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O157">
    <cfRule type="colorScale" priority="131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P157">
    <cfRule type="colorScale" priority="131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Q157">
    <cfRule type="colorScale" priority="131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R157">
    <cfRule type="colorScale" priority="131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S157">
    <cfRule type="colorScale" priority="131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T157">
    <cfRule type="colorScale" priority="131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U157">
    <cfRule type="colorScale" priority="131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V157">
    <cfRule type="colorScale" priority="131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D158">
    <cfRule type="colorScale" priority="131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E158">
    <cfRule type="colorScale" priority="131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F158">
    <cfRule type="colorScale" priority="130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G158">
    <cfRule type="colorScale" priority="130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H158">
    <cfRule type="colorScale" priority="130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I158">
    <cfRule type="colorScale" priority="130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J158">
    <cfRule type="colorScale" priority="130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K158">
    <cfRule type="colorScale" priority="130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L158">
    <cfRule type="colorScale" priority="130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M158">
    <cfRule type="colorScale" priority="130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N158">
    <cfRule type="colorScale" priority="130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O158">
    <cfRule type="colorScale" priority="130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P158">
    <cfRule type="colorScale" priority="129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Q158">
    <cfRule type="colorScale" priority="129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R158">
    <cfRule type="colorScale" priority="129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S158">
    <cfRule type="colorScale" priority="129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T158">
    <cfRule type="colorScale" priority="129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U158">
    <cfRule type="colorScale" priority="129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V158">
    <cfRule type="colorScale" priority="129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D159">
    <cfRule type="colorScale" priority="129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E159">
    <cfRule type="colorScale" priority="129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F159">
    <cfRule type="colorScale" priority="129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G159">
    <cfRule type="colorScale" priority="128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H159">
    <cfRule type="colorScale" priority="128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I159">
    <cfRule type="colorScale" priority="128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J159">
    <cfRule type="colorScale" priority="128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K159">
    <cfRule type="colorScale" priority="128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L159">
    <cfRule type="colorScale" priority="128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M159">
    <cfRule type="colorScale" priority="128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N159">
    <cfRule type="colorScale" priority="128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O159">
    <cfRule type="colorScale" priority="128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P159">
    <cfRule type="colorScale" priority="128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Q159">
    <cfRule type="colorScale" priority="127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R159">
    <cfRule type="colorScale" priority="127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S159">
    <cfRule type="colorScale" priority="127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T159">
    <cfRule type="colorScale" priority="127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U159">
    <cfRule type="colorScale" priority="127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V159">
    <cfRule type="colorScale" priority="127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D160">
    <cfRule type="colorScale" priority="127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E160">
    <cfRule type="colorScale" priority="127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F160">
    <cfRule type="colorScale" priority="127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G160">
    <cfRule type="colorScale" priority="127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H160">
    <cfRule type="colorScale" priority="126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I160">
    <cfRule type="colorScale" priority="126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J160">
    <cfRule type="colorScale" priority="126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K160">
    <cfRule type="colorScale" priority="126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L160">
    <cfRule type="colorScale" priority="126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M160">
    <cfRule type="colorScale" priority="126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N160">
    <cfRule type="colorScale" priority="126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O160">
    <cfRule type="colorScale" priority="126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P160">
    <cfRule type="colorScale" priority="126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Q160">
    <cfRule type="colorScale" priority="126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R160">
    <cfRule type="colorScale" priority="125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S160">
    <cfRule type="colorScale" priority="125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T160">
    <cfRule type="colorScale" priority="125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U160">
    <cfRule type="colorScale" priority="125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V160">
    <cfRule type="colorScale" priority="125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D161">
    <cfRule type="colorScale" priority="125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E161">
    <cfRule type="colorScale" priority="125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F161">
    <cfRule type="colorScale" priority="125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G161">
    <cfRule type="colorScale" priority="125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H161">
    <cfRule type="colorScale" priority="125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I161">
    <cfRule type="colorScale" priority="124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J161">
    <cfRule type="colorScale" priority="124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K161">
    <cfRule type="colorScale" priority="124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L161">
    <cfRule type="colorScale" priority="124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M161">
    <cfRule type="colorScale" priority="124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N161">
    <cfRule type="colorScale" priority="124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O161">
    <cfRule type="colorScale" priority="124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P161">
    <cfRule type="colorScale" priority="124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Q161">
    <cfRule type="colorScale" priority="124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R161">
    <cfRule type="colorScale" priority="124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S161">
    <cfRule type="colorScale" priority="123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T161">
    <cfRule type="colorScale" priority="123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U161">
    <cfRule type="colorScale" priority="123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V161">
    <cfRule type="colorScale" priority="123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D162">
    <cfRule type="colorScale" priority="123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E162">
    <cfRule type="colorScale" priority="123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F162">
    <cfRule type="colorScale" priority="123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G162">
    <cfRule type="colorScale" priority="123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H162">
    <cfRule type="colorScale" priority="123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I162">
    <cfRule type="colorScale" priority="123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J162">
    <cfRule type="colorScale" priority="122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K162">
    <cfRule type="colorScale" priority="122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L162">
    <cfRule type="colorScale" priority="122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M162">
    <cfRule type="colorScale" priority="122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N162">
    <cfRule type="colorScale" priority="122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O162">
    <cfRule type="colorScale" priority="122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P162">
    <cfRule type="colorScale" priority="122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Q162">
    <cfRule type="colorScale" priority="122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R162">
    <cfRule type="colorScale" priority="122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S162">
    <cfRule type="colorScale" priority="122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T162">
    <cfRule type="colorScale" priority="121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U162">
    <cfRule type="colorScale" priority="121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V162">
    <cfRule type="colorScale" priority="121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D163">
    <cfRule type="colorScale" priority="121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E163">
    <cfRule type="colorScale" priority="121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F163">
    <cfRule type="colorScale" priority="121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G163">
    <cfRule type="colorScale" priority="121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H163">
    <cfRule type="colorScale" priority="121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I163">
    <cfRule type="colorScale" priority="121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J163">
    <cfRule type="colorScale" priority="121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K163">
    <cfRule type="colorScale" priority="120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L163">
    <cfRule type="colorScale" priority="120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M163">
    <cfRule type="colorScale" priority="120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N163">
    <cfRule type="colorScale" priority="120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O163">
    <cfRule type="colorScale" priority="120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P163">
    <cfRule type="colorScale" priority="120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Q163">
    <cfRule type="colorScale" priority="120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R163">
    <cfRule type="colorScale" priority="120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S163">
    <cfRule type="colorScale" priority="120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T163">
    <cfRule type="colorScale" priority="120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U163">
    <cfRule type="colorScale" priority="119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V163">
    <cfRule type="colorScale" priority="119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D164">
    <cfRule type="colorScale" priority="119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E164">
    <cfRule type="colorScale" priority="119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F164">
    <cfRule type="colorScale" priority="119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G164">
    <cfRule type="colorScale" priority="119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H164">
    <cfRule type="colorScale" priority="119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I164">
    <cfRule type="colorScale" priority="119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J164">
    <cfRule type="colorScale" priority="119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K164">
    <cfRule type="colorScale" priority="119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L164">
    <cfRule type="colorScale" priority="118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M164">
    <cfRule type="colorScale" priority="118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N164">
    <cfRule type="colorScale" priority="118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O164">
    <cfRule type="colorScale" priority="118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P164">
    <cfRule type="colorScale" priority="118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Q164">
    <cfRule type="colorScale" priority="118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R164">
    <cfRule type="colorScale" priority="118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S164">
    <cfRule type="colorScale" priority="118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T164">
    <cfRule type="colorScale" priority="118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U164">
    <cfRule type="colorScale" priority="118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V164">
    <cfRule type="colorScale" priority="117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D165">
    <cfRule type="colorScale" priority="117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E165">
    <cfRule type="colorScale" priority="117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F165">
    <cfRule type="colorScale" priority="117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G165">
    <cfRule type="colorScale" priority="117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H165">
    <cfRule type="colorScale" priority="117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I165">
    <cfRule type="colorScale" priority="117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J165">
    <cfRule type="colorScale" priority="117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K165">
    <cfRule type="colorScale" priority="117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L165">
    <cfRule type="colorScale" priority="117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M165">
    <cfRule type="colorScale" priority="116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N165">
    <cfRule type="colorScale" priority="116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O165">
    <cfRule type="colorScale" priority="116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P165">
    <cfRule type="colorScale" priority="116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Q165">
    <cfRule type="colorScale" priority="116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R165">
    <cfRule type="colorScale" priority="116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S165">
    <cfRule type="colorScale" priority="116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T165">
    <cfRule type="colorScale" priority="116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U165">
    <cfRule type="colorScale" priority="116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V165">
    <cfRule type="colorScale" priority="116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D166">
    <cfRule type="colorScale" priority="115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E166">
    <cfRule type="colorScale" priority="115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F166">
    <cfRule type="colorScale" priority="115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G166">
    <cfRule type="colorScale" priority="115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H166">
    <cfRule type="colorScale" priority="115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I166">
    <cfRule type="colorScale" priority="115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J166">
    <cfRule type="colorScale" priority="115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K166">
    <cfRule type="colorScale" priority="115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L166">
    <cfRule type="colorScale" priority="115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M166">
    <cfRule type="colorScale" priority="115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N166">
    <cfRule type="colorScale" priority="114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O166">
    <cfRule type="colorScale" priority="114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P166">
    <cfRule type="colorScale" priority="114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Q166">
    <cfRule type="colorScale" priority="114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R166">
    <cfRule type="colorScale" priority="114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S166">
    <cfRule type="colorScale" priority="114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T166">
    <cfRule type="colorScale" priority="114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U166">
    <cfRule type="colorScale" priority="114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V166">
    <cfRule type="colorScale" priority="114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D167">
    <cfRule type="colorScale" priority="114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E167">
    <cfRule type="colorScale" priority="113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F167">
    <cfRule type="colorScale" priority="113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G167">
    <cfRule type="colorScale" priority="113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H167">
    <cfRule type="colorScale" priority="113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I167">
    <cfRule type="colorScale" priority="113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J167">
    <cfRule type="colorScale" priority="113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K167">
    <cfRule type="colorScale" priority="113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L167">
    <cfRule type="colorScale" priority="113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M167">
    <cfRule type="colorScale" priority="113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N167">
    <cfRule type="colorScale" priority="113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O167">
    <cfRule type="colorScale" priority="112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P167">
    <cfRule type="colorScale" priority="112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Q167">
    <cfRule type="colorScale" priority="112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R167">
    <cfRule type="colorScale" priority="112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S167">
    <cfRule type="colorScale" priority="112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T167">
    <cfRule type="colorScale" priority="112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U167">
    <cfRule type="colorScale" priority="112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V167">
    <cfRule type="colorScale" priority="112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D168">
    <cfRule type="colorScale" priority="112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E168">
    <cfRule type="colorScale" priority="112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F168">
    <cfRule type="colorScale" priority="111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G168">
    <cfRule type="colorScale" priority="111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H168">
    <cfRule type="colorScale" priority="111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I168">
    <cfRule type="colorScale" priority="111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J168">
    <cfRule type="colorScale" priority="111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K168">
    <cfRule type="colorScale" priority="111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L168">
    <cfRule type="colorScale" priority="111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M168">
    <cfRule type="colorScale" priority="111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N168">
    <cfRule type="colorScale" priority="111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O168">
    <cfRule type="colorScale" priority="111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P168">
    <cfRule type="colorScale" priority="110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Q168">
    <cfRule type="colorScale" priority="110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R168">
    <cfRule type="colorScale" priority="110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S168">
    <cfRule type="colorScale" priority="110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T168">
    <cfRule type="colorScale" priority="110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U168">
    <cfRule type="colorScale" priority="110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V168">
    <cfRule type="colorScale" priority="110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D169">
    <cfRule type="colorScale" priority="110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E169">
    <cfRule type="colorScale" priority="110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F169">
    <cfRule type="colorScale" priority="110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G169">
    <cfRule type="colorScale" priority="109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H169">
    <cfRule type="colorScale" priority="109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I169">
    <cfRule type="colorScale" priority="109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J169">
    <cfRule type="colorScale" priority="109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K169">
    <cfRule type="colorScale" priority="109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L169">
    <cfRule type="colorScale" priority="109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M169">
    <cfRule type="colorScale" priority="109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N169">
    <cfRule type="colorScale" priority="109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O169">
    <cfRule type="colorScale" priority="109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P169">
    <cfRule type="colorScale" priority="109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Q169">
    <cfRule type="colorScale" priority="108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R169">
    <cfRule type="colorScale" priority="108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S169">
    <cfRule type="colorScale" priority="108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T169">
    <cfRule type="colorScale" priority="108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U169">
    <cfRule type="colorScale" priority="108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V169">
    <cfRule type="colorScale" priority="108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D172">
    <cfRule type="colorScale" priority="108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E172">
    <cfRule type="colorScale" priority="108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F172">
    <cfRule type="colorScale" priority="108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G172">
    <cfRule type="colorScale" priority="108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H172">
    <cfRule type="colorScale" priority="107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I172">
    <cfRule type="colorScale" priority="107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J172">
    <cfRule type="colorScale" priority="107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K172">
    <cfRule type="colorScale" priority="107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L172">
    <cfRule type="colorScale" priority="107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M172">
    <cfRule type="colorScale" priority="107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N172">
    <cfRule type="colorScale" priority="107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O172">
    <cfRule type="colorScale" priority="107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P172">
    <cfRule type="colorScale" priority="107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Q172">
    <cfRule type="colorScale" priority="107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R172">
    <cfRule type="colorScale" priority="106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S172">
    <cfRule type="colorScale" priority="106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T172">
    <cfRule type="colorScale" priority="106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U172">
    <cfRule type="colorScale" priority="106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V172">
    <cfRule type="colorScale" priority="106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D173">
    <cfRule type="colorScale" priority="106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E173">
    <cfRule type="colorScale" priority="106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F173">
    <cfRule type="colorScale" priority="106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G173">
    <cfRule type="colorScale" priority="106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H173">
    <cfRule type="colorScale" priority="106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I173">
    <cfRule type="colorScale" priority="105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J173">
    <cfRule type="colorScale" priority="105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K173">
    <cfRule type="colorScale" priority="105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L173">
    <cfRule type="colorScale" priority="105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M173">
    <cfRule type="colorScale" priority="105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N173">
    <cfRule type="colorScale" priority="105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O173">
    <cfRule type="colorScale" priority="105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P173">
    <cfRule type="colorScale" priority="105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Q173">
    <cfRule type="colorScale" priority="105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R173">
    <cfRule type="colorScale" priority="105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S173">
    <cfRule type="colorScale" priority="104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T173">
    <cfRule type="colorScale" priority="104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U173">
    <cfRule type="colorScale" priority="104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V173">
    <cfRule type="colorScale" priority="104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D174">
    <cfRule type="colorScale" priority="104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E174">
    <cfRule type="colorScale" priority="104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F174">
    <cfRule type="colorScale" priority="104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G174">
    <cfRule type="colorScale" priority="104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H174">
    <cfRule type="colorScale" priority="104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I174">
    <cfRule type="colorScale" priority="104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J174">
    <cfRule type="colorScale" priority="103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K174">
    <cfRule type="colorScale" priority="103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L174">
    <cfRule type="colorScale" priority="103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M174">
    <cfRule type="colorScale" priority="103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N174">
    <cfRule type="colorScale" priority="103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O174">
    <cfRule type="colorScale" priority="103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P174">
    <cfRule type="colorScale" priority="103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Q174">
    <cfRule type="colorScale" priority="103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R174">
    <cfRule type="colorScale" priority="103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S174">
    <cfRule type="colorScale" priority="103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T174">
    <cfRule type="colorScale" priority="102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U174">
    <cfRule type="colorScale" priority="102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V174">
    <cfRule type="colorScale" priority="102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D175">
    <cfRule type="colorScale" priority="102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E175">
    <cfRule type="colorScale" priority="102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F175">
    <cfRule type="colorScale" priority="102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G175">
    <cfRule type="colorScale" priority="102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H175">
    <cfRule type="colorScale" priority="102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I175">
    <cfRule type="colorScale" priority="102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J175">
    <cfRule type="colorScale" priority="102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K175">
    <cfRule type="colorScale" priority="101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L175">
    <cfRule type="colorScale" priority="101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M175">
    <cfRule type="colorScale" priority="101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N175">
    <cfRule type="colorScale" priority="101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O175">
    <cfRule type="colorScale" priority="101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P175">
    <cfRule type="colorScale" priority="101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Q175">
    <cfRule type="colorScale" priority="101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R175">
    <cfRule type="colorScale" priority="101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S175">
    <cfRule type="colorScale" priority="101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T175">
    <cfRule type="colorScale" priority="101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U175">
    <cfRule type="colorScale" priority="100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V175">
    <cfRule type="colorScale" priority="100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D176">
    <cfRule type="colorScale" priority="100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E176">
    <cfRule type="colorScale" priority="100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F176">
    <cfRule type="colorScale" priority="100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G176">
    <cfRule type="colorScale" priority="100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H176">
    <cfRule type="colorScale" priority="100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I176">
    <cfRule type="colorScale" priority="100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J176">
    <cfRule type="colorScale" priority="100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K176">
    <cfRule type="colorScale" priority="100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L176">
    <cfRule type="colorScale" priority="99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M176">
    <cfRule type="colorScale" priority="99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N176">
    <cfRule type="colorScale" priority="99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O176">
    <cfRule type="colorScale" priority="99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P176">
    <cfRule type="colorScale" priority="99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Q176">
    <cfRule type="colorScale" priority="99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R176">
    <cfRule type="colorScale" priority="99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S176">
    <cfRule type="colorScale" priority="99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T176">
    <cfRule type="colorScale" priority="99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U176">
    <cfRule type="colorScale" priority="99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V176">
    <cfRule type="colorScale" priority="98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D177">
    <cfRule type="colorScale" priority="98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E177">
    <cfRule type="colorScale" priority="98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F177">
    <cfRule type="colorScale" priority="98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G177">
    <cfRule type="colorScale" priority="98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H177">
    <cfRule type="colorScale" priority="98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I177">
    <cfRule type="colorScale" priority="98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J177">
    <cfRule type="colorScale" priority="98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K177">
    <cfRule type="colorScale" priority="98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L177">
    <cfRule type="colorScale" priority="98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M177">
    <cfRule type="colorScale" priority="97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N177">
    <cfRule type="colorScale" priority="97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O177">
    <cfRule type="colorScale" priority="97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P177">
    <cfRule type="colorScale" priority="97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Q177">
    <cfRule type="colorScale" priority="97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R177">
    <cfRule type="colorScale" priority="97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S177">
    <cfRule type="colorScale" priority="97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T177">
    <cfRule type="colorScale" priority="97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U177">
    <cfRule type="colorScale" priority="97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V177">
    <cfRule type="colorScale" priority="97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D178">
    <cfRule type="colorScale" priority="96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E178">
    <cfRule type="colorScale" priority="96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F178">
    <cfRule type="colorScale" priority="96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G178">
    <cfRule type="colorScale" priority="96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H178">
    <cfRule type="colorScale" priority="96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I178">
    <cfRule type="colorScale" priority="96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J178">
    <cfRule type="colorScale" priority="96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K178">
    <cfRule type="colorScale" priority="96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L178">
    <cfRule type="colorScale" priority="96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M178">
    <cfRule type="colorScale" priority="96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N178">
    <cfRule type="colorScale" priority="95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O178">
    <cfRule type="colorScale" priority="95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P178">
    <cfRule type="colorScale" priority="95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Q178">
    <cfRule type="colorScale" priority="95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R178">
    <cfRule type="colorScale" priority="95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S178">
    <cfRule type="colorScale" priority="95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T178">
    <cfRule type="colorScale" priority="95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U178">
    <cfRule type="colorScale" priority="95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V178">
    <cfRule type="colorScale" priority="95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D179">
    <cfRule type="colorScale" priority="95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E179">
    <cfRule type="colorScale" priority="94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F179">
    <cfRule type="colorScale" priority="94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G179">
    <cfRule type="colorScale" priority="94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H179">
    <cfRule type="colorScale" priority="94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I179">
    <cfRule type="colorScale" priority="94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J179">
    <cfRule type="colorScale" priority="94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K179">
    <cfRule type="colorScale" priority="94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L179">
    <cfRule type="colorScale" priority="94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M179">
    <cfRule type="colorScale" priority="94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N179">
    <cfRule type="colorScale" priority="94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O179">
    <cfRule type="colorScale" priority="93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P179">
    <cfRule type="colorScale" priority="93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Q179">
    <cfRule type="colorScale" priority="93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R179">
    <cfRule type="colorScale" priority="93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S179">
    <cfRule type="colorScale" priority="93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T179">
    <cfRule type="colorScale" priority="93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U179">
    <cfRule type="colorScale" priority="93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V179">
    <cfRule type="colorScale" priority="93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D180">
    <cfRule type="colorScale" priority="93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E180">
    <cfRule type="colorScale" priority="93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F180">
    <cfRule type="colorScale" priority="92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G180">
    <cfRule type="colorScale" priority="92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H180">
    <cfRule type="colorScale" priority="92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I180">
    <cfRule type="colorScale" priority="92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J180">
    <cfRule type="colorScale" priority="92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K180">
    <cfRule type="colorScale" priority="92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L180">
    <cfRule type="colorScale" priority="92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M180">
    <cfRule type="colorScale" priority="92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N180">
    <cfRule type="colorScale" priority="92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O180">
    <cfRule type="colorScale" priority="92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P180">
    <cfRule type="colorScale" priority="91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Q180">
    <cfRule type="colorScale" priority="91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R180">
    <cfRule type="colorScale" priority="91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S180">
    <cfRule type="colorScale" priority="91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T180">
    <cfRule type="colorScale" priority="91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U180">
    <cfRule type="colorScale" priority="91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V180">
    <cfRule type="colorScale" priority="91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D181">
    <cfRule type="colorScale" priority="91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E181">
    <cfRule type="colorScale" priority="91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F181">
    <cfRule type="colorScale" priority="91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G181">
    <cfRule type="colorScale" priority="90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H181">
    <cfRule type="colorScale" priority="90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I181">
    <cfRule type="colorScale" priority="90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J181">
    <cfRule type="colorScale" priority="90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K181">
    <cfRule type="colorScale" priority="90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L181">
    <cfRule type="colorScale" priority="90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M181">
    <cfRule type="colorScale" priority="90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N181">
    <cfRule type="colorScale" priority="90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O181">
    <cfRule type="colorScale" priority="90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P181">
    <cfRule type="colorScale" priority="90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Q181">
    <cfRule type="colorScale" priority="89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R181">
    <cfRule type="colorScale" priority="89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S181">
    <cfRule type="colorScale" priority="89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T181">
    <cfRule type="colorScale" priority="89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U181">
    <cfRule type="colorScale" priority="89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V181">
    <cfRule type="colorScale" priority="89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D182">
    <cfRule type="colorScale" priority="89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E182">
    <cfRule type="colorScale" priority="89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F182">
    <cfRule type="colorScale" priority="89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G182">
    <cfRule type="colorScale" priority="89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H182">
    <cfRule type="colorScale" priority="88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I182">
    <cfRule type="colorScale" priority="88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J182">
    <cfRule type="colorScale" priority="88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K182">
    <cfRule type="colorScale" priority="88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L182">
    <cfRule type="colorScale" priority="88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M182">
    <cfRule type="colorScale" priority="88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N182">
    <cfRule type="colorScale" priority="88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O182">
    <cfRule type="colorScale" priority="88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P182">
    <cfRule type="colorScale" priority="88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Q182">
    <cfRule type="colorScale" priority="88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R182">
    <cfRule type="colorScale" priority="87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S182">
    <cfRule type="colorScale" priority="87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T182">
    <cfRule type="colorScale" priority="87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U182">
    <cfRule type="colorScale" priority="87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V182">
    <cfRule type="colorScale" priority="87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D183">
    <cfRule type="colorScale" priority="87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E183">
    <cfRule type="colorScale" priority="87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F183">
    <cfRule type="colorScale" priority="87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G183">
    <cfRule type="colorScale" priority="87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H183">
    <cfRule type="colorScale" priority="87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I183">
    <cfRule type="colorScale" priority="86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J183">
    <cfRule type="colorScale" priority="86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K183">
    <cfRule type="colorScale" priority="86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L183">
    <cfRule type="colorScale" priority="86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M183">
    <cfRule type="colorScale" priority="86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N183">
    <cfRule type="colorScale" priority="86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O183">
    <cfRule type="colorScale" priority="86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P183">
    <cfRule type="colorScale" priority="86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Q183">
    <cfRule type="colorScale" priority="86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R183">
    <cfRule type="colorScale" priority="86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S183">
    <cfRule type="colorScale" priority="85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T183">
    <cfRule type="colorScale" priority="85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U183">
    <cfRule type="colorScale" priority="85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V183">
    <cfRule type="colorScale" priority="85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D184">
    <cfRule type="colorScale" priority="85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E184">
    <cfRule type="colorScale" priority="85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F184">
    <cfRule type="colorScale" priority="85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G184">
    <cfRule type="colorScale" priority="85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H184">
    <cfRule type="colorScale" priority="85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I184">
    <cfRule type="colorScale" priority="85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J184">
    <cfRule type="colorScale" priority="84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K184">
    <cfRule type="colorScale" priority="84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L184">
    <cfRule type="colorScale" priority="84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M184">
    <cfRule type="colorScale" priority="84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N184">
    <cfRule type="colorScale" priority="84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O184">
    <cfRule type="colorScale" priority="84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P184">
    <cfRule type="colorScale" priority="84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Q184">
    <cfRule type="colorScale" priority="84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R184">
    <cfRule type="colorScale" priority="84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S184">
    <cfRule type="colorScale" priority="84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T184">
    <cfRule type="colorScale" priority="83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U184">
    <cfRule type="colorScale" priority="83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V184">
    <cfRule type="colorScale" priority="83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D185">
    <cfRule type="colorScale" priority="83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E185">
    <cfRule type="colorScale" priority="83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F185">
    <cfRule type="colorScale" priority="83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G185">
    <cfRule type="colorScale" priority="83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H185">
    <cfRule type="colorScale" priority="83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I185">
    <cfRule type="colorScale" priority="83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J185">
    <cfRule type="colorScale" priority="83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K185">
    <cfRule type="colorScale" priority="82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L185">
    <cfRule type="colorScale" priority="82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M185">
    <cfRule type="colorScale" priority="82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N185">
    <cfRule type="colorScale" priority="82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O185">
    <cfRule type="colorScale" priority="82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P185">
    <cfRule type="colorScale" priority="82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Q185">
    <cfRule type="colorScale" priority="82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R185">
    <cfRule type="colorScale" priority="82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S185">
    <cfRule type="colorScale" priority="82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T185">
    <cfRule type="colorScale" priority="82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U185">
    <cfRule type="colorScale" priority="81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V185">
    <cfRule type="colorScale" priority="81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D186">
    <cfRule type="colorScale" priority="81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E186">
    <cfRule type="colorScale" priority="81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F186">
    <cfRule type="colorScale" priority="81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G186">
    <cfRule type="colorScale" priority="81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H186">
    <cfRule type="colorScale" priority="81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I186">
    <cfRule type="colorScale" priority="81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J186">
    <cfRule type="colorScale" priority="81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K186">
    <cfRule type="colorScale" priority="81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L186">
    <cfRule type="colorScale" priority="80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M186">
    <cfRule type="colorScale" priority="80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N186">
    <cfRule type="colorScale" priority="80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O186">
    <cfRule type="colorScale" priority="80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P186">
    <cfRule type="colorScale" priority="80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Q186">
    <cfRule type="colorScale" priority="80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R186">
    <cfRule type="colorScale" priority="80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S186">
    <cfRule type="colorScale" priority="80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T186">
    <cfRule type="colorScale" priority="80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U186">
    <cfRule type="colorScale" priority="80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V186">
    <cfRule type="colorScale" priority="79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D187">
    <cfRule type="colorScale" priority="79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E187">
    <cfRule type="colorScale" priority="79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F187">
    <cfRule type="colorScale" priority="79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G187">
    <cfRule type="colorScale" priority="79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H187">
    <cfRule type="colorScale" priority="79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I187">
    <cfRule type="colorScale" priority="79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J187">
    <cfRule type="colorScale" priority="79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K187">
    <cfRule type="colorScale" priority="79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L187">
    <cfRule type="colorScale" priority="79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M187">
    <cfRule type="colorScale" priority="78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N187">
    <cfRule type="colorScale" priority="78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O187">
    <cfRule type="colorScale" priority="78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P187">
    <cfRule type="colorScale" priority="78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Q187">
    <cfRule type="colorScale" priority="78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R187">
    <cfRule type="colorScale" priority="78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S187">
    <cfRule type="colorScale" priority="78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T187">
    <cfRule type="colorScale" priority="78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U187">
    <cfRule type="colorScale" priority="78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V187">
    <cfRule type="colorScale" priority="78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D188">
    <cfRule type="colorScale" priority="77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E188">
    <cfRule type="colorScale" priority="77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F188">
    <cfRule type="colorScale" priority="77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G188">
    <cfRule type="colorScale" priority="77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H188">
    <cfRule type="colorScale" priority="77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I188">
    <cfRule type="colorScale" priority="77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J188">
    <cfRule type="colorScale" priority="77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K188">
    <cfRule type="colorScale" priority="77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L188">
    <cfRule type="colorScale" priority="77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M188">
    <cfRule type="colorScale" priority="77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N188">
    <cfRule type="colorScale" priority="76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O188">
    <cfRule type="colorScale" priority="76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P188">
    <cfRule type="colorScale" priority="76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Q188">
    <cfRule type="colorScale" priority="76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R188">
    <cfRule type="colorScale" priority="76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S188">
    <cfRule type="colorScale" priority="76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T188">
    <cfRule type="colorScale" priority="76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U188">
    <cfRule type="colorScale" priority="76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V188">
    <cfRule type="colorScale" priority="76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D189">
    <cfRule type="colorScale" priority="76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E189">
    <cfRule type="colorScale" priority="75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F189">
    <cfRule type="colorScale" priority="75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G189">
    <cfRule type="colorScale" priority="75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H189">
    <cfRule type="colorScale" priority="75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I189">
    <cfRule type="colorScale" priority="75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J189">
    <cfRule type="colorScale" priority="75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K189">
    <cfRule type="colorScale" priority="75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L189">
    <cfRule type="colorScale" priority="75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M189">
    <cfRule type="colorScale" priority="75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N189">
    <cfRule type="colorScale" priority="75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O189">
    <cfRule type="colorScale" priority="74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P189">
    <cfRule type="colorScale" priority="74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Q189">
    <cfRule type="colorScale" priority="74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R189">
    <cfRule type="colorScale" priority="74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S189">
    <cfRule type="colorScale" priority="74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T189">
    <cfRule type="colorScale" priority="74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U189">
    <cfRule type="colorScale" priority="74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V189">
    <cfRule type="colorScale" priority="74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D190">
    <cfRule type="colorScale" priority="74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E190">
    <cfRule type="colorScale" priority="74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F190">
    <cfRule type="colorScale" priority="73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G190">
    <cfRule type="colorScale" priority="73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H190">
    <cfRule type="colorScale" priority="73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I190">
    <cfRule type="colorScale" priority="73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J190">
    <cfRule type="colorScale" priority="73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K190">
    <cfRule type="colorScale" priority="73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L190">
    <cfRule type="colorScale" priority="73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M190">
    <cfRule type="colorScale" priority="73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N190">
    <cfRule type="colorScale" priority="73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O190">
    <cfRule type="colorScale" priority="73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P190">
    <cfRule type="colorScale" priority="72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Q190">
    <cfRule type="colorScale" priority="72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R190">
    <cfRule type="colorScale" priority="72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S190">
    <cfRule type="colorScale" priority="72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T190">
    <cfRule type="colorScale" priority="72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U190">
    <cfRule type="colorScale" priority="72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V190">
    <cfRule type="colorScale" priority="72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D193">
    <cfRule type="colorScale" priority="72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E193">
    <cfRule type="colorScale" priority="72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F193">
    <cfRule type="colorScale" priority="72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G193">
    <cfRule type="colorScale" priority="71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H193">
    <cfRule type="colorScale" priority="71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I193">
    <cfRule type="colorScale" priority="71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J193">
    <cfRule type="colorScale" priority="71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K193">
    <cfRule type="colorScale" priority="71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L193">
    <cfRule type="colorScale" priority="71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M193">
    <cfRule type="colorScale" priority="71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N193">
    <cfRule type="colorScale" priority="71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O193">
    <cfRule type="colorScale" priority="71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P193">
    <cfRule type="colorScale" priority="71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Q193">
    <cfRule type="colorScale" priority="70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R193">
    <cfRule type="colorScale" priority="70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S193">
    <cfRule type="colorScale" priority="70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T193">
    <cfRule type="colorScale" priority="70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U193">
    <cfRule type="colorScale" priority="70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V193">
    <cfRule type="colorScale" priority="70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D194">
    <cfRule type="colorScale" priority="70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E194">
    <cfRule type="colorScale" priority="70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F194">
    <cfRule type="colorScale" priority="70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G194">
    <cfRule type="colorScale" priority="70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H194">
    <cfRule type="colorScale" priority="69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I194">
    <cfRule type="colorScale" priority="69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J194">
    <cfRule type="colorScale" priority="69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K194">
    <cfRule type="colorScale" priority="69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L194">
    <cfRule type="colorScale" priority="69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M194">
    <cfRule type="colorScale" priority="69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N194">
    <cfRule type="colorScale" priority="69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O194">
    <cfRule type="colorScale" priority="69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P194">
    <cfRule type="colorScale" priority="69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Q194">
    <cfRule type="colorScale" priority="69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R194">
    <cfRule type="colorScale" priority="68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S194">
    <cfRule type="colorScale" priority="68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T194">
    <cfRule type="colorScale" priority="68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U194">
    <cfRule type="colorScale" priority="68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V194">
    <cfRule type="colorScale" priority="68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D195">
    <cfRule type="colorScale" priority="68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E195">
    <cfRule type="colorScale" priority="68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F195">
    <cfRule type="colorScale" priority="68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G195">
    <cfRule type="colorScale" priority="68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H195">
    <cfRule type="colorScale" priority="68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I195">
    <cfRule type="colorScale" priority="67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J195">
    <cfRule type="colorScale" priority="67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K195">
    <cfRule type="colorScale" priority="67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L195">
    <cfRule type="colorScale" priority="67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M195">
    <cfRule type="colorScale" priority="67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N195">
    <cfRule type="colorScale" priority="67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O195">
    <cfRule type="colorScale" priority="67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P195">
    <cfRule type="colorScale" priority="67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Q195">
    <cfRule type="colorScale" priority="67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R195">
    <cfRule type="colorScale" priority="67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S195">
    <cfRule type="colorScale" priority="66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T195">
    <cfRule type="colorScale" priority="66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U195">
    <cfRule type="colorScale" priority="66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V195">
    <cfRule type="colorScale" priority="66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D196">
    <cfRule type="colorScale" priority="66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E196">
    <cfRule type="colorScale" priority="66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F196">
    <cfRule type="colorScale" priority="66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G196">
    <cfRule type="colorScale" priority="66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H196">
    <cfRule type="colorScale" priority="66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I196">
    <cfRule type="colorScale" priority="66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J196">
    <cfRule type="colorScale" priority="65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K196">
    <cfRule type="colorScale" priority="65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L196">
    <cfRule type="colorScale" priority="65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M196">
    <cfRule type="colorScale" priority="65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N196">
    <cfRule type="colorScale" priority="65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O196">
    <cfRule type="colorScale" priority="65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P196">
    <cfRule type="colorScale" priority="65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Q196">
    <cfRule type="colorScale" priority="65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R196">
    <cfRule type="colorScale" priority="65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S196">
    <cfRule type="colorScale" priority="65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T196">
    <cfRule type="colorScale" priority="64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U196">
    <cfRule type="colorScale" priority="64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V196">
    <cfRule type="colorScale" priority="64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D197">
    <cfRule type="colorScale" priority="64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E197">
    <cfRule type="colorScale" priority="64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F197">
    <cfRule type="colorScale" priority="64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G197">
    <cfRule type="colorScale" priority="64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H197">
    <cfRule type="colorScale" priority="64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I197">
    <cfRule type="colorScale" priority="64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J197">
    <cfRule type="colorScale" priority="64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K197">
    <cfRule type="colorScale" priority="63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L197">
    <cfRule type="colorScale" priority="63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M197">
    <cfRule type="colorScale" priority="63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N197">
    <cfRule type="colorScale" priority="63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O197">
    <cfRule type="colorScale" priority="63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P197">
    <cfRule type="colorScale" priority="63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Q197">
    <cfRule type="colorScale" priority="63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R197">
    <cfRule type="colorScale" priority="63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S197">
    <cfRule type="colorScale" priority="63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T197">
    <cfRule type="colorScale" priority="63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U197">
    <cfRule type="colorScale" priority="62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V197">
    <cfRule type="colorScale" priority="62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D198">
    <cfRule type="colorScale" priority="62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E198">
    <cfRule type="colorScale" priority="62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F198">
    <cfRule type="colorScale" priority="62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G198">
    <cfRule type="colorScale" priority="62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H198">
    <cfRule type="colorScale" priority="62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I198">
    <cfRule type="colorScale" priority="62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J198">
    <cfRule type="colorScale" priority="62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K198">
    <cfRule type="colorScale" priority="62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L198">
    <cfRule type="colorScale" priority="61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M198">
    <cfRule type="colorScale" priority="61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N198">
    <cfRule type="colorScale" priority="61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O198">
    <cfRule type="colorScale" priority="61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P198">
    <cfRule type="colorScale" priority="61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Q198">
    <cfRule type="colorScale" priority="61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R198">
    <cfRule type="colorScale" priority="61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S198">
    <cfRule type="colorScale" priority="61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T198">
    <cfRule type="colorScale" priority="61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U198">
    <cfRule type="colorScale" priority="61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V198">
    <cfRule type="colorScale" priority="60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D199">
    <cfRule type="colorScale" priority="60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E199">
    <cfRule type="colorScale" priority="60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F199">
    <cfRule type="colorScale" priority="60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G199">
    <cfRule type="colorScale" priority="60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H199">
    <cfRule type="colorScale" priority="60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I199">
    <cfRule type="colorScale" priority="60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J199">
    <cfRule type="colorScale" priority="60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K199">
    <cfRule type="colorScale" priority="60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L199">
    <cfRule type="colorScale" priority="60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M199">
    <cfRule type="colorScale" priority="59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N199">
    <cfRule type="colorScale" priority="59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O199">
    <cfRule type="colorScale" priority="59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P199">
    <cfRule type="colorScale" priority="59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Q199">
    <cfRule type="colorScale" priority="59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R199">
    <cfRule type="colorScale" priority="59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S199">
    <cfRule type="colorScale" priority="59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T199">
    <cfRule type="colorScale" priority="59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U199">
    <cfRule type="colorScale" priority="59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V199">
    <cfRule type="colorScale" priority="59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D200">
    <cfRule type="colorScale" priority="58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E200">
    <cfRule type="colorScale" priority="58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F200">
    <cfRule type="colorScale" priority="58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G200">
    <cfRule type="colorScale" priority="58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H200">
    <cfRule type="colorScale" priority="58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I200">
    <cfRule type="colorScale" priority="58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J200">
    <cfRule type="colorScale" priority="58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K200">
    <cfRule type="colorScale" priority="58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L200">
    <cfRule type="colorScale" priority="58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M200">
    <cfRule type="colorScale" priority="58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N200">
    <cfRule type="colorScale" priority="57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O200">
    <cfRule type="colorScale" priority="57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P200">
    <cfRule type="colorScale" priority="57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Q200">
    <cfRule type="colorScale" priority="57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R200">
    <cfRule type="colorScale" priority="57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S200">
    <cfRule type="colorScale" priority="57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T200">
    <cfRule type="colorScale" priority="57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U200">
    <cfRule type="colorScale" priority="57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V200">
    <cfRule type="colorScale" priority="57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D201">
    <cfRule type="colorScale" priority="57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E201">
    <cfRule type="colorScale" priority="56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F201">
    <cfRule type="colorScale" priority="56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G201">
    <cfRule type="colorScale" priority="56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H201">
    <cfRule type="colorScale" priority="56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I201">
    <cfRule type="colorScale" priority="56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J201">
    <cfRule type="colorScale" priority="56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K201">
    <cfRule type="colorScale" priority="56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L201">
    <cfRule type="colorScale" priority="56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M201">
    <cfRule type="colorScale" priority="56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N201">
    <cfRule type="colorScale" priority="56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O201">
    <cfRule type="colorScale" priority="55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P201">
    <cfRule type="colorScale" priority="55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Q201">
    <cfRule type="colorScale" priority="55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R201">
    <cfRule type="colorScale" priority="55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S201">
    <cfRule type="colorScale" priority="55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T201">
    <cfRule type="colorScale" priority="55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U201">
    <cfRule type="colorScale" priority="55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V201">
    <cfRule type="colorScale" priority="55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D202">
    <cfRule type="colorScale" priority="55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E202">
    <cfRule type="colorScale" priority="55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F202">
    <cfRule type="colorScale" priority="54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G202">
    <cfRule type="colorScale" priority="54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H202">
    <cfRule type="colorScale" priority="54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I202">
    <cfRule type="colorScale" priority="54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J202">
    <cfRule type="colorScale" priority="54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K202">
    <cfRule type="colorScale" priority="54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L202">
    <cfRule type="colorScale" priority="54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M202">
    <cfRule type="colorScale" priority="54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N202">
    <cfRule type="colorScale" priority="54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O202">
    <cfRule type="colorScale" priority="54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P202">
    <cfRule type="colorScale" priority="53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Q202">
    <cfRule type="colorScale" priority="53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R202">
    <cfRule type="colorScale" priority="53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S202">
    <cfRule type="colorScale" priority="53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T202">
    <cfRule type="colorScale" priority="53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U202">
    <cfRule type="colorScale" priority="53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V202">
    <cfRule type="colorScale" priority="53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D203">
    <cfRule type="colorScale" priority="53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E203">
    <cfRule type="colorScale" priority="53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F203">
    <cfRule type="colorScale" priority="53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G203">
    <cfRule type="colorScale" priority="52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H203">
    <cfRule type="colorScale" priority="52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I203">
    <cfRule type="colorScale" priority="52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J203">
    <cfRule type="colorScale" priority="52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K203">
    <cfRule type="colorScale" priority="52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L203">
    <cfRule type="colorScale" priority="52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M203">
    <cfRule type="colorScale" priority="52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N203">
    <cfRule type="colorScale" priority="52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O203">
    <cfRule type="colorScale" priority="52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P203">
    <cfRule type="colorScale" priority="52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Q203">
    <cfRule type="colorScale" priority="51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R203">
    <cfRule type="colorScale" priority="51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S203">
    <cfRule type="colorScale" priority="51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T203">
    <cfRule type="colorScale" priority="51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U203">
    <cfRule type="colorScale" priority="51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V203">
    <cfRule type="colorScale" priority="51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D204">
    <cfRule type="colorScale" priority="51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E204">
    <cfRule type="colorScale" priority="51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F204">
    <cfRule type="colorScale" priority="51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G204">
    <cfRule type="colorScale" priority="51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H204">
    <cfRule type="colorScale" priority="50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I204">
    <cfRule type="colorScale" priority="50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J204">
    <cfRule type="colorScale" priority="50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K204">
    <cfRule type="colorScale" priority="50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L204">
    <cfRule type="colorScale" priority="50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M204">
    <cfRule type="colorScale" priority="50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N204">
    <cfRule type="colorScale" priority="50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O204">
    <cfRule type="colorScale" priority="50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P204">
    <cfRule type="colorScale" priority="50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Q204">
    <cfRule type="colorScale" priority="50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R204">
    <cfRule type="colorScale" priority="49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S204">
    <cfRule type="colorScale" priority="49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T204">
    <cfRule type="colorScale" priority="49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U204">
    <cfRule type="colorScale" priority="49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V204">
    <cfRule type="colorScale" priority="49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D205">
    <cfRule type="colorScale" priority="49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E205">
    <cfRule type="colorScale" priority="49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F205">
    <cfRule type="colorScale" priority="49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G205">
    <cfRule type="colorScale" priority="49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H205">
    <cfRule type="colorScale" priority="49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I205">
    <cfRule type="colorScale" priority="48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J205">
    <cfRule type="colorScale" priority="48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K205">
    <cfRule type="colorScale" priority="48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L205">
    <cfRule type="colorScale" priority="48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M205">
    <cfRule type="colorScale" priority="48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N205">
    <cfRule type="colorScale" priority="48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O205">
    <cfRule type="colorScale" priority="48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P205">
    <cfRule type="colorScale" priority="48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Q205">
    <cfRule type="colorScale" priority="48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R205">
    <cfRule type="colorScale" priority="48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S205">
    <cfRule type="colorScale" priority="47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T205">
    <cfRule type="colorScale" priority="47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U205">
    <cfRule type="colorScale" priority="47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V205">
    <cfRule type="colorScale" priority="47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D206">
    <cfRule type="colorScale" priority="47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E206">
    <cfRule type="colorScale" priority="47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F206">
    <cfRule type="colorScale" priority="47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G206">
    <cfRule type="colorScale" priority="47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H206">
    <cfRule type="colorScale" priority="47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I206">
    <cfRule type="colorScale" priority="47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J206">
    <cfRule type="colorScale" priority="46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K206">
    <cfRule type="colorScale" priority="46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L206">
    <cfRule type="colorScale" priority="46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M206">
    <cfRule type="colorScale" priority="46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N206">
    <cfRule type="colorScale" priority="46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O206">
    <cfRule type="colorScale" priority="46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P206">
    <cfRule type="colorScale" priority="46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Q206">
    <cfRule type="colorScale" priority="46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R206">
    <cfRule type="colorScale" priority="46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S206">
    <cfRule type="colorScale" priority="46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T206">
    <cfRule type="colorScale" priority="45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U206">
    <cfRule type="colorScale" priority="45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V206">
    <cfRule type="colorScale" priority="45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D207">
    <cfRule type="colorScale" priority="45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E207">
    <cfRule type="colorScale" priority="45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F207">
    <cfRule type="colorScale" priority="45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G207">
    <cfRule type="colorScale" priority="45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H207">
    <cfRule type="colorScale" priority="45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I207">
    <cfRule type="colorScale" priority="45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J207">
    <cfRule type="colorScale" priority="45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K207">
    <cfRule type="colorScale" priority="44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L207">
    <cfRule type="colorScale" priority="44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M207">
    <cfRule type="colorScale" priority="44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N207">
    <cfRule type="colorScale" priority="44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O207">
    <cfRule type="colorScale" priority="44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P207">
    <cfRule type="colorScale" priority="44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Q207">
    <cfRule type="colorScale" priority="44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R207">
    <cfRule type="colorScale" priority="44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S207">
    <cfRule type="colorScale" priority="44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T207">
    <cfRule type="colorScale" priority="44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U207">
    <cfRule type="colorScale" priority="43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V207">
    <cfRule type="colorScale" priority="43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D208">
    <cfRule type="colorScale" priority="43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E208">
    <cfRule type="colorScale" priority="43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F208">
    <cfRule type="colorScale" priority="43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G208">
    <cfRule type="colorScale" priority="43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H208">
    <cfRule type="colorScale" priority="43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I208">
    <cfRule type="colorScale" priority="43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J208">
    <cfRule type="colorScale" priority="43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K208">
    <cfRule type="colorScale" priority="43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L208">
    <cfRule type="colorScale" priority="42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M208">
    <cfRule type="colorScale" priority="42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N208">
    <cfRule type="colorScale" priority="42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O208">
    <cfRule type="colorScale" priority="42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P208">
    <cfRule type="colorScale" priority="42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Q208">
    <cfRule type="colorScale" priority="42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R208">
    <cfRule type="colorScale" priority="42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S208">
    <cfRule type="colorScale" priority="42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T208">
    <cfRule type="colorScale" priority="42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U208">
    <cfRule type="colorScale" priority="42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V208">
    <cfRule type="colorScale" priority="41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D209">
    <cfRule type="colorScale" priority="41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E209">
    <cfRule type="colorScale" priority="41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F209">
    <cfRule type="colorScale" priority="41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G209">
    <cfRule type="colorScale" priority="41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H209">
    <cfRule type="colorScale" priority="41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I209">
    <cfRule type="colorScale" priority="41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J209">
    <cfRule type="colorScale" priority="41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K209">
    <cfRule type="colorScale" priority="41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L209">
    <cfRule type="colorScale" priority="41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M209">
    <cfRule type="colorScale" priority="40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N209">
    <cfRule type="colorScale" priority="40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O209">
    <cfRule type="colorScale" priority="40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P209">
    <cfRule type="colorScale" priority="40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Q209">
    <cfRule type="colorScale" priority="40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R209">
    <cfRule type="colorScale" priority="40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S209">
    <cfRule type="colorScale" priority="40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T209">
    <cfRule type="colorScale" priority="40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U209">
    <cfRule type="colorScale" priority="40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V209">
    <cfRule type="colorScale" priority="40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D210">
    <cfRule type="colorScale" priority="39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E210">
    <cfRule type="colorScale" priority="39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F210">
    <cfRule type="colorScale" priority="39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G210">
    <cfRule type="colorScale" priority="39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H210">
    <cfRule type="colorScale" priority="39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I210">
    <cfRule type="colorScale" priority="39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J210">
    <cfRule type="colorScale" priority="39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K210">
    <cfRule type="colorScale" priority="39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L210">
    <cfRule type="colorScale" priority="39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M210">
    <cfRule type="colorScale" priority="39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N210">
    <cfRule type="colorScale" priority="38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O210">
    <cfRule type="colorScale" priority="38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P210">
    <cfRule type="colorScale" priority="38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Q210">
    <cfRule type="colorScale" priority="38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R210">
    <cfRule type="colorScale" priority="38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S210">
    <cfRule type="colorScale" priority="38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T210">
    <cfRule type="colorScale" priority="38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U210">
    <cfRule type="colorScale" priority="38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V210">
    <cfRule type="colorScale" priority="38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D211">
    <cfRule type="colorScale" priority="38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E211">
    <cfRule type="colorScale" priority="37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F211">
    <cfRule type="colorScale" priority="37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G211">
    <cfRule type="colorScale" priority="37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H211">
    <cfRule type="colorScale" priority="37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I211">
    <cfRule type="colorScale" priority="37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J211">
    <cfRule type="colorScale" priority="37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K211">
    <cfRule type="colorScale" priority="37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L211">
    <cfRule type="colorScale" priority="37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M211">
    <cfRule type="colorScale" priority="37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N211">
    <cfRule type="colorScale" priority="37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O211">
    <cfRule type="colorScale" priority="36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P211">
    <cfRule type="colorScale" priority="36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Q211">
    <cfRule type="colorScale" priority="36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R211">
    <cfRule type="colorScale" priority="36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S211">
    <cfRule type="colorScale" priority="36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T211">
    <cfRule type="colorScale" priority="36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U211">
    <cfRule type="colorScale" priority="36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V211">
    <cfRule type="colorScale" priority="36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D214">
    <cfRule type="colorScale" priority="36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E214">
    <cfRule type="colorScale" priority="36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F214">
    <cfRule type="colorScale" priority="35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G214">
    <cfRule type="colorScale" priority="35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H214">
    <cfRule type="colorScale" priority="35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I214">
    <cfRule type="colorScale" priority="35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J214">
    <cfRule type="colorScale" priority="35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K214">
    <cfRule type="colorScale" priority="35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L214">
    <cfRule type="colorScale" priority="35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M214">
    <cfRule type="colorScale" priority="35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N214">
    <cfRule type="colorScale" priority="35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O214">
    <cfRule type="colorScale" priority="35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P214">
    <cfRule type="colorScale" priority="34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Q214">
    <cfRule type="colorScale" priority="34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R214">
    <cfRule type="colorScale" priority="34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S214">
    <cfRule type="colorScale" priority="34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T214">
    <cfRule type="colorScale" priority="34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U214">
    <cfRule type="colorScale" priority="34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V214">
    <cfRule type="colorScale" priority="34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D215">
    <cfRule type="colorScale" priority="34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E215">
    <cfRule type="colorScale" priority="34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F215">
    <cfRule type="colorScale" priority="34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G215">
    <cfRule type="colorScale" priority="33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H215">
    <cfRule type="colorScale" priority="33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I215">
    <cfRule type="colorScale" priority="33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J215">
    <cfRule type="colorScale" priority="33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K215">
    <cfRule type="colorScale" priority="33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L215">
    <cfRule type="colorScale" priority="33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M215">
    <cfRule type="colorScale" priority="33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N215">
    <cfRule type="colorScale" priority="33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O215">
    <cfRule type="colorScale" priority="33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P215">
    <cfRule type="colorScale" priority="33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Q215">
    <cfRule type="colorScale" priority="32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R215">
    <cfRule type="colorScale" priority="32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S215">
    <cfRule type="colorScale" priority="32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T215">
    <cfRule type="colorScale" priority="32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U215">
    <cfRule type="colorScale" priority="32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V215">
    <cfRule type="colorScale" priority="32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D216">
    <cfRule type="colorScale" priority="32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E216">
    <cfRule type="colorScale" priority="32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F216">
    <cfRule type="colorScale" priority="32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G216">
    <cfRule type="colorScale" priority="32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H216">
    <cfRule type="colorScale" priority="31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I216">
    <cfRule type="colorScale" priority="31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J216">
    <cfRule type="colorScale" priority="31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K216">
    <cfRule type="colorScale" priority="31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L216">
    <cfRule type="colorScale" priority="31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M216">
    <cfRule type="colorScale" priority="31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N216">
    <cfRule type="colorScale" priority="31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O216">
    <cfRule type="colorScale" priority="31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P216">
    <cfRule type="colorScale" priority="31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Q216">
    <cfRule type="colorScale" priority="31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R216">
    <cfRule type="colorScale" priority="30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S216">
    <cfRule type="colorScale" priority="30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T216">
    <cfRule type="colorScale" priority="30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U216">
    <cfRule type="colorScale" priority="30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V216">
    <cfRule type="colorScale" priority="30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D217">
    <cfRule type="colorScale" priority="30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E217">
    <cfRule type="colorScale" priority="30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F217">
    <cfRule type="colorScale" priority="30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G217">
    <cfRule type="colorScale" priority="30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H217">
    <cfRule type="colorScale" priority="30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I217">
    <cfRule type="colorScale" priority="29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J217">
    <cfRule type="colorScale" priority="29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K217">
    <cfRule type="colorScale" priority="29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L217">
    <cfRule type="colorScale" priority="29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M217">
    <cfRule type="colorScale" priority="29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N217">
    <cfRule type="colorScale" priority="29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O217">
    <cfRule type="colorScale" priority="29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P217">
    <cfRule type="colorScale" priority="29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Q217">
    <cfRule type="colorScale" priority="29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R217">
    <cfRule type="colorScale" priority="29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S217">
    <cfRule type="colorScale" priority="28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T217">
    <cfRule type="colorScale" priority="28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U217">
    <cfRule type="colorScale" priority="28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V217">
    <cfRule type="colorScale" priority="28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D218">
    <cfRule type="colorScale" priority="28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E218">
    <cfRule type="colorScale" priority="28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F218">
    <cfRule type="colorScale" priority="28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G218">
    <cfRule type="colorScale" priority="28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H218">
    <cfRule type="colorScale" priority="28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I218">
    <cfRule type="colorScale" priority="28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J218">
    <cfRule type="colorScale" priority="27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K218">
    <cfRule type="colorScale" priority="27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L218">
    <cfRule type="colorScale" priority="27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M218">
    <cfRule type="colorScale" priority="27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N218">
    <cfRule type="colorScale" priority="27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O218">
    <cfRule type="colorScale" priority="27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P218">
    <cfRule type="colorScale" priority="27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Q218">
    <cfRule type="colorScale" priority="27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R218">
    <cfRule type="colorScale" priority="27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S218">
    <cfRule type="colorScale" priority="27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T218">
    <cfRule type="colorScale" priority="26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U218">
    <cfRule type="colorScale" priority="26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V218">
    <cfRule type="colorScale" priority="26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D219">
    <cfRule type="colorScale" priority="26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E219">
    <cfRule type="colorScale" priority="26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F219">
    <cfRule type="colorScale" priority="26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G219">
    <cfRule type="colorScale" priority="26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H219">
    <cfRule type="colorScale" priority="26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I219">
    <cfRule type="colorScale" priority="26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J219">
    <cfRule type="colorScale" priority="26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K219">
    <cfRule type="colorScale" priority="25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L219">
    <cfRule type="colorScale" priority="25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M219">
    <cfRule type="colorScale" priority="25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N219">
    <cfRule type="colorScale" priority="25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O219">
    <cfRule type="colorScale" priority="25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P219">
    <cfRule type="colorScale" priority="25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Q219">
    <cfRule type="colorScale" priority="25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R219">
    <cfRule type="colorScale" priority="25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S219">
    <cfRule type="colorScale" priority="25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T219">
    <cfRule type="colorScale" priority="25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U219">
    <cfRule type="colorScale" priority="24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V219">
    <cfRule type="colorScale" priority="24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D220">
    <cfRule type="colorScale" priority="24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E220">
    <cfRule type="colorScale" priority="24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F220">
    <cfRule type="colorScale" priority="24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G220">
    <cfRule type="colorScale" priority="24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H220">
    <cfRule type="colorScale" priority="24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I220">
    <cfRule type="colorScale" priority="24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J220">
    <cfRule type="colorScale" priority="24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K220">
    <cfRule type="colorScale" priority="24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L220">
    <cfRule type="colorScale" priority="23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M220">
    <cfRule type="colorScale" priority="23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N220">
    <cfRule type="colorScale" priority="23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O220">
    <cfRule type="colorScale" priority="23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P220">
    <cfRule type="colorScale" priority="23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Q220">
    <cfRule type="colorScale" priority="23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R220">
    <cfRule type="colorScale" priority="23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S220">
    <cfRule type="colorScale" priority="23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T220">
    <cfRule type="colorScale" priority="23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U220">
    <cfRule type="colorScale" priority="23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V220">
    <cfRule type="colorScale" priority="22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D221">
    <cfRule type="colorScale" priority="22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E221">
    <cfRule type="colorScale" priority="22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F221">
    <cfRule type="colorScale" priority="22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G221">
    <cfRule type="colorScale" priority="22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H221">
    <cfRule type="colorScale" priority="22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I221">
    <cfRule type="colorScale" priority="22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J221">
    <cfRule type="colorScale" priority="22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K221">
    <cfRule type="colorScale" priority="22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L221">
    <cfRule type="colorScale" priority="22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M221">
    <cfRule type="colorScale" priority="21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N221">
    <cfRule type="colorScale" priority="21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O221">
    <cfRule type="colorScale" priority="21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P221">
    <cfRule type="colorScale" priority="21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Q221">
    <cfRule type="colorScale" priority="21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R221">
    <cfRule type="colorScale" priority="21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S221">
    <cfRule type="colorScale" priority="21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T221">
    <cfRule type="colorScale" priority="21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U221">
    <cfRule type="colorScale" priority="21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V221">
    <cfRule type="colorScale" priority="21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D222">
    <cfRule type="colorScale" priority="20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E222">
    <cfRule type="colorScale" priority="20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F222">
    <cfRule type="colorScale" priority="20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G222">
    <cfRule type="colorScale" priority="20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H222">
    <cfRule type="colorScale" priority="20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I222">
    <cfRule type="colorScale" priority="20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J222">
    <cfRule type="colorScale" priority="20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K222">
    <cfRule type="colorScale" priority="20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L222">
    <cfRule type="colorScale" priority="20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M222">
    <cfRule type="colorScale" priority="20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N222">
    <cfRule type="colorScale" priority="19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O222">
    <cfRule type="colorScale" priority="19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P222">
    <cfRule type="colorScale" priority="19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Q222">
    <cfRule type="colorScale" priority="19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R222">
    <cfRule type="colorScale" priority="19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S222">
    <cfRule type="colorScale" priority="19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T222">
    <cfRule type="colorScale" priority="19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U222">
    <cfRule type="colorScale" priority="19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V222">
    <cfRule type="colorScale" priority="19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D223">
    <cfRule type="colorScale" priority="19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E223">
    <cfRule type="colorScale" priority="18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F223">
    <cfRule type="colorScale" priority="18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G223">
    <cfRule type="colorScale" priority="18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H223">
    <cfRule type="colorScale" priority="18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I223">
    <cfRule type="colorScale" priority="18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J223">
    <cfRule type="colorScale" priority="18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K223">
    <cfRule type="colorScale" priority="18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L223">
    <cfRule type="colorScale" priority="18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M223">
    <cfRule type="colorScale" priority="18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N223">
    <cfRule type="colorScale" priority="18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O223">
    <cfRule type="colorScale" priority="17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P223">
    <cfRule type="colorScale" priority="17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Q223">
    <cfRule type="colorScale" priority="17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R223">
    <cfRule type="colorScale" priority="17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S223">
    <cfRule type="colorScale" priority="17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T223">
    <cfRule type="colorScale" priority="17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U223">
    <cfRule type="colorScale" priority="17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V223">
    <cfRule type="colorScale" priority="17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D224">
    <cfRule type="colorScale" priority="17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E224">
    <cfRule type="colorScale" priority="17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F224">
    <cfRule type="colorScale" priority="16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G224">
    <cfRule type="colorScale" priority="16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H224">
    <cfRule type="colorScale" priority="16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I224">
    <cfRule type="colorScale" priority="16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J224">
    <cfRule type="colorScale" priority="16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K224">
    <cfRule type="colorScale" priority="16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L224">
    <cfRule type="colorScale" priority="16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M224">
    <cfRule type="colorScale" priority="16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N224">
    <cfRule type="colorScale" priority="16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O224">
    <cfRule type="colorScale" priority="16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P224">
    <cfRule type="colorScale" priority="15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Q224">
    <cfRule type="colorScale" priority="15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R224">
    <cfRule type="colorScale" priority="15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S224">
    <cfRule type="colorScale" priority="15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T224">
    <cfRule type="colorScale" priority="15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U224">
    <cfRule type="colorScale" priority="15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V224">
    <cfRule type="colorScale" priority="15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D225">
    <cfRule type="colorScale" priority="15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E225">
    <cfRule type="colorScale" priority="15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F225">
    <cfRule type="colorScale" priority="15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G225">
    <cfRule type="colorScale" priority="14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H225">
    <cfRule type="colorScale" priority="14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I225">
    <cfRule type="colorScale" priority="14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J225">
    <cfRule type="colorScale" priority="14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K225">
    <cfRule type="colorScale" priority="14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L225">
    <cfRule type="colorScale" priority="14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M225">
    <cfRule type="colorScale" priority="14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N225">
    <cfRule type="colorScale" priority="14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O225">
    <cfRule type="colorScale" priority="14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P225">
    <cfRule type="colorScale" priority="14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Q225">
    <cfRule type="colorScale" priority="13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R225">
    <cfRule type="colorScale" priority="13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S225">
    <cfRule type="colorScale" priority="13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T225">
    <cfRule type="colorScale" priority="13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U225">
    <cfRule type="colorScale" priority="13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V225">
    <cfRule type="colorScale" priority="13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D226">
    <cfRule type="colorScale" priority="13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E226">
    <cfRule type="colorScale" priority="13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F226">
    <cfRule type="colorScale" priority="13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G226">
    <cfRule type="colorScale" priority="13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H226">
    <cfRule type="colorScale" priority="12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I226">
    <cfRule type="colorScale" priority="12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J226">
    <cfRule type="colorScale" priority="12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K226">
    <cfRule type="colorScale" priority="12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L226">
    <cfRule type="colorScale" priority="12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M226">
    <cfRule type="colorScale" priority="12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N226">
    <cfRule type="colorScale" priority="12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O226">
    <cfRule type="colorScale" priority="12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P226">
    <cfRule type="colorScale" priority="12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Q226">
    <cfRule type="colorScale" priority="12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R226">
    <cfRule type="colorScale" priority="11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S226">
    <cfRule type="colorScale" priority="11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T226">
    <cfRule type="colorScale" priority="11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U226">
    <cfRule type="colorScale" priority="11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V226">
    <cfRule type="colorScale" priority="11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D227">
    <cfRule type="colorScale" priority="11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E227">
    <cfRule type="colorScale" priority="11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F227">
    <cfRule type="colorScale" priority="11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G227">
    <cfRule type="colorScale" priority="11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H227">
    <cfRule type="colorScale" priority="11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I227">
    <cfRule type="colorScale" priority="10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J227">
    <cfRule type="colorScale" priority="10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K227">
    <cfRule type="colorScale" priority="10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L227">
    <cfRule type="colorScale" priority="10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M227">
    <cfRule type="colorScale" priority="10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N227">
    <cfRule type="colorScale" priority="10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O227">
    <cfRule type="colorScale" priority="10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P227">
    <cfRule type="colorScale" priority="10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Q227">
    <cfRule type="colorScale" priority="10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R227">
    <cfRule type="colorScale" priority="10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S227">
    <cfRule type="colorScale" priority="9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T227">
    <cfRule type="colorScale" priority="9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U227">
    <cfRule type="colorScale" priority="9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V227">
    <cfRule type="colorScale" priority="9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D228">
    <cfRule type="colorScale" priority="9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E228">
    <cfRule type="colorScale" priority="9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F228">
    <cfRule type="colorScale" priority="9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G228">
    <cfRule type="colorScale" priority="9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H228">
    <cfRule type="colorScale" priority="9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I228">
    <cfRule type="colorScale" priority="9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J228">
    <cfRule type="colorScale" priority="8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K228">
    <cfRule type="colorScale" priority="8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L228">
    <cfRule type="colorScale" priority="8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M228">
    <cfRule type="colorScale" priority="8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N228">
    <cfRule type="colorScale" priority="8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O228">
    <cfRule type="colorScale" priority="8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P228">
    <cfRule type="colorScale" priority="8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Q228">
    <cfRule type="colorScale" priority="8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R228">
    <cfRule type="colorScale" priority="8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S228">
    <cfRule type="colorScale" priority="8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T228">
    <cfRule type="colorScale" priority="7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U228">
    <cfRule type="colorScale" priority="7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V228">
    <cfRule type="colorScale" priority="7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D229">
    <cfRule type="colorScale" priority="7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E229">
    <cfRule type="colorScale" priority="7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F229">
    <cfRule type="colorScale" priority="7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G229">
    <cfRule type="colorScale" priority="7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H229">
    <cfRule type="colorScale" priority="7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I229">
    <cfRule type="colorScale" priority="7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J229">
    <cfRule type="colorScale" priority="7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K229">
    <cfRule type="colorScale" priority="6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L229">
    <cfRule type="colorScale" priority="6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M229">
    <cfRule type="colorScale" priority="6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N229">
    <cfRule type="colorScale" priority="6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O229">
    <cfRule type="colorScale" priority="6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P229">
    <cfRule type="colorScale" priority="6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Q229">
    <cfRule type="colorScale" priority="6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R229">
    <cfRule type="colorScale" priority="6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S229">
    <cfRule type="colorScale" priority="6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T229">
    <cfRule type="colorScale" priority="6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U229">
    <cfRule type="colorScale" priority="5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V229">
    <cfRule type="colorScale" priority="5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D230">
    <cfRule type="colorScale" priority="5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E230">
    <cfRule type="colorScale" priority="5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F230">
    <cfRule type="colorScale" priority="5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G230">
    <cfRule type="colorScale" priority="5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H230">
    <cfRule type="colorScale" priority="5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I230">
    <cfRule type="colorScale" priority="5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J230">
    <cfRule type="colorScale" priority="5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K230">
    <cfRule type="colorScale" priority="5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L230">
    <cfRule type="colorScale" priority="4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M230">
    <cfRule type="colorScale" priority="4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N230">
    <cfRule type="colorScale" priority="4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O230">
    <cfRule type="colorScale" priority="4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P230">
    <cfRule type="colorScale" priority="4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Q230">
    <cfRule type="colorScale" priority="4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R230">
    <cfRule type="colorScale" priority="4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S230">
    <cfRule type="colorScale" priority="4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T230">
    <cfRule type="colorScale" priority="4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U230">
    <cfRule type="colorScale" priority="4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V230">
    <cfRule type="colorScale" priority="3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D231">
    <cfRule type="colorScale" priority="3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E231">
    <cfRule type="colorScale" priority="3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F231">
    <cfRule type="colorScale" priority="3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G231">
    <cfRule type="colorScale" priority="3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H231">
    <cfRule type="colorScale" priority="3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I231">
    <cfRule type="colorScale" priority="3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J231">
    <cfRule type="colorScale" priority="3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K231">
    <cfRule type="colorScale" priority="3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L231">
    <cfRule type="colorScale" priority="3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M231">
    <cfRule type="colorScale" priority="2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N231">
    <cfRule type="colorScale" priority="2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O231">
    <cfRule type="colorScale" priority="2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P231">
    <cfRule type="colorScale" priority="2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Q231">
    <cfRule type="colorScale" priority="2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R231">
    <cfRule type="colorScale" priority="2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S231">
    <cfRule type="colorScale" priority="2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T231">
    <cfRule type="colorScale" priority="2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U231">
    <cfRule type="colorScale" priority="2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V231">
    <cfRule type="colorScale" priority="2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D232">
    <cfRule type="colorScale" priority="1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E232">
    <cfRule type="colorScale" priority="1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F232">
    <cfRule type="colorScale" priority="1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G232">
    <cfRule type="colorScale" priority="1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H232">
    <cfRule type="colorScale" priority="1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I232">
    <cfRule type="colorScale" priority="1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J232">
    <cfRule type="colorScale" priority="1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K232">
    <cfRule type="colorScale" priority="1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L232">
    <cfRule type="colorScale" priority="1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M232">
    <cfRule type="colorScale" priority="10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N232">
    <cfRule type="colorScale" priority="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O232">
    <cfRule type="colorScale" priority="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P232">
    <cfRule type="colorScale" priority="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Q232">
    <cfRule type="colorScale" priority="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R232">
    <cfRule type="colorScale" priority="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S232">
    <cfRule type="colorScale" priority="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T232">
    <cfRule type="colorScale" priority="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U232">
    <cfRule type="colorScale" priority="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V232">
    <cfRule type="colorScale" priority="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pageMargins left="0.511811024" right="0.511811024" top="0.78740157499999996" bottom="0.78740157499999996" header="0.31496062000000002" footer="0.31496062000000002"/>
  <pageSetup paperSize="0" orientation="portrait" horizontalDpi="0" verticalDpi="0" copies="0"/>
  <drawing r:id="rId1"/>
  <legacyDrawing r:id="rId2"/>
  <controls>
    <mc:AlternateContent xmlns:mc="http://schemas.openxmlformats.org/markup-compatibility/2006">
      <mc:Choice Requires="x14">
        <control shapeId="9217" r:id="rId3" name="AtualizarResumo">
          <controlPr defaultSize="0" autoLine="0" autoPict="0" r:id="rId4">
            <anchor moveWithCells="1">
              <from>
                <xdr:col>5</xdr:col>
                <xdr:colOff>38100</xdr:colOff>
                <xdr:row>0</xdr:row>
                <xdr:rowOff>38100</xdr:rowOff>
              </from>
              <to>
                <xdr:col>8</xdr:col>
                <xdr:colOff>19050</xdr:colOff>
                <xdr:row>1</xdr:row>
                <xdr:rowOff>180975</xdr:rowOff>
              </to>
            </anchor>
          </controlPr>
        </control>
      </mc:Choice>
      <mc:Fallback>
        <control shapeId="9217" r:id="rId3" name="AtualizarResumo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8"/>
  <dimension ref="B2:X53"/>
  <sheetViews>
    <sheetView showGridLines="0" zoomScale="85" zoomScaleNormal="85" workbookViewId="0">
      <selection activeCell="D8" sqref="D8"/>
    </sheetView>
  </sheetViews>
  <sheetFormatPr defaultRowHeight="15" x14ac:dyDescent="0.25"/>
  <cols>
    <col min="3" max="3" width="9" style="46"/>
  </cols>
  <sheetData>
    <row r="2" spans="2:24" x14ac:dyDescent="0.25">
      <c r="B2" s="107" t="s">
        <v>984</v>
      </c>
      <c r="C2" s="107"/>
      <c r="D2" s="107"/>
      <c r="E2" s="107"/>
      <c r="F2" s="32"/>
      <c r="G2" s="32"/>
      <c r="H2" s="32"/>
      <c r="I2" s="32"/>
      <c r="J2" s="32"/>
      <c r="K2" s="32"/>
      <c r="L2" s="32"/>
      <c r="M2" s="32"/>
      <c r="N2" s="32"/>
      <c r="O2" s="32"/>
      <c r="P2" s="32"/>
      <c r="Q2" s="32"/>
      <c r="R2" s="32"/>
      <c r="S2" s="32"/>
      <c r="T2" s="32"/>
      <c r="U2" s="32"/>
    </row>
    <row r="3" spans="2:24" x14ac:dyDescent="0.25">
      <c r="B3" s="54" t="s">
        <v>974</v>
      </c>
      <c r="C3" s="55" t="s">
        <v>1291</v>
      </c>
      <c r="D3" s="61">
        <v>1978</v>
      </c>
      <c r="E3" s="61">
        <v>1982</v>
      </c>
      <c r="F3" s="61">
        <v>1991</v>
      </c>
      <c r="G3" s="61">
        <v>1996</v>
      </c>
      <c r="H3" s="61">
        <v>1997</v>
      </c>
      <c r="I3" s="61">
        <v>1998</v>
      </c>
      <c r="J3" s="61">
        <v>1999</v>
      </c>
      <c r="K3" s="61">
        <v>2000</v>
      </c>
      <c r="L3" s="61">
        <v>2001</v>
      </c>
      <c r="M3" s="61">
        <v>2002</v>
      </c>
      <c r="N3" s="61">
        <v>2003</v>
      </c>
      <c r="O3" s="61">
        <v>2004</v>
      </c>
      <c r="P3" s="61">
        <v>2005</v>
      </c>
      <c r="Q3" s="61">
        <v>2006</v>
      </c>
      <c r="R3" s="61">
        <v>2007</v>
      </c>
      <c r="S3" s="61">
        <v>2010</v>
      </c>
      <c r="T3" s="61">
        <v>2011</v>
      </c>
      <c r="U3" s="62">
        <v>2012</v>
      </c>
    </row>
    <row r="4" spans="2:24" x14ac:dyDescent="0.25">
      <c r="B4" s="52" t="s">
        <v>1294</v>
      </c>
      <c r="C4" s="56" t="s">
        <v>1292</v>
      </c>
      <c r="D4" s="68" t="str">
        <f>IF(COUNTIFS(Dados!$E:$E,$B4,Dados!$C:$C,D$3)=0,"",SUMIFS(Dados!$G:$G,Dados!$E:$E,$B4,Dados!$C:$C,D$3)/COUNTIFS(Dados!$E:$E,$B4,Dados!$C:$C,D$3))</f>
        <v/>
      </c>
      <c r="E4" s="68" t="str">
        <f>IF(COUNTIFS(Dados!$E:$E,$B4,Dados!$C:$C,E$3)=0,"",SUMIFS(Dados!$G:$G,Dados!$E:$E,$B4,Dados!$C:$C,E$3)/COUNTIFS(Dados!$E:$E,$B4,Dados!$C:$C,E$3))</f>
        <v/>
      </c>
      <c r="F4" s="68" t="str">
        <f>IF(COUNTIFS(Dados!$E:$E,$B4,Dados!$C:$C,F$3)=0,"",SUMIFS(Dados!$G:$G,Dados!$E:$E,$B4,Dados!$C:$C,F$3)/COUNTIFS(Dados!$E:$E,$B4,Dados!$C:$C,F$3))</f>
        <v/>
      </c>
      <c r="G4" s="68" t="str">
        <f>IF(COUNTIFS(Dados!$E:$E,$B4,Dados!$C:$C,G$3)=0,"",SUMIFS(Dados!$G:$G,Dados!$E:$E,$B4,Dados!$C:$C,G$3)/COUNTIFS(Dados!$E:$E,$B4,Dados!$C:$C,G$3))</f>
        <v/>
      </c>
      <c r="H4" s="68" t="str">
        <f>IF(COUNTIFS(Dados!$E:$E,$B4,Dados!$C:$C,H$3)=0,"",SUMIFS(Dados!$G:$G,Dados!$E:$E,$B4,Dados!$C:$C,H$3)/COUNTIFS(Dados!$E:$E,$B4,Dados!$C:$C,H$3))</f>
        <v/>
      </c>
      <c r="I4" s="68">
        <f>IF(COUNTIFS(Dados!$E:$E,$B4,Dados!$C:$C,I$3)=0,"",SUMIFS(Dados!$G:$G,Dados!$E:$E,$B4,Dados!$C:$C,I$3)/COUNTIFS(Dados!$E:$E,$B4,Dados!$C:$C,I$3))</f>
        <v>0.49003954200000016</v>
      </c>
      <c r="J4" s="68" t="str">
        <f>IF(COUNTIFS(Dados!$E:$E,$B4,Dados!$C:$C,J$3)=0,"",SUMIFS(Dados!$G:$G,Dados!$E:$E,$B4,Dados!$C:$C,J$3)/COUNTIFS(Dados!$E:$E,$B4,Dados!$C:$C,J$3))</f>
        <v/>
      </c>
      <c r="K4" s="68" t="str">
        <f>IF(COUNTIFS(Dados!$E:$E,$B4,Dados!$C:$C,K$3)=0,"",SUMIFS(Dados!$G:$G,Dados!$E:$E,$B4,Dados!$C:$C,K$3)/COUNTIFS(Dados!$E:$E,$B4,Dados!$C:$C,K$3))</f>
        <v/>
      </c>
      <c r="L4" s="68" t="str">
        <f>IF(COUNTIFS(Dados!$E:$E,$B4,Dados!$C:$C,L$3)=0,"",SUMIFS(Dados!$G:$G,Dados!$E:$E,$B4,Dados!$C:$C,L$3)/COUNTIFS(Dados!$E:$E,$B4,Dados!$C:$C,L$3))</f>
        <v/>
      </c>
      <c r="M4" s="68" t="str">
        <f>IF(COUNTIFS(Dados!$E:$E,$B4,Dados!$C:$C,M$3)=0,"",SUMIFS(Dados!$G:$G,Dados!$E:$E,$B4,Dados!$C:$C,M$3)/COUNTIFS(Dados!$E:$E,$B4,Dados!$C:$C,M$3))</f>
        <v/>
      </c>
      <c r="N4" s="68" t="str">
        <f>IF(COUNTIFS(Dados!$E:$E,$B4,Dados!$C:$C,N$3)=0,"",SUMIFS(Dados!$G:$G,Dados!$E:$E,$B4,Dados!$C:$C,N$3)/COUNTIFS(Dados!$E:$E,$B4,Dados!$C:$C,N$3))</f>
        <v/>
      </c>
      <c r="O4" s="68" t="str">
        <f>IF(COUNTIFS(Dados!$E:$E,$B4,Dados!$C:$C,O$3)=0,"",SUMIFS(Dados!$G:$G,Dados!$E:$E,$B4,Dados!$C:$C,O$3)/COUNTIFS(Dados!$E:$E,$B4,Dados!$C:$C,O$3))</f>
        <v/>
      </c>
      <c r="P4" s="68" t="str">
        <f>IF(COUNTIFS(Dados!$E:$E,$B4,Dados!$C:$C,P$3)=0,"",SUMIFS(Dados!$G:$G,Dados!$E:$E,$B4,Dados!$C:$C,P$3)/COUNTIFS(Dados!$E:$E,$B4,Dados!$C:$C,P$3))</f>
        <v/>
      </c>
      <c r="Q4" s="68">
        <f>IF(COUNTIFS(Dados!$E:$E,$B4,Dados!$C:$C,Q$3)=0,"",SUMIFS(Dados!$G:$G,Dados!$E:$E,$B4,Dados!$C:$C,Q$3)/COUNTIFS(Dados!$E:$E,$B4,Dados!$C:$C,Q$3))</f>
        <v>0.91919746514641842</v>
      </c>
      <c r="R4" s="68">
        <f>IF(COUNTIFS(Dados!$E:$E,$B4,Dados!$C:$C,R$3)=0,"",SUMIFS(Dados!$G:$G,Dados!$E:$E,$B4,Dados!$C:$C,R$3)/COUNTIFS(Dados!$E:$E,$B4,Dados!$C:$C,R$3))</f>
        <v>0.82280094301215467</v>
      </c>
      <c r="S4" s="68">
        <f>IF(COUNTIFS(Dados!$E:$E,$B4,Dados!$C:$C,S$3)=0,"",SUMIFS(Dados!$G:$G,Dados!$E:$E,$B4,Dados!$C:$C,S$3)/COUNTIFS(Dados!$E:$E,$B4,Dados!$C:$C,S$3))</f>
        <v>0.5729104662349469</v>
      </c>
      <c r="T4" s="68">
        <f>IF(COUNTIFS(Dados!$E:$E,$B4,Dados!$C:$C,T$3)=0,"",SUMIFS(Dados!$G:$G,Dados!$E:$E,$B4,Dados!$C:$C,T$3)/COUNTIFS(Dados!$E:$E,$B4,Dados!$C:$C,T$3))</f>
        <v>0.57987603162367451</v>
      </c>
      <c r="U4" s="68" t="str">
        <f>IF(COUNTIFS(Dados!$E:$E,$B4,Dados!$C:$C,U$3)=0,"",SUMIFS(Dados!$G:$G,Dados!$E:$E,$B4,Dados!$C:$C,U$3)/COUNTIFS(Dados!$E:$E,$B4,Dados!$C:$C,U$3))</f>
        <v/>
      </c>
      <c r="X4" s="46"/>
    </row>
    <row r="5" spans="2:24" s="46" customFormat="1" x14ac:dyDescent="0.25">
      <c r="B5" s="50" t="s">
        <v>1293</v>
      </c>
      <c r="C5" s="57"/>
      <c r="D5" s="66"/>
      <c r="E5" s="66"/>
      <c r="F5" s="66"/>
      <c r="G5" s="66"/>
      <c r="H5" s="66"/>
      <c r="I5" s="66"/>
      <c r="J5" s="66"/>
      <c r="K5" s="66"/>
      <c r="L5" s="66"/>
      <c r="M5" s="66"/>
      <c r="N5" s="66"/>
      <c r="O5" s="66"/>
      <c r="P5" s="66"/>
      <c r="Q5" s="66"/>
      <c r="R5" s="66"/>
      <c r="S5" s="66"/>
      <c r="T5" s="66"/>
      <c r="U5" s="66"/>
    </row>
    <row r="6" spans="2:24" x14ac:dyDescent="0.25">
      <c r="B6" s="33" t="s">
        <v>983</v>
      </c>
      <c r="C6" s="33"/>
      <c r="D6" s="58" t="s">
        <v>978</v>
      </c>
      <c r="E6" s="73">
        <v>1.5</v>
      </c>
      <c r="F6" s="60"/>
      <c r="G6" s="60"/>
      <c r="H6" s="60"/>
      <c r="I6" s="60"/>
      <c r="J6" s="60"/>
      <c r="K6" s="60"/>
      <c r="L6" s="60"/>
      <c r="M6" s="60"/>
      <c r="N6" s="60"/>
      <c r="O6" s="60"/>
      <c r="P6" s="60"/>
      <c r="Q6" s="60"/>
      <c r="R6" s="60"/>
      <c r="S6" s="60"/>
      <c r="T6" s="60"/>
      <c r="U6" s="60"/>
    </row>
    <row r="7" spans="2:24" x14ac:dyDescent="0.25">
      <c r="B7" s="48" t="s">
        <v>974</v>
      </c>
      <c r="C7" s="49"/>
      <c r="D7" s="61">
        <v>1978</v>
      </c>
      <c r="E7" s="61">
        <v>1982</v>
      </c>
      <c r="F7" s="61">
        <v>1991</v>
      </c>
      <c r="G7" s="61">
        <v>1996</v>
      </c>
      <c r="H7" s="61">
        <v>1997</v>
      </c>
      <c r="I7" s="61">
        <v>1998</v>
      </c>
      <c r="J7" s="61">
        <v>1999</v>
      </c>
      <c r="K7" s="61">
        <v>2000</v>
      </c>
      <c r="L7" s="61">
        <v>2001</v>
      </c>
      <c r="M7" s="61">
        <v>2002</v>
      </c>
      <c r="N7" s="61">
        <v>2003</v>
      </c>
      <c r="O7" s="61">
        <v>2004</v>
      </c>
      <c r="P7" s="61">
        <v>2005</v>
      </c>
      <c r="Q7" s="61">
        <v>2006</v>
      </c>
      <c r="R7" s="61">
        <v>2007</v>
      </c>
      <c r="S7" s="61">
        <v>2010</v>
      </c>
      <c r="T7" s="61">
        <v>2011</v>
      </c>
      <c r="U7" s="62">
        <v>2012</v>
      </c>
    </row>
    <row r="8" spans="2:24" x14ac:dyDescent="0.25">
      <c r="B8" s="52" t="s">
        <v>1294</v>
      </c>
      <c r="C8" s="56" t="s">
        <v>1292</v>
      </c>
      <c r="D8" s="68" t="str">
        <f>IF(COUNTIFS(Dados!$E:$E,$B8,Dados!$C:$C,INDEX(D$3,1,1),Dados!$A:$A,INDEX($D:$E,MATCH("Y",$D:$D,0),2))=0,"",SUMIFS(Dados!$G:$G,Dados!$E:$E,$B8,Dados!$C:$C,INDEX(D$3,1,1),Dados!$A:$A,INDEX($D:$E,MATCH("Y",$D:$D,0),2))/COUNTIFS(Dados!$E:$E,$B8,Dados!$C:$C,INDEX(D$3,1,1),Dados!$A:$A,INDEX($D:$E,MATCH("Y",$D:$D,0),2)))</f>
        <v/>
      </c>
      <c r="E8" s="68" t="str">
        <f>IF(COUNTIFS(Dados!$E:$E,$B8,Dados!$C:$C,INDEX(E$3,1,1),Dados!$A:$A,INDEX($D:$E,MATCH("Y",$D:$D,0),2))=0,"",SUMIFS(Dados!$G:$G,Dados!$E:$E,$B8,Dados!$C:$C,INDEX(E$3,1,1),Dados!$A:$A,INDEX($D:$E,MATCH("Y",$D:$D,0),2))/COUNTIFS(Dados!$E:$E,$B8,Dados!$C:$C,INDEX(E$3,1,1),Dados!$A:$A,INDEX($D:$E,MATCH("Y",$D:$D,0),2)))</f>
        <v/>
      </c>
      <c r="F8" s="68" t="str">
        <f>IF(COUNTIFS(Dados!$E:$E,$B8,Dados!$C:$C,INDEX(F$3,1,1),Dados!$A:$A,INDEX($D:$E,MATCH("Y",$D:$D,0),2))=0,"",SUMIFS(Dados!$G:$G,Dados!$E:$E,$B8,Dados!$C:$C,INDEX(F$3,1,1),Dados!$A:$A,INDEX($D:$E,MATCH("Y",$D:$D,0),2))/COUNTIFS(Dados!$E:$E,$B8,Dados!$C:$C,INDEX(F$3,1,1),Dados!$A:$A,INDEX($D:$E,MATCH("Y",$D:$D,0),2)))</f>
        <v/>
      </c>
      <c r="G8" s="68" t="str">
        <f>IF(COUNTIFS(Dados!$E:$E,$B8,Dados!$C:$C,INDEX(G$3,1,1),Dados!$A:$A,INDEX($D:$E,MATCH("Y",$D:$D,0),2))=0,"",SUMIFS(Dados!$G:$G,Dados!$E:$E,$B8,Dados!$C:$C,INDEX(G$3,1,1),Dados!$A:$A,INDEX($D:$E,MATCH("Y",$D:$D,0),2))/COUNTIFS(Dados!$E:$E,$B8,Dados!$C:$C,INDEX(G$3,1,1),Dados!$A:$A,INDEX($D:$E,MATCH("Y",$D:$D,0),2)))</f>
        <v/>
      </c>
      <c r="H8" s="68" t="str">
        <f>IF(COUNTIFS(Dados!$E:$E,$B8,Dados!$C:$C,INDEX(H$3,1,1),Dados!$A:$A,INDEX($D:$E,MATCH("Y",$D:$D,0),2))=0,"",SUMIFS(Dados!$G:$G,Dados!$E:$E,$B8,Dados!$C:$C,INDEX(H$3,1,1),Dados!$A:$A,INDEX($D:$E,MATCH("Y",$D:$D,0),2))/COUNTIFS(Dados!$E:$E,$B8,Dados!$C:$C,INDEX(H$3,1,1),Dados!$A:$A,INDEX($D:$E,MATCH("Y",$D:$D,0),2)))</f>
        <v/>
      </c>
      <c r="I8" s="68">
        <f>IF(COUNTIFS(Dados!$E:$E,$B8,Dados!$C:$C,INDEX(I$3,1,1),Dados!$A:$A,INDEX($D:$E,MATCH("Y",$D:$D,0),2))=0,"",SUMIFS(Dados!$G:$G,Dados!$E:$E,$B8,Dados!$C:$C,INDEX(I$3,1,1),Dados!$A:$A,INDEX($D:$E,MATCH("Y",$D:$D,0),2))/COUNTIFS(Dados!$E:$E,$B8,Dados!$C:$C,INDEX(I$3,1,1),Dados!$A:$A,INDEX($D:$E,MATCH("Y",$D:$D,0),2)))</f>
        <v>0.49003954200000016</v>
      </c>
      <c r="J8" s="68" t="str">
        <f>IF(COUNTIFS(Dados!$E:$E,$B8,Dados!$C:$C,INDEX(J$3,1,1),Dados!$A:$A,INDEX($D:$E,MATCH("Y",$D:$D,0),2))=0,"",SUMIFS(Dados!$G:$G,Dados!$E:$E,$B8,Dados!$C:$C,INDEX(J$3,1,1),Dados!$A:$A,INDEX($D:$E,MATCH("Y",$D:$D,0),2))/COUNTIFS(Dados!$E:$E,$B8,Dados!$C:$C,INDEX(J$3,1,1),Dados!$A:$A,INDEX($D:$E,MATCH("Y",$D:$D,0),2)))</f>
        <v/>
      </c>
      <c r="K8" s="68" t="str">
        <f>IF(COUNTIFS(Dados!$E:$E,$B8,Dados!$C:$C,INDEX(K$3,1,1),Dados!$A:$A,INDEX($D:$E,MATCH("Y",$D:$D,0),2))=0,"",SUMIFS(Dados!$G:$G,Dados!$E:$E,$B8,Dados!$C:$C,INDEX(K$3,1,1),Dados!$A:$A,INDEX($D:$E,MATCH("Y",$D:$D,0),2))/COUNTIFS(Dados!$E:$E,$B8,Dados!$C:$C,INDEX(K$3,1,1),Dados!$A:$A,INDEX($D:$E,MATCH("Y",$D:$D,0),2)))</f>
        <v/>
      </c>
      <c r="L8" s="68" t="str">
        <f>IF(COUNTIFS(Dados!$E:$E,$B8,Dados!$C:$C,INDEX(L$3,1,1),Dados!$A:$A,INDEX($D:$E,MATCH("Y",$D:$D,0),2))=0,"",SUMIFS(Dados!$G:$G,Dados!$E:$E,$B8,Dados!$C:$C,INDEX(L$3,1,1),Dados!$A:$A,INDEX($D:$E,MATCH("Y",$D:$D,0),2))/COUNTIFS(Dados!$E:$E,$B8,Dados!$C:$C,INDEX(L$3,1,1),Dados!$A:$A,INDEX($D:$E,MATCH("Y",$D:$D,0),2)))</f>
        <v/>
      </c>
      <c r="M8" s="68" t="str">
        <f>IF(COUNTIFS(Dados!$E:$E,$B8,Dados!$C:$C,INDEX(M$3,1,1),Dados!$A:$A,INDEX($D:$E,MATCH("Y",$D:$D,0),2))=0,"",SUMIFS(Dados!$G:$G,Dados!$E:$E,$B8,Dados!$C:$C,INDEX(M$3,1,1),Dados!$A:$A,INDEX($D:$E,MATCH("Y",$D:$D,0),2))/COUNTIFS(Dados!$E:$E,$B8,Dados!$C:$C,INDEX(M$3,1,1),Dados!$A:$A,INDEX($D:$E,MATCH("Y",$D:$D,0),2)))</f>
        <v/>
      </c>
      <c r="N8" s="68" t="str">
        <f>IF(COUNTIFS(Dados!$E:$E,$B8,Dados!$C:$C,INDEX(N$3,1,1),Dados!$A:$A,INDEX($D:$E,MATCH("Y",$D:$D,0),2))=0,"",SUMIFS(Dados!$G:$G,Dados!$E:$E,$B8,Dados!$C:$C,INDEX(N$3,1,1),Dados!$A:$A,INDEX($D:$E,MATCH("Y",$D:$D,0),2))/COUNTIFS(Dados!$E:$E,$B8,Dados!$C:$C,INDEX(N$3,1,1),Dados!$A:$A,INDEX($D:$E,MATCH("Y",$D:$D,0),2)))</f>
        <v/>
      </c>
      <c r="O8" s="68" t="str">
        <f>IF(COUNTIFS(Dados!$E:$E,$B8,Dados!$C:$C,INDEX(O$3,1,1),Dados!$A:$A,INDEX($D:$E,MATCH("Y",$D:$D,0),2))=0,"",SUMIFS(Dados!$G:$G,Dados!$E:$E,$B8,Dados!$C:$C,INDEX(O$3,1,1),Dados!$A:$A,INDEX($D:$E,MATCH("Y",$D:$D,0),2))/COUNTIFS(Dados!$E:$E,$B8,Dados!$C:$C,INDEX(O$3,1,1),Dados!$A:$A,INDEX($D:$E,MATCH("Y",$D:$D,0),2)))</f>
        <v/>
      </c>
      <c r="P8" s="68" t="str">
        <f>IF(COUNTIFS(Dados!$E:$E,$B8,Dados!$C:$C,INDEX(P$3,1,1),Dados!$A:$A,INDEX($D:$E,MATCH("Y",$D:$D,0),2))=0,"",SUMIFS(Dados!$G:$G,Dados!$E:$E,$B8,Dados!$C:$C,INDEX(P$3,1,1),Dados!$A:$A,INDEX($D:$E,MATCH("Y",$D:$D,0),2))/COUNTIFS(Dados!$E:$E,$B8,Dados!$C:$C,INDEX(P$3,1,1),Dados!$A:$A,INDEX($D:$E,MATCH("Y",$D:$D,0),2)))</f>
        <v/>
      </c>
      <c r="Q8" s="68" t="str">
        <f>IF(COUNTIFS(Dados!$E:$E,$B8,Dados!$C:$C,INDEX(Q$3,1,1),Dados!$A:$A,INDEX($D:$E,MATCH("Y",$D:$D,0),2))=0,"",SUMIFS(Dados!$G:$G,Dados!$E:$E,$B8,Dados!$C:$C,INDEX(Q$3,1,1),Dados!$A:$A,INDEX($D:$E,MATCH("Y",$D:$D,0),2))/COUNTIFS(Dados!$E:$E,$B8,Dados!$C:$C,INDEX(Q$3,1,1),Dados!$A:$A,INDEX($D:$E,MATCH("Y",$D:$D,0),2)))</f>
        <v/>
      </c>
      <c r="R8" s="68" t="str">
        <f>IF(COUNTIFS(Dados!$E:$E,$B8,Dados!$C:$C,INDEX(R$3,1,1),Dados!$A:$A,INDEX($D:$E,MATCH("Y",$D:$D,0),2))=0,"",SUMIFS(Dados!$G:$G,Dados!$E:$E,$B8,Dados!$C:$C,INDEX(R$3,1,1),Dados!$A:$A,INDEX($D:$E,MATCH("Y",$D:$D,0),2))/COUNTIFS(Dados!$E:$E,$B8,Dados!$C:$C,INDEX(R$3,1,1),Dados!$A:$A,INDEX($D:$E,MATCH("Y",$D:$D,0),2)))</f>
        <v/>
      </c>
      <c r="S8" s="68">
        <f>IF(COUNTIFS(Dados!$E:$E,$B8,Dados!$C:$C,INDEX(S$3,1,1),Dados!$A:$A,INDEX($D:$E,MATCH("Y",$D:$D,0),2))=0,"",SUMIFS(Dados!$G:$G,Dados!$E:$E,$B8,Dados!$C:$C,INDEX(S$3,1,1),Dados!$A:$A,INDEX($D:$E,MATCH("Y",$D:$D,0),2))/COUNTIFS(Dados!$E:$E,$B8,Dados!$C:$C,INDEX(S$3,1,1),Dados!$A:$A,INDEX($D:$E,MATCH("Y",$D:$D,0),2)))</f>
        <v>0.64546846346490538</v>
      </c>
      <c r="T8" s="68">
        <f>IF(COUNTIFS(Dados!$E:$E,$B8,Dados!$C:$C,INDEX(T$3,1,1),Dados!$A:$A,INDEX($D:$E,MATCH("Y",$D:$D,0),2))=0,"",SUMIFS(Dados!$G:$G,Dados!$E:$E,$B8,Dados!$C:$C,INDEX(T$3,1,1),Dados!$A:$A,INDEX($D:$E,MATCH("Y",$D:$D,0),2))/COUNTIFS(Dados!$E:$E,$B8,Dados!$C:$C,INDEX(T$3,1,1),Dados!$A:$A,INDEX($D:$E,MATCH("Y",$D:$D,0),2)))</f>
        <v>0.64991183730228375</v>
      </c>
      <c r="U8" s="68" t="str">
        <f>IF(COUNTIFS(Dados!$E:$E,$B8,Dados!$C:$C,INDEX(U$3,1,1),Dados!$A:$A,INDEX($D:$E,MATCH("Y",$D:$D,0),2))=0,"",SUMIFS(Dados!$G:$G,Dados!$E:$E,$B8,Dados!$C:$C,INDEX(U$3,1,1),Dados!$A:$A,INDEX($D:$E,MATCH("Y",$D:$D,0),2))/COUNTIFS(Dados!$E:$E,$B8,Dados!$C:$C,INDEX(U$3,1,1),Dados!$A:$A,INDEX($D:$E,MATCH("Y",$D:$D,0),2)))</f>
        <v/>
      </c>
    </row>
    <row r="9" spans="2:24" s="46" customFormat="1" x14ac:dyDescent="0.25">
      <c r="B9" s="50" t="s">
        <v>1293</v>
      </c>
      <c r="C9" s="57"/>
      <c r="D9" s="66"/>
      <c r="E9" s="66"/>
      <c r="F9" s="66"/>
      <c r="G9" s="66"/>
      <c r="H9" s="66"/>
      <c r="I9" s="66"/>
      <c r="J9" s="66"/>
      <c r="K9" s="66"/>
      <c r="L9" s="66"/>
      <c r="M9" s="66"/>
      <c r="N9" s="66"/>
      <c r="O9" s="66"/>
      <c r="P9" s="66"/>
      <c r="Q9" s="66"/>
      <c r="R9" s="66"/>
      <c r="S9" s="66"/>
      <c r="T9" s="66"/>
      <c r="U9" s="66"/>
    </row>
    <row r="10" spans="2:24" x14ac:dyDescent="0.25">
      <c r="B10" s="33" t="s">
        <v>983</v>
      </c>
      <c r="C10" s="58"/>
      <c r="D10" s="58" t="s">
        <v>977</v>
      </c>
      <c r="E10" s="73">
        <v>3</v>
      </c>
      <c r="F10" s="60"/>
      <c r="G10" s="60"/>
      <c r="H10" s="60"/>
      <c r="I10" s="60"/>
      <c r="J10" s="60"/>
      <c r="K10" s="60"/>
      <c r="L10" s="60"/>
      <c r="M10" s="60"/>
      <c r="N10" s="60"/>
      <c r="O10" s="60"/>
      <c r="P10" s="60"/>
      <c r="Q10" s="60"/>
      <c r="R10" s="60"/>
      <c r="S10" s="60"/>
      <c r="T10" s="60"/>
      <c r="U10" s="60"/>
    </row>
    <row r="11" spans="2:24" x14ac:dyDescent="0.25">
      <c r="B11" s="48" t="s">
        <v>974</v>
      </c>
      <c r="C11" s="55"/>
      <c r="D11" s="61">
        <v>1978</v>
      </c>
      <c r="E11" s="61">
        <v>1982</v>
      </c>
      <c r="F11" s="61">
        <v>1991</v>
      </c>
      <c r="G11" s="61">
        <v>1996</v>
      </c>
      <c r="H11" s="61">
        <v>1997</v>
      </c>
      <c r="I11" s="61">
        <v>1998</v>
      </c>
      <c r="J11" s="61">
        <v>1999</v>
      </c>
      <c r="K11" s="61">
        <v>2000</v>
      </c>
      <c r="L11" s="61">
        <v>2001</v>
      </c>
      <c r="M11" s="61">
        <v>2002</v>
      </c>
      <c r="N11" s="61">
        <v>2003</v>
      </c>
      <c r="O11" s="61">
        <v>2004</v>
      </c>
      <c r="P11" s="61">
        <v>2005</v>
      </c>
      <c r="Q11" s="61">
        <v>2006</v>
      </c>
      <c r="R11" s="61">
        <v>2007</v>
      </c>
      <c r="S11" s="61">
        <v>2010</v>
      </c>
      <c r="T11" s="61">
        <v>2011</v>
      </c>
      <c r="U11" s="62">
        <v>2012</v>
      </c>
    </row>
    <row r="12" spans="2:24" x14ac:dyDescent="0.25">
      <c r="B12" s="52" t="s">
        <v>1294</v>
      </c>
      <c r="C12" s="56" t="s">
        <v>1292</v>
      </c>
      <c r="D12" s="68" t="str">
        <f>IF(COUNTIFS(Dados!$E:$E,$B12,Dados!$C:$C,INDEX(D$3,1,1),Dados!$A:$A,INDEX($D:$E,MATCH("A",$D:$D,0),2))=0,"",SUMIFS(Dados!$G:$G,Dados!$E:$E,$B12,Dados!$C:$C,INDEX(D$3,1,1),Dados!$A:$A,INDEX($D:$E,MATCH("A",$D:$D,0),2))/COUNTIFS(Dados!$E:$E,$B12,Dados!$C:$C,INDEX(D$3,1,1),Dados!$A:$A,INDEX($D:$E,MATCH("A",$D:$D,0),2)))</f>
        <v/>
      </c>
      <c r="E12" s="68" t="str">
        <f>IF(COUNTIFS(Dados!$E:$E,$B12,Dados!$C:$C,INDEX(E$3,1,1),Dados!$A:$A,INDEX($D:$E,MATCH("A",$D:$D,0),2))=0,"",SUMIFS(Dados!$G:$G,Dados!$E:$E,$B12,Dados!$C:$C,INDEX(E$3,1,1),Dados!$A:$A,INDEX($D:$E,MATCH("A",$D:$D,0),2))/COUNTIFS(Dados!$E:$E,$B12,Dados!$C:$C,INDEX(E$3,1,1),Dados!$A:$A,INDEX($D:$E,MATCH("A",$D:$D,0),2)))</f>
        <v/>
      </c>
      <c r="F12" s="68" t="str">
        <f>IF(COUNTIFS(Dados!$E:$E,$B12,Dados!$C:$C,INDEX(F$3,1,1),Dados!$A:$A,INDEX($D:$E,MATCH("A",$D:$D,0),2))=0,"",SUMIFS(Dados!$G:$G,Dados!$E:$E,$B12,Dados!$C:$C,INDEX(F$3,1,1),Dados!$A:$A,INDEX($D:$E,MATCH("A",$D:$D,0),2))/COUNTIFS(Dados!$E:$E,$B12,Dados!$C:$C,INDEX(F$3,1,1),Dados!$A:$A,INDEX($D:$E,MATCH("A",$D:$D,0),2)))</f>
        <v/>
      </c>
      <c r="G12" s="68" t="str">
        <f>IF(COUNTIFS(Dados!$E:$E,$B12,Dados!$C:$C,INDEX(G$3,1,1),Dados!$A:$A,INDEX($D:$E,MATCH("A",$D:$D,0),2))=0,"",SUMIFS(Dados!$G:$G,Dados!$E:$E,$B12,Dados!$C:$C,INDEX(G$3,1,1),Dados!$A:$A,INDEX($D:$E,MATCH("A",$D:$D,0),2))/COUNTIFS(Dados!$E:$E,$B12,Dados!$C:$C,INDEX(G$3,1,1),Dados!$A:$A,INDEX($D:$E,MATCH("A",$D:$D,0),2)))</f>
        <v/>
      </c>
      <c r="H12" s="68" t="str">
        <f>IF(COUNTIFS(Dados!$E:$E,$B12,Dados!$C:$C,INDEX(H$3,1,1),Dados!$A:$A,INDEX($D:$E,MATCH("A",$D:$D,0),2))=0,"",SUMIFS(Dados!$G:$G,Dados!$E:$E,$B12,Dados!$C:$C,INDEX(H$3,1,1),Dados!$A:$A,INDEX($D:$E,MATCH("A",$D:$D,0),2))/COUNTIFS(Dados!$E:$E,$B12,Dados!$C:$C,INDEX(H$3,1,1),Dados!$A:$A,INDEX($D:$E,MATCH("A",$D:$D,0),2)))</f>
        <v/>
      </c>
      <c r="I12" s="68" t="str">
        <f>IF(COUNTIFS(Dados!$E:$E,$B12,Dados!$C:$C,INDEX(I$3,1,1),Dados!$A:$A,INDEX($D:$E,MATCH("A",$D:$D,0),2))=0,"",SUMIFS(Dados!$G:$G,Dados!$E:$E,$B12,Dados!$C:$C,INDEX(I$3,1,1),Dados!$A:$A,INDEX($D:$E,MATCH("A",$D:$D,0),2))/COUNTIFS(Dados!$E:$E,$B12,Dados!$C:$C,INDEX(I$3,1,1),Dados!$A:$A,INDEX($D:$E,MATCH("A",$D:$D,0),2)))</f>
        <v/>
      </c>
      <c r="J12" s="68" t="str">
        <f>IF(COUNTIFS(Dados!$E:$E,$B12,Dados!$C:$C,INDEX(J$3,1,1),Dados!$A:$A,INDEX($D:$E,MATCH("A",$D:$D,0),2))=0,"",SUMIFS(Dados!$G:$G,Dados!$E:$E,$B12,Dados!$C:$C,INDEX(J$3,1,1),Dados!$A:$A,INDEX($D:$E,MATCH("A",$D:$D,0),2))/COUNTIFS(Dados!$E:$E,$B12,Dados!$C:$C,INDEX(J$3,1,1),Dados!$A:$A,INDEX($D:$E,MATCH("A",$D:$D,0),2)))</f>
        <v/>
      </c>
      <c r="K12" s="68" t="str">
        <f>IF(COUNTIFS(Dados!$E:$E,$B12,Dados!$C:$C,INDEX(K$3,1,1),Dados!$A:$A,INDEX($D:$E,MATCH("A",$D:$D,0),2))=0,"",SUMIFS(Dados!$G:$G,Dados!$E:$E,$B12,Dados!$C:$C,INDEX(K$3,1,1),Dados!$A:$A,INDEX($D:$E,MATCH("A",$D:$D,0),2))/COUNTIFS(Dados!$E:$E,$B12,Dados!$C:$C,INDEX(K$3,1,1),Dados!$A:$A,INDEX($D:$E,MATCH("A",$D:$D,0),2)))</f>
        <v/>
      </c>
      <c r="L12" s="68" t="str">
        <f>IF(COUNTIFS(Dados!$E:$E,$B12,Dados!$C:$C,INDEX(L$3,1,1),Dados!$A:$A,INDEX($D:$E,MATCH("A",$D:$D,0),2))=0,"",SUMIFS(Dados!$G:$G,Dados!$E:$E,$B12,Dados!$C:$C,INDEX(L$3,1,1),Dados!$A:$A,INDEX($D:$E,MATCH("A",$D:$D,0),2))/COUNTIFS(Dados!$E:$E,$B12,Dados!$C:$C,INDEX(L$3,1,1),Dados!$A:$A,INDEX($D:$E,MATCH("A",$D:$D,0),2)))</f>
        <v/>
      </c>
      <c r="M12" s="68" t="str">
        <f>IF(COUNTIFS(Dados!$E:$E,$B12,Dados!$C:$C,INDEX(M$3,1,1),Dados!$A:$A,INDEX($D:$E,MATCH("A",$D:$D,0),2))=0,"",SUMIFS(Dados!$G:$G,Dados!$E:$E,$B12,Dados!$C:$C,INDEX(M$3,1,1),Dados!$A:$A,INDEX($D:$E,MATCH("A",$D:$D,0),2))/COUNTIFS(Dados!$E:$E,$B12,Dados!$C:$C,INDEX(M$3,1,1),Dados!$A:$A,INDEX($D:$E,MATCH("A",$D:$D,0),2)))</f>
        <v/>
      </c>
      <c r="N12" s="68" t="str">
        <f>IF(COUNTIFS(Dados!$E:$E,$B12,Dados!$C:$C,INDEX(N$3,1,1),Dados!$A:$A,INDEX($D:$E,MATCH("A",$D:$D,0),2))=0,"",SUMIFS(Dados!$G:$G,Dados!$E:$E,$B12,Dados!$C:$C,INDEX(N$3,1,1),Dados!$A:$A,INDEX($D:$E,MATCH("A",$D:$D,0),2))/COUNTIFS(Dados!$E:$E,$B12,Dados!$C:$C,INDEX(N$3,1,1),Dados!$A:$A,INDEX($D:$E,MATCH("A",$D:$D,0),2)))</f>
        <v/>
      </c>
      <c r="O12" s="68" t="str">
        <f>IF(COUNTIFS(Dados!$E:$E,$B12,Dados!$C:$C,INDEX(O$3,1,1),Dados!$A:$A,INDEX($D:$E,MATCH("A",$D:$D,0),2))=0,"",SUMIFS(Dados!$G:$G,Dados!$E:$E,$B12,Dados!$C:$C,INDEX(O$3,1,1),Dados!$A:$A,INDEX($D:$E,MATCH("A",$D:$D,0),2))/COUNTIFS(Dados!$E:$E,$B12,Dados!$C:$C,INDEX(O$3,1,1),Dados!$A:$A,INDEX($D:$E,MATCH("A",$D:$D,0),2)))</f>
        <v/>
      </c>
      <c r="P12" s="68" t="str">
        <f>IF(COUNTIFS(Dados!$E:$E,$B12,Dados!$C:$C,INDEX(P$3,1,1),Dados!$A:$A,INDEX($D:$E,MATCH("A",$D:$D,0),2))=0,"",SUMIFS(Dados!$G:$G,Dados!$E:$E,$B12,Dados!$C:$C,INDEX(P$3,1,1),Dados!$A:$A,INDEX($D:$E,MATCH("A",$D:$D,0),2))/COUNTIFS(Dados!$E:$E,$B12,Dados!$C:$C,INDEX(P$3,1,1),Dados!$A:$A,INDEX($D:$E,MATCH("A",$D:$D,0),2)))</f>
        <v/>
      </c>
      <c r="Q12" s="68">
        <f>IF(COUNTIFS(Dados!$E:$E,$B12,Dados!$C:$C,INDEX(Q$3,1,1),Dados!$A:$A,INDEX($D:$E,MATCH("A",$D:$D,0),2))=0,"",SUMIFS(Dados!$G:$G,Dados!$E:$E,$B12,Dados!$C:$C,INDEX(Q$3,1,1),Dados!$A:$A,INDEX($D:$E,MATCH("A",$D:$D,0),2))/COUNTIFS(Dados!$E:$E,$B12,Dados!$C:$C,INDEX(Q$3,1,1),Dados!$A:$A,INDEX($D:$E,MATCH("A",$D:$D,0),2)))</f>
        <v>0.96036940211019095</v>
      </c>
      <c r="R12" s="68">
        <f>IF(COUNTIFS(Dados!$E:$E,$B12,Dados!$C:$C,INDEX(R$3,1,1),Dados!$A:$A,INDEX($D:$E,MATCH("A",$D:$D,0),2))=0,"",SUMIFS(Dados!$G:$G,Dados!$E:$E,$B12,Dados!$C:$C,INDEX(R$3,1,1),Dados!$A:$A,INDEX($D:$E,MATCH("A",$D:$D,0),2))/COUNTIFS(Dados!$E:$E,$B12,Dados!$C:$C,INDEX(R$3,1,1),Dados!$A:$A,INDEX($D:$E,MATCH("A",$D:$D,0),2)))</f>
        <v>0.86392002572012028</v>
      </c>
      <c r="S12" s="68" t="str">
        <f>IF(COUNTIFS(Dados!$E:$E,$B12,Dados!$C:$C,INDEX(S$3,1,1),Dados!$A:$A,INDEX($D:$E,MATCH("A",$D:$D,0),2))=0,"",SUMIFS(Dados!$G:$G,Dados!$E:$E,$B12,Dados!$C:$C,INDEX(S$3,1,1),Dados!$A:$A,INDEX($D:$E,MATCH("A",$D:$D,0),2))/COUNTIFS(Dados!$E:$E,$B12,Dados!$C:$C,INDEX(S$3,1,1),Dados!$A:$A,INDEX($D:$E,MATCH("A",$D:$D,0),2)))</f>
        <v/>
      </c>
      <c r="T12" s="68" t="str">
        <f>IF(COUNTIFS(Dados!$E:$E,$B12,Dados!$C:$C,INDEX(T$3,1,1),Dados!$A:$A,INDEX($D:$E,MATCH("A",$D:$D,0),2))=0,"",SUMIFS(Dados!$G:$G,Dados!$E:$E,$B12,Dados!$C:$C,INDEX(T$3,1,1),Dados!$A:$A,INDEX($D:$E,MATCH("A",$D:$D,0),2))/COUNTIFS(Dados!$E:$E,$B12,Dados!$C:$C,INDEX(T$3,1,1),Dados!$A:$A,INDEX($D:$E,MATCH("A",$D:$D,0),2)))</f>
        <v/>
      </c>
      <c r="U12" s="68" t="str">
        <f>IF(COUNTIFS(Dados!$E:$E,$B12,Dados!$C:$C,INDEX(U$3,1,1),Dados!$A:$A,INDEX($D:$E,MATCH("A",$D:$D,0),2))=0,"",SUMIFS(Dados!$G:$G,Dados!$E:$E,$B12,Dados!$C:$C,INDEX(U$3,1,1),Dados!$A:$A,INDEX($D:$E,MATCH("A",$D:$D,0),2))/COUNTIFS(Dados!$E:$E,$B12,Dados!$C:$C,INDEX(U$3,1,1),Dados!$A:$A,INDEX($D:$E,MATCH("A",$D:$D,0),2)))</f>
        <v/>
      </c>
    </row>
    <row r="13" spans="2:24" s="46" customFormat="1" x14ac:dyDescent="0.25">
      <c r="B13" s="50" t="s">
        <v>1293</v>
      </c>
      <c r="C13" s="57"/>
      <c r="D13" s="66"/>
      <c r="E13" s="66"/>
      <c r="F13" s="66"/>
      <c r="G13" s="66"/>
      <c r="H13" s="66"/>
      <c r="I13" s="66"/>
      <c r="J13" s="66"/>
      <c r="K13" s="66"/>
      <c r="L13" s="66"/>
      <c r="M13" s="66"/>
      <c r="N13" s="66"/>
      <c r="O13" s="66"/>
      <c r="P13" s="66"/>
      <c r="Q13" s="66"/>
      <c r="R13" s="66"/>
      <c r="S13" s="66"/>
      <c r="T13" s="66"/>
      <c r="U13" s="66"/>
    </row>
    <row r="14" spans="2:24" x14ac:dyDescent="0.25">
      <c r="B14" s="34" t="s">
        <v>983</v>
      </c>
      <c r="C14" s="58"/>
      <c r="D14" s="58" t="s">
        <v>979</v>
      </c>
      <c r="E14" s="73">
        <v>5</v>
      </c>
      <c r="F14" s="60"/>
      <c r="G14" s="60"/>
      <c r="H14" s="60"/>
      <c r="I14" s="60"/>
      <c r="J14" s="60"/>
      <c r="K14" s="60"/>
      <c r="L14" s="60"/>
      <c r="M14" s="60"/>
      <c r="N14" s="60"/>
      <c r="O14" s="60"/>
      <c r="P14" s="60"/>
      <c r="Q14" s="60"/>
      <c r="R14" s="60"/>
      <c r="S14" s="60"/>
      <c r="T14" s="60"/>
      <c r="U14" s="60"/>
    </row>
    <row r="15" spans="2:24" x14ac:dyDescent="0.25">
      <c r="B15" s="48" t="s">
        <v>974</v>
      </c>
      <c r="C15" s="55"/>
      <c r="D15" s="61">
        <v>1978</v>
      </c>
      <c r="E15" s="61">
        <v>1982</v>
      </c>
      <c r="F15" s="61">
        <v>1991</v>
      </c>
      <c r="G15" s="61">
        <v>1996</v>
      </c>
      <c r="H15" s="61">
        <v>1997</v>
      </c>
      <c r="I15" s="61">
        <v>1998</v>
      </c>
      <c r="J15" s="61">
        <v>1999</v>
      </c>
      <c r="K15" s="61">
        <v>2000</v>
      </c>
      <c r="L15" s="61">
        <v>2001</v>
      </c>
      <c r="M15" s="61">
        <v>2002</v>
      </c>
      <c r="N15" s="61">
        <v>2003</v>
      </c>
      <c r="O15" s="61">
        <v>2004</v>
      </c>
      <c r="P15" s="61">
        <v>2005</v>
      </c>
      <c r="Q15" s="61">
        <v>2006</v>
      </c>
      <c r="R15" s="61">
        <v>2007</v>
      </c>
      <c r="S15" s="61">
        <v>2010</v>
      </c>
      <c r="T15" s="61">
        <v>2011</v>
      </c>
      <c r="U15" s="62">
        <v>2012</v>
      </c>
    </row>
    <row r="16" spans="2:24" x14ac:dyDescent="0.25">
      <c r="B16" s="52" t="s">
        <v>1294</v>
      </c>
      <c r="C16" s="56" t="s">
        <v>1292</v>
      </c>
      <c r="D16" s="68" t="str">
        <f>IF(COUNTIFS(Dados!$E:$E,$B16,Dados!$C:$C,INDEX(D$3,1,1),Dados!$A:$A,INDEX($D:$E,MATCH("B",$D:$D,0),2))=0,"",SUMIFS(Dados!$G:$G,Dados!$E:$E,$B16,Dados!$C:$C,INDEX(D$3,1,1),Dados!$A:$A,INDEX($D:$E,MATCH("B",$D:$D,0),2))/COUNTIFS(Dados!$E:$E,$B16,Dados!$C:$C,INDEX(D$3,1,1),Dados!$A:$A,INDEX($D:$E,MATCH("B",$D:$D,0),2)))</f>
        <v/>
      </c>
      <c r="E16" s="68" t="str">
        <f>IF(COUNTIFS(Dados!$E:$E,$B16,Dados!$C:$C,INDEX(E$3,1,1),Dados!$A:$A,INDEX($D:$E,MATCH("B",$D:$D,0),2))=0,"",SUMIFS(Dados!$G:$G,Dados!$E:$E,$B16,Dados!$C:$C,INDEX(E$3,1,1),Dados!$A:$A,INDEX($D:$E,MATCH("B",$D:$D,0),2))/COUNTIFS(Dados!$E:$E,$B16,Dados!$C:$C,INDEX(E$3,1,1),Dados!$A:$A,INDEX($D:$E,MATCH("B",$D:$D,0),2)))</f>
        <v/>
      </c>
      <c r="F16" s="68" t="str">
        <f>IF(COUNTIFS(Dados!$E:$E,$B16,Dados!$C:$C,INDEX(F$3,1,1),Dados!$A:$A,INDEX($D:$E,MATCH("B",$D:$D,0),2))=0,"",SUMIFS(Dados!$G:$G,Dados!$E:$E,$B16,Dados!$C:$C,INDEX(F$3,1,1),Dados!$A:$A,INDEX($D:$E,MATCH("B",$D:$D,0),2))/COUNTIFS(Dados!$E:$E,$B16,Dados!$C:$C,INDEX(F$3,1,1),Dados!$A:$A,INDEX($D:$E,MATCH("B",$D:$D,0),2)))</f>
        <v/>
      </c>
      <c r="G16" s="68" t="str">
        <f>IF(COUNTIFS(Dados!$E:$E,$B16,Dados!$C:$C,INDEX(G$3,1,1),Dados!$A:$A,INDEX($D:$E,MATCH("B",$D:$D,0),2))=0,"",SUMIFS(Dados!$G:$G,Dados!$E:$E,$B16,Dados!$C:$C,INDEX(G$3,1,1),Dados!$A:$A,INDEX($D:$E,MATCH("B",$D:$D,0),2))/COUNTIFS(Dados!$E:$E,$B16,Dados!$C:$C,INDEX(G$3,1,1),Dados!$A:$A,INDEX($D:$E,MATCH("B",$D:$D,0),2)))</f>
        <v/>
      </c>
      <c r="H16" s="68" t="str">
        <f>IF(COUNTIFS(Dados!$E:$E,$B16,Dados!$C:$C,INDEX(H$3,1,1),Dados!$A:$A,INDEX($D:$E,MATCH("B",$D:$D,0),2))=0,"",SUMIFS(Dados!$G:$G,Dados!$E:$E,$B16,Dados!$C:$C,INDEX(H$3,1,1),Dados!$A:$A,INDEX($D:$E,MATCH("B",$D:$D,0),2))/COUNTIFS(Dados!$E:$E,$B16,Dados!$C:$C,INDEX(H$3,1,1),Dados!$A:$A,INDEX($D:$E,MATCH("B",$D:$D,0),2)))</f>
        <v/>
      </c>
      <c r="I16" s="68" t="str">
        <f>IF(COUNTIFS(Dados!$E:$E,$B16,Dados!$C:$C,INDEX(I$3,1,1),Dados!$A:$A,INDEX($D:$E,MATCH("B",$D:$D,0),2))=0,"",SUMIFS(Dados!$G:$G,Dados!$E:$E,$B16,Dados!$C:$C,INDEX(I$3,1,1),Dados!$A:$A,INDEX($D:$E,MATCH("B",$D:$D,0),2))/COUNTIFS(Dados!$E:$E,$B16,Dados!$C:$C,INDEX(I$3,1,1),Dados!$A:$A,INDEX($D:$E,MATCH("B",$D:$D,0),2)))</f>
        <v/>
      </c>
      <c r="J16" s="68" t="str">
        <f>IF(COUNTIFS(Dados!$E:$E,$B16,Dados!$C:$C,INDEX(J$3,1,1),Dados!$A:$A,INDEX($D:$E,MATCH("B",$D:$D,0),2))=0,"",SUMIFS(Dados!$G:$G,Dados!$E:$E,$B16,Dados!$C:$C,INDEX(J$3,1,1),Dados!$A:$A,INDEX($D:$E,MATCH("B",$D:$D,0),2))/COUNTIFS(Dados!$E:$E,$B16,Dados!$C:$C,INDEX(J$3,1,1),Dados!$A:$A,INDEX($D:$E,MATCH("B",$D:$D,0),2)))</f>
        <v/>
      </c>
      <c r="K16" s="68" t="str">
        <f>IF(COUNTIFS(Dados!$E:$E,$B16,Dados!$C:$C,INDEX(K$3,1,1),Dados!$A:$A,INDEX($D:$E,MATCH("B",$D:$D,0),2))=0,"",SUMIFS(Dados!$G:$G,Dados!$E:$E,$B16,Dados!$C:$C,INDEX(K$3,1,1),Dados!$A:$A,INDEX($D:$E,MATCH("B",$D:$D,0),2))/COUNTIFS(Dados!$E:$E,$B16,Dados!$C:$C,INDEX(K$3,1,1),Dados!$A:$A,INDEX($D:$E,MATCH("B",$D:$D,0),2)))</f>
        <v/>
      </c>
      <c r="L16" s="68" t="str">
        <f>IF(COUNTIFS(Dados!$E:$E,$B16,Dados!$C:$C,INDEX(L$3,1,1),Dados!$A:$A,INDEX($D:$E,MATCH("B",$D:$D,0),2))=0,"",SUMIFS(Dados!$G:$G,Dados!$E:$E,$B16,Dados!$C:$C,INDEX(L$3,1,1),Dados!$A:$A,INDEX($D:$E,MATCH("B",$D:$D,0),2))/COUNTIFS(Dados!$E:$E,$B16,Dados!$C:$C,INDEX(L$3,1,1),Dados!$A:$A,INDEX($D:$E,MATCH("B",$D:$D,0),2)))</f>
        <v/>
      </c>
      <c r="M16" s="68" t="str">
        <f>IF(COUNTIFS(Dados!$E:$E,$B16,Dados!$C:$C,INDEX(M$3,1,1),Dados!$A:$A,INDEX($D:$E,MATCH("B",$D:$D,0),2))=0,"",SUMIFS(Dados!$G:$G,Dados!$E:$E,$B16,Dados!$C:$C,INDEX(M$3,1,1),Dados!$A:$A,INDEX($D:$E,MATCH("B",$D:$D,0),2))/COUNTIFS(Dados!$E:$E,$B16,Dados!$C:$C,INDEX(M$3,1,1),Dados!$A:$A,INDEX($D:$E,MATCH("B",$D:$D,0),2)))</f>
        <v/>
      </c>
      <c r="N16" s="68" t="str">
        <f>IF(COUNTIFS(Dados!$E:$E,$B16,Dados!$C:$C,INDEX(N$3,1,1),Dados!$A:$A,INDEX($D:$E,MATCH("B",$D:$D,0),2))=0,"",SUMIFS(Dados!$G:$G,Dados!$E:$E,$B16,Dados!$C:$C,INDEX(N$3,1,1),Dados!$A:$A,INDEX($D:$E,MATCH("B",$D:$D,0),2))/COUNTIFS(Dados!$E:$E,$B16,Dados!$C:$C,INDEX(N$3,1,1),Dados!$A:$A,INDEX($D:$E,MATCH("B",$D:$D,0),2)))</f>
        <v/>
      </c>
      <c r="O16" s="68" t="str">
        <f>IF(COUNTIFS(Dados!$E:$E,$B16,Dados!$C:$C,INDEX(O$3,1,1),Dados!$A:$A,INDEX($D:$E,MATCH("B",$D:$D,0),2))=0,"",SUMIFS(Dados!$G:$G,Dados!$E:$E,$B16,Dados!$C:$C,INDEX(O$3,1,1),Dados!$A:$A,INDEX($D:$E,MATCH("B",$D:$D,0),2))/COUNTIFS(Dados!$E:$E,$B16,Dados!$C:$C,INDEX(O$3,1,1),Dados!$A:$A,INDEX($D:$E,MATCH("B",$D:$D,0),2)))</f>
        <v/>
      </c>
      <c r="P16" s="68" t="str">
        <f>IF(COUNTIFS(Dados!$E:$E,$B16,Dados!$C:$C,INDEX(P$3,1,1),Dados!$A:$A,INDEX($D:$E,MATCH("B",$D:$D,0),2))=0,"",SUMIFS(Dados!$G:$G,Dados!$E:$E,$B16,Dados!$C:$C,INDEX(P$3,1,1),Dados!$A:$A,INDEX($D:$E,MATCH("B",$D:$D,0),2))/COUNTIFS(Dados!$E:$E,$B16,Dados!$C:$C,INDEX(P$3,1,1),Dados!$A:$A,INDEX($D:$E,MATCH("B",$D:$D,0),2)))</f>
        <v/>
      </c>
      <c r="Q16" s="68">
        <f>IF(COUNTIFS(Dados!$E:$E,$B16,Dados!$C:$C,INDEX(Q$3,1,1),Dados!$A:$A,INDEX($D:$E,MATCH("B",$D:$D,0),2))=0,"",SUMIFS(Dados!$G:$G,Dados!$E:$E,$B16,Dados!$C:$C,INDEX(Q$3,1,1),Dados!$A:$A,INDEX($D:$E,MATCH("B",$D:$D,0),2))/COUNTIFS(Dados!$E:$E,$B16,Dados!$C:$C,INDEX(Q$3,1,1),Dados!$A:$A,INDEX($D:$E,MATCH("B",$D:$D,0),2)))</f>
        <v>0.4388582005690716</v>
      </c>
      <c r="R16" s="68" t="str">
        <f>IF(COUNTIFS(Dados!$E:$E,$B16,Dados!$C:$C,INDEX(R$3,1,1),Dados!$A:$A,INDEX($D:$E,MATCH("B",$D:$D,0),2))=0,"",SUMIFS(Dados!$G:$G,Dados!$E:$E,$B16,Dados!$C:$C,INDEX(R$3,1,1),Dados!$A:$A,INDEX($D:$E,MATCH("B",$D:$D,0),2))/COUNTIFS(Dados!$E:$E,$B16,Dados!$C:$C,INDEX(R$3,1,1),Dados!$A:$A,INDEX($D:$E,MATCH("B",$D:$D,0),2)))</f>
        <v/>
      </c>
      <c r="S16" s="68" t="str">
        <f>IF(COUNTIFS(Dados!$E:$E,$B16,Dados!$C:$C,INDEX(S$3,1,1),Dados!$A:$A,INDEX($D:$E,MATCH("B",$D:$D,0),2))=0,"",SUMIFS(Dados!$G:$G,Dados!$E:$E,$B16,Dados!$C:$C,INDEX(S$3,1,1),Dados!$A:$A,INDEX($D:$E,MATCH("B",$D:$D,0),2))/COUNTIFS(Dados!$E:$E,$B16,Dados!$C:$C,INDEX(S$3,1,1),Dados!$A:$A,INDEX($D:$E,MATCH("B",$D:$D,0),2)))</f>
        <v/>
      </c>
      <c r="T16" s="68" t="str">
        <f>IF(COUNTIFS(Dados!$E:$E,$B16,Dados!$C:$C,INDEX(T$3,1,1),Dados!$A:$A,INDEX($D:$E,MATCH("B",$D:$D,0),2))=0,"",SUMIFS(Dados!$G:$G,Dados!$E:$E,$B16,Dados!$C:$C,INDEX(T$3,1,1),Dados!$A:$A,INDEX($D:$E,MATCH("B",$D:$D,0),2))/COUNTIFS(Dados!$E:$E,$B16,Dados!$C:$C,INDEX(T$3,1,1),Dados!$A:$A,INDEX($D:$E,MATCH("B",$D:$D,0),2)))</f>
        <v/>
      </c>
      <c r="U16" s="68" t="str">
        <f>IF(COUNTIFS(Dados!$E:$E,$B16,Dados!$C:$C,INDEX(U$3,1,1),Dados!$A:$A,INDEX($D:$E,MATCH("B",$D:$D,0),2))=0,"",SUMIFS(Dados!$G:$G,Dados!$E:$E,$B16,Dados!$C:$C,INDEX(U$3,1,1),Dados!$A:$A,INDEX($D:$E,MATCH("B",$D:$D,0),2))/COUNTIFS(Dados!$E:$E,$B16,Dados!$C:$C,INDEX(U$3,1,1),Dados!$A:$A,INDEX($D:$E,MATCH("B",$D:$D,0),2)))</f>
        <v/>
      </c>
    </row>
    <row r="17" spans="2:21" s="46" customFormat="1" x14ac:dyDescent="0.25">
      <c r="B17" s="50" t="s">
        <v>1293</v>
      </c>
      <c r="C17" s="57"/>
      <c r="D17" s="66"/>
      <c r="E17" s="66"/>
      <c r="F17" s="66"/>
      <c r="G17" s="66"/>
      <c r="H17" s="66"/>
      <c r="I17" s="66"/>
      <c r="J17" s="66"/>
      <c r="K17" s="66"/>
      <c r="L17" s="66"/>
      <c r="M17" s="66"/>
      <c r="N17" s="66"/>
      <c r="O17" s="66"/>
      <c r="P17" s="66"/>
      <c r="Q17" s="66"/>
      <c r="R17" s="66"/>
      <c r="S17" s="66"/>
      <c r="T17" s="66"/>
      <c r="U17" s="66"/>
    </row>
    <row r="18" spans="2:21" s="46" customFormat="1" x14ac:dyDescent="0.25">
      <c r="B18" s="34" t="s">
        <v>983</v>
      </c>
      <c r="C18" s="58"/>
      <c r="D18" s="58" t="s">
        <v>1276</v>
      </c>
      <c r="E18" s="73">
        <v>7</v>
      </c>
      <c r="F18" s="60"/>
      <c r="G18" s="60"/>
      <c r="H18" s="60"/>
      <c r="I18" s="60"/>
      <c r="J18" s="60"/>
      <c r="K18" s="60"/>
      <c r="L18" s="60"/>
      <c r="M18" s="60"/>
      <c r="N18" s="60"/>
      <c r="O18" s="60"/>
      <c r="P18" s="60"/>
      <c r="Q18" s="60"/>
      <c r="R18" s="60"/>
      <c r="S18" s="60"/>
      <c r="T18" s="60"/>
      <c r="U18" s="60"/>
    </row>
    <row r="19" spans="2:21" s="46" customFormat="1" x14ac:dyDescent="0.25">
      <c r="B19" s="48" t="s">
        <v>974</v>
      </c>
      <c r="C19" s="70"/>
      <c r="D19" s="61">
        <v>1978</v>
      </c>
      <c r="E19" s="61">
        <v>1982</v>
      </c>
      <c r="F19" s="61">
        <v>1991</v>
      </c>
      <c r="G19" s="61">
        <v>1996</v>
      </c>
      <c r="H19" s="61">
        <v>1997</v>
      </c>
      <c r="I19" s="61">
        <v>1998</v>
      </c>
      <c r="J19" s="61">
        <v>1999</v>
      </c>
      <c r="K19" s="61">
        <v>2000</v>
      </c>
      <c r="L19" s="61">
        <v>2001</v>
      </c>
      <c r="M19" s="61">
        <v>2002</v>
      </c>
      <c r="N19" s="61">
        <v>2003</v>
      </c>
      <c r="O19" s="61">
        <v>2004</v>
      </c>
      <c r="P19" s="61">
        <v>2005</v>
      </c>
      <c r="Q19" s="61">
        <v>2006</v>
      </c>
      <c r="R19" s="61">
        <v>2007</v>
      </c>
      <c r="S19" s="61">
        <v>2010</v>
      </c>
      <c r="T19" s="61">
        <v>2011</v>
      </c>
      <c r="U19" s="62">
        <v>2012</v>
      </c>
    </row>
    <row r="20" spans="2:21" s="46" customFormat="1" x14ac:dyDescent="0.25">
      <c r="B20" s="67" t="s">
        <v>1294</v>
      </c>
      <c r="C20" s="71" t="s">
        <v>1292</v>
      </c>
      <c r="D20" s="68" t="str">
        <f>IF(COUNTIFS(Dados!$E:$E,$B20,Dados!$C:$C,INDEX(D$3,1,1),Dados!$A:$A,INDEX($D:$E,MATCH("C",$D:$D,0),2))=0,"",SUMIFS(Dados!$G:$G,Dados!$E:$E,$B20,Dados!$C:$C,INDEX(D$3,1,1),Dados!$A:$A,INDEX($D:$E,MATCH("C",$D:$D,0),2))/COUNTIFS(Dados!$E:$E,$B20,Dados!$C:$C,INDEX(D$3,1,1),Dados!$A:$A,INDEX($D:$E,MATCH("C",$D:$D,0),2)))</f>
        <v/>
      </c>
      <c r="E20" s="68" t="str">
        <f>IF(COUNTIFS(Dados!$E:$E,$B20,Dados!$C:$C,INDEX(E$3,1,1),Dados!$A:$A,INDEX($D:$E,MATCH("C",$D:$D,0),2))=0,"",SUMIFS(Dados!$G:$G,Dados!$E:$E,$B20,Dados!$C:$C,INDEX(E$3,1,1),Dados!$A:$A,INDEX($D:$E,MATCH("C",$D:$D,0),2))/COUNTIFS(Dados!$E:$E,$B20,Dados!$C:$C,INDEX(E$3,1,1),Dados!$A:$A,INDEX($D:$E,MATCH("C",$D:$D,0),2)))</f>
        <v/>
      </c>
      <c r="F20" s="68" t="str">
        <f>IF(COUNTIFS(Dados!$E:$E,$B20,Dados!$C:$C,INDEX(F$3,1,1),Dados!$A:$A,INDEX($D:$E,MATCH("C",$D:$D,0),2))=0,"",SUMIFS(Dados!$G:$G,Dados!$E:$E,$B20,Dados!$C:$C,INDEX(F$3,1,1),Dados!$A:$A,INDEX($D:$E,MATCH("C",$D:$D,0),2))/COUNTIFS(Dados!$E:$E,$B20,Dados!$C:$C,INDEX(F$3,1,1),Dados!$A:$A,INDEX($D:$E,MATCH("C",$D:$D,0),2)))</f>
        <v/>
      </c>
      <c r="G20" s="68" t="str">
        <f>IF(COUNTIFS(Dados!$E:$E,$B20,Dados!$C:$C,INDEX(G$3,1,1),Dados!$A:$A,INDEX($D:$E,MATCH("C",$D:$D,0),2))=0,"",SUMIFS(Dados!$G:$G,Dados!$E:$E,$B20,Dados!$C:$C,INDEX(G$3,1,1),Dados!$A:$A,INDEX($D:$E,MATCH("C",$D:$D,0),2))/COUNTIFS(Dados!$E:$E,$B20,Dados!$C:$C,INDEX(G$3,1,1),Dados!$A:$A,INDEX($D:$E,MATCH("C",$D:$D,0),2)))</f>
        <v/>
      </c>
      <c r="H20" s="68" t="str">
        <f>IF(COUNTIFS(Dados!$E:$E,$B20,Dados!$C:$C,INDEX(H$3,1,1),Dados!$A:$A,INDEX($D:$E,MATCH("C",$D:$D,0),2))=0,"",SUMIFS(Dados!$G:$G,Dados!$E:$E,$B20,Dados!$C:$C,INDEX(H$3,1,1),Dados!$A:$A,INDEX($D:$E,MATCH("C",$D:$D,0),2))/COUNTIFS(Dados!$E:$E,$B20,Dados!$C:$C,INDEX(H$3,1,1),Dados!$A:$A,INDEX($D:$E,MATCH("C",$D:$D,0),2)))</f>
        <v/>
      </c>
      <c r="I20" s="68" t="str">
        <f>IF(COUNTIFS(Dados!$E:$E,$B20,Dados!$C:$C,INDEX(I$3,1,1),Dados!$A:$A,INDEX($D:$E,MATCH("C",$D:$D,0),2))=0,"",SUMIFS(Dados!$G:$G,Dados!$E:$E,$B20,Dados!$C:$C,INDEX(I$3,1,1),Dados!$A:$A,INDEX($D:$E,MATCH("C",$D:$D,0),2))/COUNTIFS(Dados!$E:$E,$B20,Dados!$C:$C,INDEX(I$3,1,1),Dados!$A:$A,INDEX($D:$E,MATCH("C",$D:$D,0),2)))</f>
        <v/>
      </c>
      <c r="J20" s="68" t="str">
        <f>IF(COUNTIFS(Dados!$E:$E,$B20,Dados!$C:$C,INDEX(J$3,1,1),Dados!$A:$A,INDEX($D:$E,MATCH("C",$D:$D,0),2))=0,"",SUMIFS(Dados!$G:$G,Dados!$E:$E,$B20,Dados!$C:$C,INDEX(J$3,1,1),Dados!$A:$A,INDEX($D:$E,MATCH("C",$D:$D,0),2))/COUNTIFS(Dados!$E:$E,$B20,Dados!$C:$C,INDEX(J$3,1,1),Dados!$A:$A,INDEX($D:$E,MATCH("C",$D:$D,0),2)))</f>
        <v/>
      </c>
      <c r="K20" s="68" t="str">
        <f>IF(COUNTIFS(Dados!$E:$E,$B20,Dados!$C:$C,INDEX(K$3,1,1),Dados!$A:$A,INDEX($D:$E,MATCH("C",$D:$D,0),2))=0,"",SUMIFS(Dados!$G:$G,Dados!$E:$E,$B20,Dados!$C:$C,INDEX(K$3,1,1),Dados!$A:$A,INDEX($D:$E,MATCH("C",$D:$D,0),2))/COUNTIFS(Dados!$E:$E,$B20,Dados!$C:$C,INDEX(K$3,1,1),Dados!$A:$A,INDEX($D:$E,MATCH("C",$D:$D,0),2)))</f>
        <v/>
      </c>
      <c r="L20" s="68" t="str">
        <f>IF(COUNTIFS(Dados!$E:$E,$B20,Dados!$C:$C,INDEX(L$3,1,1),Dados!$A:$A,INDEX($D:$E,MATCH("C",$D:$D,0),2))=0,"",SUMIFS(Dados!$G:$G,Dados!$E:$E,$B20,Dados!$C:$C,INDEX(L$3,1,1),Dados!$A:$A,INDEX($D:$E,MATCH("C",$D:$D,0),2))/COUNTIFS(Dados!$E:$E,$B20,Dados!$C:$C,INDEX(L$3,1,1),Dados!$A:$A,INDEX($D:$E,MATCH("C",$D:$D,0),2)))</f>
        <v/>
      </c>
      <c r="M20" s="68" t="str">
        <f>IF(COUNTIFS(Dados!$E:$E,$B20,Dados!$C:$C,INDEX(M$3,1,1),Dados!$A:$A,INDEX($D:$E,MATCH("C",$D:$D,0),2))=0,"",SUMIFS(Dados!$G:$G,Dados!$E:$E,$B20,Dados!$C:$C,INDEX(M$3,1,1),Dados!$A:$A,INDEX($D:$E,MATCH("C",$D:$D,0),2))/COUNTIFS(Dados!$E:$E,$B20,Dados!$C:$C,INDEX(M$3,1,1),Dados!$A:$A,INDEX($D:$E,MATCH("C",$D:$D,0),2)))</f>
        <v/>
      </c>
      <c r="N20" s="68" t="str">
        <f>IF(COUNTIFS(Dados!$E:$E,$B20,Dados!$C:$C,INDEX(N$3,1,1),Dados!$A:$A,INDEX($D:$E,MATCH("C",$D:$D,0),2))=0,"",SUMIFS(Dados!$G:$G,Dados!$E:$E,$B20,Dados!$C:$C,INDEX(N$3,1,1),Dados!$A:$A,INDEX($D:$E,MATCH("C",$D:$D,0),2))/COUNTIFS(Dados!$E:$E,$B20,Dados!$C:$C,INDEX(N$3,1,1),Dados!$A:$A,INDEX($D:$E,MATCH("C",$D:$D,0),2)))</f>
        <v/>
      </c>
      <c r="O20" s="68" t="str">
        <f>IF(COUNTIFS(Dados!$E:$E,$B20,Dados!$C:$C,INDEX(O$3,1,1),Dados!$A:$A,INDEX($D:$E,MATCH("C",$D:$D,0),2))=0,"",SUMIFS(Dados!$G:$G,Dados!$E:$E,$B20,Dados!$C:$C,INDEX(O$3,1,1),Dados!$A:$A,INDEX($D:$E,MATCH("C",$D:$D,0),2))/COUNTIFS(Dados!$E:$E,$B20,Dados!$C:$C,INDEX(O$3,1,1),Dados!$A:$A,INDEX($D:$E,MATCH("C",$D:$D,0),2)))</f>
        <v/>
      </c>
      <c r="P20" s="68" t="str">
        <f>IF(COUNTIFS(Dados!$E:$E,$B20,Dados!$C:$C,INDEX(P$3,1,1),Dados!$A:$A,INDEX($D:$E,MATCH("C",$D:$D,0),2))=0,"",SUMIFS(Dados!$G:$G,Dados!$E:$E,$B20,Dados!$C:$C,INDEX(P$3,1,1),Dados!$A:$A,INDEX($D:$E,MATCH("C",$D:$D,0),2))/COUNTIFS(Dados!$E:$E,$B20,Dados!$C:$C,INDEX(P$3,1,1),Dados!$A:$A,INDEX($D:$E,MATCH("C",$D:$D,0),2)))</f>
        <v/>
      </c>
      <c r="Q20" s="68" t="str">
        <f>IF(COUNTIFS(Dados!$E:$E,$B20,Dados!$C:$C,INDEX(Q$3,1,1),Dados!$A:$A,INDEX($D:$E,MATCH("C",$D:$D,0),2))=0,"",SUMIFS(Dados!$G:$G,Dados!$E:$E,$B20,Dados!$C:$C,INDEX(Q$3,1,1),Dados!$A:$A,INDEX($D:$E,MATCH("C",$D:$D,0),2))/COUNTIFS(Dados!$E:$E,$B20,Dados!$C:$C,INDEX(Q$3,1,1),Dados!$A:$A,INDEX($D:$E,MATCH("C",$D:$D,0),2)))</f>
        <v/>
      </c>
      <c r="R20" s="68" t="str">
        <f>IF(COUNTIFS(Dados!$E:$E,$B20,Dados!$C:$C,INDEX(R$3,1,1),Dados!$A:$A,INDEX($D:$E,MATCH("C",$D:$D,0),2))=0,"",SUMIFS(Dados!$G:$G,Dados!$E:$E,$B20,Dados!$C:$C,INDEX(R$3,1,1),Dados!$A:$A,INDEX($D:$E,MATCH("C",$D:$D,0),2))/COUNTIFS(Dados!$E:$E,$B20,Dados!$C:$C,INDEX(R$3,1,1),Dados!$A:$A,INDEX($D:$E,MATCH("C",$D:$D,0),2)))</f>
        <v/>
      </c>
      <c r="S20" s="68" t="str">
        <f>IF(COUNTIFS(Dados!$E:$E,$B20,Dados!$C:$C,INDEX(S$3,1,1),Dados!$A:$A,INDEX($D:$E,MATCH("C",$D:$D,0),2))=0,"",SUMIFS(Dados!$G:$G,Dados!$E:$E,$B20,Dados!$C:$C,INDEX(S$3,1,1),Dados!$A:$A,INDEX($D:$E,MATCH("C",$D:$D,0),2))/COUNTIFS(Dados!$E:$E,$B20,Dados!$C:$C,INDEX(S$3,1,1),Dados!$A:$A,INDEX($D:$E,MATCH("C",$D:$D,0),2)))</f>
        <v/>
      </c>
      <c r="T20" s="68" t="str">
        <f>IF(COUNTIFS(Dados!$E:$E,$B20,Dados!$C:$C,INDEX(T$3,1,1),Dados!$A:$A,INDEX($D:$E,MATCH("C",$D:$D,0),2))=0,"",SUMIFS(Dados!$G:$G,Dados!$E:$E,$B20,Dados!$C:$C,INDEX(T$3,1,1),Dados!$A:$A,INDEX($D:$E,MATCH("C",$D:$D,0),2))/COUNTIFS(Dados!$E:$E,$B20,Dados!$C:$C,INDEX(T$3,1,1),Dados!$A:$A,INDEX($D:$E,MATCH("C",$D:$D,0),2)))</f>
        <v/>
      </c>
      <c r="U20" s="68" t="str">
        <f>IF(COUNTIFS(Dados!$E:$E,$B20,Dados!$C:$C,INDEX(U$3,1,1),Dados!$A:$A,INDEX($D:$E,MATCH("C",$D:$D,0),2))=0,"",SUMIFS(Dados!$G:$G,Dados!$E:$E,$B20,Dados!$C:$C,INDEX(U$3,1,1),Dados!$A:$A,INDEX($D:$E,MATCH("C",$D:$D,0),2))/COUNTIFS(Dados!$E:$E,$B20,Dados!$C:$C,INDEX(U$3,1,1),Dados!$A:$A,INDEX($D:$E,MATCH("C",$D:$D,0),2)))</f>
        <v/>
      </c>
    </row>
    <row r="21" spans="2:21" s="46" customFormat="1" x14ac:dyDescent="0.25">
      <c r="B21" s="65" t="s">
        <v>1293</v>
      </c>
      <c r="C21" s="72"/>
      <c r="D21" s="66"/>
      <c r="E21" s="66"/>
      <c r="F21" s="66"/>
      <c r="G21" s="66"/>
      <c r="H21" s="66"/>
      <c r="I21" s="66"/>
      <c r="J21" s="66"/>
      <c r="K21" s="66"/>
      <c r="L21" s="66"/>
      <c r="M21" s="66"/>
      <c r="N21" s="66"/>
      <c r="O21" s="66"/>
      <c r="P21" s="66"/>
      <c r="Q21" s="66"/>
      <c r="R21" s="66"/>
      <c r="S21" s="66"/>
      <c r="T21" s="66"/>
      <c r="U21" s="66"/>
    </row>
    <row r="22" spans="2:21" x14ac:dyDescent="0.25">
      <c r="B22" s="34" t="s">
        <v>983</v>
      </c>
      <c r="C22" s="58"/>
      <c r="D22" s="58" t="s">
        <v>981</v>
      </c>
      <c r="E22" s="73">
        <v>10</v>
      </c>
      <c r="F22" s="60"/>
      <c r="G22" s="60"/>
      <c r="H22" s="60"/>
      <c r="I22" s="60"/>
      <c r="J22" s="60"/>
      <c r="K22" s="60"/>
      <c r="L22" s="60"/>
      <c r="M22" s="60"/>
      <c r="N22" s="60"/>
      <c r="O22" s="60"/>
      <c r="P22" s="60"/>
      <c r="Q22" s="60"/>
      <c r="R22" s="60"/>
      <c r="S22" s="60"/>
      <c r="T22" s="60"/>
      <c r="U22" s="60"/>
    </row>
    <row r="23" spans="2:21" x14ac:dyDescent="0.25">
      <c r="B23" s="48" t="s">
        <v>974</v>
      </c>
      <c r="C23" s="55"/>
      <c r="D23" s="61">
        <v>1978</v>
      </c>
      <c r="E23" s="61">
        <v>1982</v>
      </c>
      <c r="F23" s="61">
        <v>1991</v>
      </c>
      <c r="G23" s="61">
        <v>1996</v>
      </c>
      <c r="H23" s="61">
        <v>1997</v>
      </c>
      <c r="I23" s="61">
        <v>1998</v>
      </c>
      <c r="J23" s="61">
        <v>1999</v>
      </c>
      <c r="K23" s="61">
        <v>2000</v>
      </c>
      <c r="L23" s="61">
        <v>2001</v>
      </c>
      <c r="M23" s="61">
        <v>2002</v>
      </c>
      <c r="N23" s="61">
        <v>2003</v>
      </c>
      <c r="O23" s="61">
        <v>2004</v>
      </c>
      <c r="P23" s="61">
        <v>2005</v>
      </c>
      <c r="Q23" s="61">
        <v>2006</v>
      </c>
      <c r="R23" s="61">
        <v>2007</v>
      </c>
      <c r="S23" s="61">
        <v>2010</v>
      </c>
      <c r="T23" s="61">
        <v>2011</v>
      </c>
      <c r="U23" s="62">
        <v>2012</v>
      </c>
    </row>
    <row r="24" spans="2:21" x14ac:dyDescent="0.25">
      <c r="B24" s="52" t="s">
        <v>1294</v>
      </c>
      <c r="C24" s="56" t="s">
        <v>1292</v>
      </c>
      <c r="D24" s="68" t="str">
        <f>IF(COUNTIFS(Dados!$E:$E,$B24,Dados!$C:$C,INDEX(D$3,1,1),Dados!$A:$A,INDEX($D:$E,MATCH("D",$D:$D,0),2))=0,"",SUMIFS(Dados!$G:$G,Dados!$E:$E,$B24,Dados!$C:$C,INDEX(D$3,1,1),Dados!$A:$A,INDEX($D:$E,MATCH("D",$D:$D,0),2))/COUNTIFS(Dados!$E:$E,$B24,Dados!$C:$C,INDEX(D$3,1,1),Dados!$A:$A,INDEX($D:$E,MATCH("D",$D:$D,0),2)))</f>
        <v/>
      </c>
      <c r="E24" s="68" t="str">
        <f>IF(COUNTIFS(Dados!$E:$E,$B24,Dados!$C:$C,INDEX(E$3,1,1),Dados!$A:$A,INDEX($D:$E,MATCH("D",$D:$D,0),2))=0,"",SUMIFS(Dados!$G:$G,Dados!$E:$E,$B24,Dados!$C:$C,INDEX(E$3,1,1),Dados!$A:$A,INDEX($D:$E,MATCH("D",$D:$D,0),2))/COUNTIFS(Dados!$E:$E,$B24,Dados!$C:$C,INDEX(E$3,1,1),Dados!$A:$A,INDEX($D:$E,MATCH("D",$D:$D,0),2)))</f>
        <v/>
      </c>
      <c r="F24" s="68" t="str">
        <f>IF(COUNTIFS(Dados!$E:$E,$B24,Dados!$C:$C,INDEX(F$3,1,1),Dados!$A:$A,INDEX($D:$E,MATCH("D",$D:$D,0),2))=0,"",SUMIFS(Dados!$G:$G,Dados!$E:$E,$B24,Dados!$C:$C,INDEX(F$3,1,1),Dados!$A:$A,INDEX($D:$E,MATCH("D",$D:$D,0),2))/COUNTIFS(Dados!$E:$E,$B24,Dados!$C:$C,INDEX(F$3,1,1),Dados!$A:$A,INDEX($D:$E,MATCH("D",$D:$D,0),2)))</f>
        <v/>
      </c>
      <c r="G24" s="68" t="str">
        <f>IF(COUNTIFS(Dados!$E:$E,$B24,Dados!$C:$C,INDEX(G$3,1,1),Dados!$A:$A,INDEX($D:$E,MATCH("D",$D:$D,0),2))=0,"",SUMIFS(Dados!$G:$G,Dados!$E:$E,$B24,Dados!$C:$C,INDEX(G$3,1,1),Dados!$A:$A,INDEX($D:$E,MATCH("D",$D:$D,0),2))/COUNTIFS(Dados!$E:$E,$B24,Dados!$C:$C,INDEX(G$3,1,1),Dados!$A:$A,INDEX($D:$E,MATCH("D",$D:$D,0),2)))</f>
        <v/>
      </c>
      <c r="H24" s="68" t="str">
        <f>IF(COUNTIFS(Dados!$E:$E,$B24,Dados!$C:$C,INDEX(H$3,1,1),Dados!$A:$A,INDEX($D:$E,MATCH("D",$D:$D,0),2))=0,"",SUMIFS(Dados!$G:$G,Dados!$E:$E,$B24,Dados!$C:$C,INDEX(H$3,1,1),Dados!$A:$A,INDEX($D:$E,MATCH("D",$D:$D,0),2))/COUNTIFS(Dados!$E:$E,$B24,Dados!$C:$C,INDEX(H$3,1,1),Dados!$A:$A,INDEX($D:$E,MATCH("D",$D:$D,0),2)))</f>
        <v/>
      </c>
      <c r="I24" s="68" t="str">
        <f>IF(COUNTIFS(Dados!$E:$E,$B24,Dados!$C:$C,INDEX(I$3,1,1),Dados!$A:$A,INDEX($D:$E,MATCH("D",$D:$D,0),2))=0,"",SUMIFS(Dados!$G:$G,Dados!$E:$E,$B24,Dados!$C:$C,INDEX(I$3,1,1),Dados!$A:$A,INDEX($D:$E,MATCH("D",$D:$D,0),2))/COUNTIFS(Dados!$E:$E,$B24,Dados!$C:$C,INDEX(I$3,1,1),Dados!$A:$A,INDEX($D:$E,MATCH("D",$D:$D,0),2)))</f>
        <v/>
      </c>
      <c r="J24" s="68" t="str">
        <f>IF(COUNTIFS(Dados!$E:$E,$B24,Dados!$C:$C,INDEX(J$3,1,1),Dados!$A:$A,INDEX($D:$E,MATCH("D",$D:$D,0),2))=0,"",SUMIFS(Dados!$G:$G,Dados!$E:$E,$B24,Dados!$C:$C,INDEX(J$3,1,1),Dados!$A:$A,INDEX($D:$E,MATCH("D",$D:$D,0),2))/COUNTIFS(Dados!$E:$E,$B24,Dados!$C:$C,INDEX(J$3,1,1),Dados!$A:$A,INDEX($D:$E,MATCH("D",$D:$D,0),2)))</f>
        <v/>
      </c>
      <c r="K24" s="68" t="str">
        <f>IF(COUNTIFS(Dados!$E:$E,$B24,Dados!$C:$C,INDEX(K$3,1,1),Dados!$A:$A,INDEX($D:$E,MATCH("D",$D:$D,0),2))=0,"",SUMIFS(Dados!$G:$G,Dados!$E:$E,$B24,Dados!$C:$C,INDEX(K$3,1,1),Dados!$A:$A,INDEX($D:$E,MATCH("D",$D:$D,0),2))/COUNTIFS(Dados!$E:$E,$B24,Dados!$C:$C,INDEX(K$3,1,1),Dados!$A:$A,INDEX($D:$E,MATCH("D",$D:$D,0),2)))</f>
        <v/>
      </c>
      <c r="L24" s="68" t="str">
        <f>IF(COUNTIFS(Dados!$E:$E,$B24,Dados!$C:$C,INDEX(L$3,1,1),Dados!$A:$A,INDEX($D:$E,MATCH("D",$D:$D,0),2))=0,"",SUMIFS(Dados!$G:$G,Dados!$E:$E,$B24,Dados!$C:$C,INDEX(L$3,1,1),Dados!$A:$A,INDEX($D:$E,MATCH("D",$D:$D,0),2))/COUNTIFS(Dados!$E:$E,$B24,Dados!$C:$C,INDEX(L$3,1,1),Dados!$A:$A,INDEX($D:$E,MATCH("D",$D:$D,0),2)))</f>
        <v/>
      </c>
      <c r="M24" s="68" t="str">
        <f>IF(COUNTIFS(Dados!$E:$E,$B24,Dados!$C:$C,INDEX(M$3,1,1),Dados!$A:$A,INDEX($D:$E,MATCH("D",$D:$D,0),2))=0,"",SUMIFS(Dados!$G:$G,Dados!$E:$E,$B24,Dados!$C:$C,INDEX(M$3,1,1),Dados!$A:$A,INDEX($D:$E,MATCH("D",$D:$D,0),2))/COUNTIFS(Dados!$E:$E,$B24,Dados!$C:$C,INDEX(M$3,1,1),Dados!$A:$A,INDEX($D:$E,MATCH("D",$D:$D,0),2)))</f>
        <v/>
      </c>
      <c r="N24" s="68" t="str">
        <f>IF(COUNTIFS(Dados!$E:$E,$B24,Dados!$C:$C,INDEX(N$3,1,1),Dados!$A:$A,INDEX($D:$E,MATCH("D",$D:$D,0),2))=0,"",SUMIFS(Dados!$G:$G,Dados!$E:$E,$B24,Dados!$C:$C,INDEX(N$3,1,1),Dados!$A:$A,INDEX($D:$E,MATCH("D",$D:$D,0),2))/COUNTIFS(Dados!$E:$E,$B24,Dados!$C:$C,INDEX(N$3,1,1),Dados!$A:$A,INDEX($D:$E,MATCH("D",$D:$D,0),2)))</f>
        <v/>
      </c>
      <c r="O24" s="68" t="str">
        <f>IF(COUNTIFS(Dados!$E:$E,$B24,Dados!$C:$C,INDEX(O$3,1,1),Dados!$A:$A,INDEX($D:$E,MATCH("D",$D:$D,0),2))=0,"",SUMIFS(Dados!$G:$G,Dados!$E:$E,$B24,Dados!$C:$C,INDEX(O$3,1,1),Dados!$A:$A,INDEX($D:$E,MATCH("D",$D:$D,0),2))/COUNTIFS(Dados!$E:$E,$B24,Dados!$C:$C,INDEX(O$3,1,1),Dados!$A:$A,INDEX($D:$E,MATCH("D",$D:$D,0),2)))</f>
        <v/>
      </c>
      <c r="P24" s="68" t="str">
        <f>IF(COUNTIFS(Dados!$E:$E,$B24,Dados!$C:$C,INDEX(P$3,1,1),Dados!$A:$A,INDEX($D:$E,MATCH("D",$D:$D,0),2))=0,"",SUMIFS(Dados!$G:$G,Dados!$E:$E,$B24,Dados!$C:$C,INDEX(P$3,1,1),Dados!$A:$A,INDEX($D:$E,MATCH("D",$D:$D,0),2))/COUNTIFS(Dados!$E:$E,$B24,Dados!$C:$C,INDEX(P$3,1,1),Dados!$A:$A,INDEX($D:$E,MATCH("D",$D:$D,0),2)))</f>
        <v/>
      </c>
      <c r="Q24" s="68" t="str">
        <f>IF(COUNTIFS(Dados!$E:$E,$B24,Dados!$C:$C,INDEX(Q$3,1,1),Dados!$A:$A,INDEX($D:$E,MATCH("D",$D:$D,0),2))=0,"",SUMIFS(Dados!$G:$G,Dados!$E:$E,$B24,Dados!$C:$C,INDEX(Q$3,1,1),Dados!$A:$A,INDEX($D:$E,MATCH("D",$D:$D,0),2))/COUNTIFS(Dados!$E:$E,$B24,Dados!$C:$C,INDEX(Q$3,1,1),Dados!$A:$A,INDEX($D:$E,MATCH("D",$D:$D,0),2)))</f>
        <v/>
      </c>
      <c r="R24" s="68" t="str">
        <f>IF(COUNTIFS(Dados!$E:$E,$B24,Dados!$C:$C,INDEX(R$3,1,1),Dados!$A:$A,INDEX($D:$E,MATCH("D",$D:$D,0),2))=0,"",SUMIFS(Dados!$G:$G,Dados!$E:$E,$B24,Dados!$C:$C,INDEX(R$3,1,1),Dados!$A:$A,INDEX($D:$E,MATCH("D",$D:$D,0),2))/COUNTIFS(Dados!$E:$E,$B24,Dados!$C:$C,INDEX(R$3,1,1),Dados!$A:$A,INDEX($D:$E,MATCH("D",$D:$D,0),2)))</f>
        <v/>
      </c>
      <c r="S24" s="68">
        <f>IF(COUNTIFS(Dados!$E:$E,$B24,Dados!$C:$C,INDEX(S$3,1,1),Dados!$A:$A,INDEX($D:$E,MATCH("D",$D:$D,0),2))=0,"",SUMIFS(Dados!$G:$G,Dados!$E:$E,$B24,Dados!$C:$C,INDEX(S$3,1,1),Dados!$A:$A,INDEX($D:$E,MATCH("D",$D:$D,0),2))/COUNTIFS(Dados!$E:$E,$B24,Dados!$C:$C,INDEX(S$3,1,1),Dados!$A:$A,INDEX($D:$E,MATCH("D",$D:$D,0),2)))</f>
        <v>0.32621327565308855</v>
      </c>
      <c r="T24" s="68">
        <f>IF(COUNTIFS(Dados!$E:$E,$B24,Dados!$C:$C,INDEX(T$3,1,1),Dados!$A:$A,INDEX($D:$E,MATCH("D",$D:$D,0),2))=0,"",SUMIFS(Dados!$G:$G,Dados!$E:$E,$B24,Dados!$C:$C,INDEX(T$3,1,1),Dados!$A:$A,INDEX($D:$E,MATCH("D",$D:$D,0),2))/COUNTIFS(Dados!$E:$E,$B24,Dados!$C:$C,INDEX(T$3,1,1),Dados!$A:$A,INDEX($D:$E,MATCH("D",$D:$D,0),2)))</f>
        <v>0.48649495738552867</v>
      </c>
      <c r="U24" s="68" t="str">
        <f>IF(COUNTIFS(Dados!$E:$E,$B24,Dados!$C:$C,INDEX(U$3,1,1),Dados!$A:$A,INDEX($D:$E,MATCH("D",$D:$D,0),2))=0,"",SUMIFS(Dados!$G:$G,Dados!$E:$E,$B24,Dados!$C:$C,INDEX(U$3,1,1),Dados!$A:$A,INDEX($D:$E,MATCH("D",$D:$D,0),2))/COUNTIFS(Dados!$E:$E,$B24,Dados!$C:$C,INDEX(U$3,1,1),Dados!$A:$A,INDEX($D:$E,MATCH("D",$D:$D,0),2)))</f>
        <v/>
      </c>
    </row>
    <row r="25" spans="2:21" s="46" customFormat="1" x14ac:dyDescent="0.25">
      <c r="B25" s="50" t="s">
        <v>1293</v>
      </c>
      <c r="C25" s="57"/>
      <c r="D25" s="66"/>
      <c r="E25" s="66"/>
      <c r="F25" s="66"/>
      <c r="G25" s="66"/>
      <c r="H25" s="66"/>
      <c r="I25" s="66"/>
      <c r="J25" s="66"/>
      <c r="K25" s="66"/>
      <c r="L25" s="66"/>
      <c r="M25" s="66"/>
      <c r="N25" s="66"/>
      <c r="O25" s="66"/>
      <c r="P25" s="66"/>
      <c r="Q25" s="66"/>
      <c r="R25" s="66"/>
      <c r="S25" s="66"/>
      <c r="T25" s="66"/>
      <c r="U25" s="66"/>
    </row>
    <row r="26" spans="2:21" x14ac:dyDescent="0.25">
      <c r="B26" s="34" t="s">
        <v>983</v>
      </c>
      <c r="C26" s="58"/>
      <c r="D26" s="58" t="s">
        <v>980</v>
      </c>
      <c r="E26" s="73">
        <v>15</v>
      </c>
      <c r="F26" s="60"/>
      <c r="G26" s="60"/>
      <c r="H26" s="60"/>
      <c r="I26" s="60"/>
      <c r="J26" s="60"/>
      <c r="K26" s="60"/>
      <c r="L26" s="60"/>
      <c r="M26" s="60"/>
      <c r="N26" s="60"/>
      <c r="O26" s="60"/>
      <c r="P26" s="60"/>
      <c r="Q26" s="60"/>
      <c r="R26" s="60"/>
      <c r="S26" s="60"/>
      <c r="T26" s="60"/>
      <c r="U26" s="60"/>
    </row>
    <row r="27" spans="2:21" x14ac:dyDescent="0.25">
      <c r="B27" s="48" t="s">
        <v>974</v>
      </c>
      <c r="C27" s="55"/>
      <c r="D27" s="61">
        <v>1978</v>
      </c>
      <c r="E27" s="61">
        <v>1982</v>
      </c>
      <c r="F27" s="61">
        <v>1991</v>
      </c>
      <c r="G27" s="61">
        <v>1996</v>
      </c>
      <c r="H27" s="61">
        <v>1997</v>
      </c>
      <c r="I27" s="61">
        <v>1998</v>
      </c>
      <c r="J27" s="61">
        <v>1999</v>
      </c>
      <c r="K27" s="61">
        <v>2000</v>
      </c>
      <c r="L27" s="61">
        <v>2001</v>
      </c>
      <c r="M27" s="61">
        <v>2002</v>
      </c>
      <c r="N27" s="61">
        <v>2003</v>
      </c>
      <c r="O27" s="61">
        <v>2004</v>
      </c>
      <c r="P27" s="61">
        <v>2005</v>
      </c>
      <c r="Q27" s="61">
        <v>2006</v>
      </c>
      <c r="R27" s="61">
        <v>2007</v>
      </c>
      <c r="S27" s="61">
        <v>2010</v>
      </c>
      <c r="T27" s="61">
        <v>2011</v>
      </c>
      <c r="U27" s="62">
        <v>2012</v>
      </c>
    </row>
    <row r="28" spans="2:21" x14ac:dyDescent="0.25">
      <c r="B28" s="52" t="s">
        <v>1294</v>
      </c>
      <c r="C28" s="56" t="s">
        <v>1292</v>
      </c>
      <c r="D28" s="68" t="str">
        <f>IF(COUNTIFS(Dados!$E:$E,$B28,Dados!$C:$C,INDEX(D$3,1,1),Dados!$A:$A,INDEX($D:$E,MATCH("E",$D:$D,0),2))=0,"",SUMIFS(Dados!$G:$G,Dados!$E:$E,$B28,Dados!$C:$C,INDEX(D$3,1,1),Dados!$A:$A,INDEX($D:$E,MATCH("E",$D:$D,0),2))/COUNTIFS(Dados!$E:$E,$B28,Dados!$C:$C,INDEX(D$3,1,1),Dados!$A:$A,INDEX($D:$E,MATCH("E",$D:$D,0),2)))</f>
        <v/>
      </c>
      <c r="E28" s="68" t="str">
        <f>IF(COUNTIFS(Dados!$E:$E,$B28,Dados!$C:$C,INDEX(E$3,1,1),Dados!$A:$A,INDEX($D:$E,MATCH("E",$D:$D,0),2))=0,"",SUMIFS(Dados!$G:$G,Dados!$E:$E,$B28,Dados!$C:$C,INDEX(E$3,1,1),Dados!$A:$A,INDEX($D:$E,MATCH("E",$D:$D,0),2))/COUNTIFS(Dados!$E:$E,$B28,Dados!$C:$C,INDEX(E$3,1,1),Dados!$A:$A,INDEX($D:$E,MATCH("E",$D:$D,0),2)))</f>
        <v/>
      </c>
      <c r="F28" s="68" t="str">
        <f>IF(COUNTIFS(Dados!$E:$E,$B28,Dados!$C:$C,INDEX(F$3,1,1),Dados!$A:$A,INDEX($D:$E,MATCH("E",$D:$D,0),2))=0,"",SUMIFS(Dados!$G:$G,Dados!$E:$E,$B28,Dados!$C:$C,INDEX(F$3,1,1),Dados!$A:$A,INDEX($D:$E,MATCH("E",$D:$D,0),2))/COUNTIFS(Dados!$E:$E,$B28,Dados!$C:$C,INDEX(F$3,1,1),Dados!$A:$A,INDEX($D:$E,MATCH("E",$D:$D,0),2)))</f>
        <v/>
      </c>
      <c r="G28" s="68" t="str">
        <f>IF(COUNTIFS(Dados!$E:$E,$B28,Dados!$C:$C,INDEX(G$3,1,1),Dados!$A:$A,INDEX($D:$E,MATCH("E",$D:$D,0),2))=0,"",SUMIFS(Dados!$G:$G,Dados!$E:$E,$B28,Dados!$C:$C,INDEX(G$3,1,1),Dados!$A:$A,INDEX($D:$E,MATCH("E",$D:$D,0),2))/COUNTIFS(Dados!$E:$E,$B28,Dados!$C:$C,INDEX(G$3,1,1),Dados!$A:$A,INDEX($D:$E,MATCH("E",$D:$D,0),2)))</f>
        <v/>
      </c>
      <c r="H28" s="68" t="str">
        <f>IF(COUNTIFS(Dados!$E:$E,$B28,Dados!$C:$C,INDEX(H$3,1,1),Dados!$A:$A,INDEX($D:$E,MATCH("E",$D:$D,0),2))=0,"",SUMIFS(Dados!$G:$G,Dados!$E:$E,$B28,Dados!$C:$C,INDEX(H$3,1,1),Dados!$A:$A,INDEX($D:$E,MATCH("E",$D:$D,0),2))/COUNTIFS(Dados!$E:$E,$B28,Dados!$C:$C,INDEX(H$3,1,1),Dados!$A:$A,INDEX($D:$E,MATCH("E",$D:$D,0),2)))</f>
        <v/>
      </c>
      <c r="I28" s="68" t="str">
        <f>IF(COUNTIFS(Dados!$E:$E,$B28,Dados!$C:$C,INDEX(I$3,1,1),Dados!$A:$A,INDEX($D:$E,MATCH("E",$D:$D,0),2))=0,"",SUMIFS(Dados!$G:$G,Dados!$E:$E,$B28,Dados!$C:$C,INDEX(I$3,1,1),Dados!$A:$A,INDEX($D:$E,MATCH("E",$D:$D,0),2))/COUNTIFS(Dados!$E:$E,$B28,Dados!$C:$C,INDEX(I$3,1,1),Dados!$A:$A,INDEX($D:$E,MATCH("E",$D:$D,0),2)))</f>
        <v/>
      </c>
      <c r="J28" s="68" t="str">
        <f>IF(COUNTIFS(Dados!$E:$E,$B28,Dados!$C:$C,INDEX(J$3,1,1),Dados!$A:$A,INDEX($D:$E,MATCH("E",$D:$D,0),2))=0,"",SUMIFS(Dados!$G:$G,Dados!$E:$E,$B28,Dados!$C:$C,INDEX(J$3,1,1),Dados!$A:$A,INDEX($D:$E,MATCH("E",$D:$D,0),2))/COUNTIFS(Dados!$E:$E,$B28,Dados!$C:$C,INDEX(J$3,1,1),Dados!$A:$A,INDEX($D:$E,MATCH("E",$D:$D,0),2)))</f>
        <v/>
      </c>
      <c r="K28" s="68" t="str">
        <f>IF(COUNTIFS(Dados!$E:$E,$B28,Dados!$C:$C,INDEX(K$3,1,1),Dados!$A:$A,INDEX($D:$E,MATCH("E",$D:$D,0),2))=0,"",SUMIFS(Dados!$G:$G,Dados!$E:$E,$B28,Dados!$C:$C,INDEX(K$3,1,1),Dados!$A:$A,INDEX($D:$E,MATCH("E",$D:$D,0),2))/COUNTIFS(Dados!$E:$E,$B28,Dados!$C:$C,INDEX(K$3,1,1),Dados!$A:$A,INDEX($D:$E,MATCH("E",$D:$D,0),2)))</f>
        <v/>
      </c>
      <c r="L28" s="68" t="str">
        <f>IF(COUNTIFS(Dados!$E:$E,$B28,Dados!$C:$C,INDEX(L$3,1,1),Dados!$A:$A,INDEX($D:$E,MATCH("E",$D:$D,0),2))=0,"",SUMIFS(Dados!$G:$G,Dados!$E:$E,$B28,Dados!$C:$C,INDEX(L$3,1,1),Dados!$A:$A,INDEX($D:$E,MATCH("E",$D:$D,0),2))/COUNTIFS(Dados!$E:$E,$B28,Dados!$C:$C,INDEX(L$3,1,1),Dados!$A:$A,INDEX($D:$E,MATCH("E",$D:$D,0),2)))</f>
        <v/>
      </c>
      <c r="M28" s="68" t="str">
        <f>IF(COUNTIFS(Dados!$E:$E,$B28,Dados!$C:$C,INDEX(M$3,1,1),Dados!$A:$A,INDEX($D:$E,MATCH("E",$D:$D,0),2))=0,"",SUMIFS(Dados!$G:$G,Dados!$E:$E,$B28,Dados!$C:$C,INDEX(M$3,1,1),Dados!$A:$A,INDEX($D:$E,MATCH("E",$D:$D,0),2))/COUNTIFS(Dados!$E:$E,$B28,Dados!$C:$C,INDEX(M$3,1,1),Dados!$A:$A,INDEX($D:$E,MATCH("E",$D:$D,0),2)))</f>
        <v/>
      </c>
      <c r="N28" s="68" t="str">
        <f>IF(COUNTIFS(Dados!$E:$E,$B28,Dados!$C:$C,INDEX(N$3,1,1),Dados!$A:$A,INDEX($D:$E,MATCH("E",$D:$D,0),2))=0,"",SUMIFS(Dados!$G:$G,Dados!$E:$E,$B28,Dados!$C:$C,INDEX(N$3,1,1),Dados!$A:$A,INDEX($D:$E,MATCH("E",$D:$D,0),2))/COUNTIFS(Dados!$E:$E,$B28,Dados!$C:$C,INDEX(N$3,1,1),Dados!$A:$A,INDEX($D:$E,MATCH("E",$D:$D,0),2)))</f>
        <v/>
      </c>
      <c r="O28" s="68" t="str">
        <f>IF(COUNTIFS(Dados!$E:$E,$B28,Dados!$C:$C,INDEX(O$3,1,1),Dados!$A:$A,INDEX($D:$E,MATCH("E",$D:$D,0),2))=0,"",SUMIFS(Dados!$G:$G,Dados!$E:$E,$B28,Dados!$C:$C,INDEX(O$3,1,1),Dados!$A:$A,INDEX($D:$E,MATCH("E",$D:$D,0),2))/COUNTIFS(Dados!$E:$E,$B28,Dados!$C:$C,INDEX(O$3,1,1),Dados!$A:$A,INDEX($D:$E,MATCH("E",$D:$D,0),2)))</f>
        <v/>
      </c>
      <c r="P28" s="68" t="str">
        <f>IF(COUNTIFS(Dados!$E:$E,$B28,Dados!$C:$C,INDEX(P$3,1,1),Dados!$A:$A,INDEX($D:$E,MATCH("E",$D:$D,0),2))=0,"",SUMIFS(Dados!$G:$G,Dados!$E:$E,$B28,Dados!$C:$C,INDEX(P$3,1,1),Dados!$A:$A,INDEX($D:$E,MATCH("E",$D:$D,0),2))/COUNTIFS(Dados!$E:$E,$B28,Dados!$C:$C,INDEX(P$3,1,1),Dados!$A:$A,INDEX($D:$E,MATCH("E",$D:$D,0),2)))</f>
        <v/>
      </c>
      <c r="Q28" s="68" t="str">
        <f>IF(COUNTIFS(Dados!$E:$E,$B28,Dados!$C:$C,INDEX(Q$3,1,1),Dados!$A:$A,INDEX($D:$E,MATCH("E",$D:$D,0),2))=0,"",SUMIFS(Dados!$G:$G,Dados!$E:$E,$B28,Dados!$C:$C,INDEX(Q$3,1,1),Dados!$A:$A,INDEX($D:$E,MATCH("E",$D:$D,0),2))/COUNTIFS(Dados!$E:$E,$B28,Dados!$C:$C,INDEX(Q$3,1,1),Dados!$A:$A,INDEX($D:$E,MATCH("E",$D:$D,0),2)))</f>
        <v/>
      </c>
      <c r="R28" s="68" t="str">
        <f>IF(COUNTIFS(Dados!$E:$E,$B28,Dados!$C:$C,INDEX(R$3,1,1),Dados!$A:$A,INDEX($D:$E,MATCH("E",$D:$D,0),2))=0,"",SUMIFS(Dados!$G:$G,Dados!$E:$E,$B28,Dados!$C:$C,INDEX(R$3,1,1),Dados!$A:$A,INDEX($D:$E,MATCH("E",$D:$D,0),2))/COUNTIFS(Dados!$E:$E,$B28,Dados!$C:$C,INDEX(R$3,1,1),Dados!$A:$A,INDEX($D:$E,MATCH("E",$D:$D,0),2)))</f>
        <v/>
      </c>
      <c r="S28" s="68" t="str">
        <f>IF(COUNTIFS(Dados!$E:$E,$B28,Dados!$C:$C,INDEX(S$3,1,1),Dados!$A:$A,INDEX($D:$E,MATCH("E",$D:$D,0),2))=0,"",SUMIFS(Dados!$G:$G,Dados!$E:$E,$B28,Dados!$C:$C,INDEX(S$3,1,1),Dados!$A:$A,INDEX($D:$E,MATCH("E",$D:$D,0),2))/COUNTIFS(Dados!$E:$E,$B28,Dados!$C:$C,INDEX(S$3,1,1),Dados!$A:$A,INDEX($D:$E,MATCH("E",$D:$D,0),2)))</f>
        <v/>
      </c>
      <c r="T28" s="68" t="str">
        <f>IF(COUNTIFS(Dados!$E:$E,$B28,Dados!$C:$C,INDEX(T$3,1,1),Dados!$A:$A,INDEX($D:$E,MATCH("E",$D:$D,0),2))=0,"",SUMIFS(Dados!$G:$G,Dados!$E:$E,$B28,Dados!$C:$C,INDEX(T$3,1,1),Dados!$A:$A,INDEX($D:$E,MATCH("E",$D:$D,0),2))/COUNTIFS(Dados!$E:$E,$B28,Dados!$C:$C,INDEX(T$3,1,1),Dados!$A:$A,INDEX($D:$E,MATCH("E",$D:$D,0),2)))</f>
        <v/>
      </c>
      <c r="U28" s="68" t="str">
        <f>IF(COUNTIFS(Dados!$E:$E,$B28,Dados!$C:$C,INDEX(U$3,1,1),Dados!$A:$A,INDEX($D:$E,MATCH("E",$D:$D,0),2))=0,"",SUMIFS(Dados!$G:$G,Dados!$E:$E,$B28,Dados!$C:$C,INDEX(U$3,1,1),Dados!$A:$A,INDEX($D:$E,MATCH("E",$D:$D,0),2))/COUNTIFS(Dados!$E:$E,$B28,Dados!$C:$C,INDEX(U$3,1,1),Dados!$A:$A,INDEX($D:$E,MATCH("E",$D:$D,0),2)))</f>
        <v/>
      </c>
    </row>
    <row r="29" spans="2:21" s="46" customFormat="1" x14ac:dyDescent="0.25">
      <c r="B29" s="50" t="s">
        <v>1293</v>
      </c>
      <c r="C29" s="57"/>
      <c r="D29" s="66"/>
      <c r="E29" s="66"/>
      <c r="F29" s="66"/>
      <c r="G29" s="66"/>
      <c r="H29" s="66"/>
      <c r="I29" s="66"/>
      <c r="J29" s="66"/>
      <c r="K29" s="66"/>
      <c r="L29" s="66"/>
      <c r="M29" s="66"/>
      <c r="N29" s="66"/>
      <c r="O29" s="66"/>
      <c r="P29" s="66"/>
      <c r="Q29" s="66"/>
      <c r="R29" s="66"/>
      <c r="S29" s="66"/>
      <c r="T29" s="66"/>
      <c r="U29" s="66"/>
    </row>
    <row r="30" spans="2:21" x14ac:dyDescent="0.25">
      <c r="B30" s="34" t="s">
        <v>983</v>
      </c>
      <c r="C30" s="58"/>
      <c r="D30" s="58" t="s">
        <v>1277</v>
      </c>
      <c r="E30" s="73">
        <v>20</v>
      </c>
      <c r="F30" s="60"/>
      <c r="G30" s="60"/>
      <c r="H30" s="60"/>
      <c r="I30" s="60"/>
      <c r="J30" s="60"/>
      <c r="K30" s="60"/>
      <c r="L30" s="60"/>
      <c r="M30" s="60"/>
      <c r="N30" s="60"/>
      <c r="O30" s="60"/>
      <c r="P30" s="60"/>
      <c r="Q30" s="60"/>
      <c r="R30" s="60"/>
      <c r="S30" s="60"/>
      <c r="T30" s="60"/>
      <c r="U30" s="60"/>
    </row>
    <row r="31" spans="2:21" x14ac:dyDescent="0.25">
      <c r="B31" s="48" t="s">
        <v>974</v>
      </c>
      <c r="C31" s="55"/>
      <c r="D31" s="61">
        <v>1978</v>
      </c>
      <c r="E31" s="61">
        <v>1982</v>
      </c>
      <c r="F31" s="61">
        <v>1991</v>
      </c>
      <c r="G31" s="61">
        <v>1996</v>
      </c>
      <c r="H31" s="61">
        <v>1997</v>
      </c>
      <c r="I31" s="61">
        <v>1998</v>
      </c>
      <c r="J31" s="61">
        <v>1999</v>
      </c>
      <c r="K31" s="61">
        <v>2000</v>
      </c>
      <c r="L31" s="61">
        <v>2001</v>
      </c>
      <c r="M31" s="61">
        <v>2002</v>
      </c>
      <c r="N31" s="61">
        <v>2003</v>
      </c>
      <c r="O31" s="61">
        <v>2004</v>
      </c>
      <c r="P31" s="61">
        <v>2005</v>
      </c>
      <c r="Q31" s="61">
        <v>2006</v>
      </c>
      <c r="R31" s="61">
        <v>2007</v>
      </c>
      <c r="S31" s="61">
        <v>2010</v>
      </c>
      <c r="T31" s="61">
        <v>2011</v>
      </c>
      <c r="U31" s="62">
        <v>2012</v>
      </c>
    </row>
    <row r="32" spans="2:21" x14ac:dyDescent="0.25">
      <c r="B32" s="52" t="s">
        <v>1294</v>
      </c>
      <c r="C32" s="56" t="s">
        <v>1292</v>
      </c>
      <c r="D32" s="68" t="str">
        <f>IF(COUNTIFS(Dados!$E:$E,$B32,Dados!$C:$C,INDEX(D$3,1,1),Dados!$A:$A,INDEX($D:$E,MATCH("F",$D:$D,0),2))=0,"",SUMIFS(Dados!$G:$G,Dados!$E:$E,$B32,Dados!$C:$C,INDEX(D$3,1,1),Dados!$A:$A,INDEX($D:$E,MATCH("F",$D:$D,0),2))/COUNTIFS(Dados!$E:$E,$B32,Dados!$C:$C,INDEX(D$3,1,1),Dados!$A:$A,INDEX($D:$E,MATCH("F",$D:$D,0),2)))</f>
        <v/>
      </c>
      <c r="E32" s="68" t="str">
        <f>IF(COUNTIFS(Dados!$E:$E,$B32,Dados!$C:$C,INDEX(E$3,1,1),Dados!$A:$A,INDEX($D:$E,MATCH("F",$D:$D,0),2))=0,"",SUMIFS(Dados!$G:$G,Dados!$E:$E,$B32,Dados!$C:$C,INDEX(E$3,1,1),Dados!$A:$A,INDEX($D:$E,MATCH("F",$D:$D,0),2))/COUNTIFS(Dados!$E:$E,$B32,Dados!$C:$C,INDEX(E$3,1,1),Dados!$A:$A,INDEX($D:$E,MATCH("F",$D:$D,0),2)))</f>
        <v/>
      </c>
      <c r="F32" s="68" t="str">
        <f>IF(COUNTIFS(Dados!$E:$E,$B32,Dados!$C:$C,INDEX(F$3,1,1),Dados!$A:$A,INDEX($D:$E,MATCH("F",$D:$D,0),2))=0,"",SUMIFS(Dados!$G:$G,Dados!$E:$E,$B32,Dados!$C:$C,INDEX(F$3,1,1),Dados!$A:$A,INDEX($D:$E,MATCH("F",$D:$D,0),2))/COUNTIFS(Dados!$E:$E,$B32,Dados!$C:$C,INDEX(F$3,1,1),Dados!$A:$A,INDEX($D:$E,MATCH("F",$D:$D,0),2)))</f>
        <v/>
      </c>
      <c r="G32" s="68" t="str">
        <f>IF(COUNTIFS(Dados!$E:$E,$B32,Dados!$C:$C,INDEX(G$3,1,1),Dados!$A:$A,INDEX($D:$E,MATCH("F",$D:$D,0),2))=0,"",SUMIFS(Dados!$G:$G,Dados!$E:$E,$B32,Dados!$C:$C,INDEX(G$3,1,1),Dados!$A:$A,INDEX($D:$E,MATCH("F",$D:$D,0),2))/COUNTIFS(Dados!$E:$E,$B32,Dados!$C:$C,INDEX(G$3,1,1),Dados!$A:$A,INDEX($D:$E,MATCH("F",$D:$D,0),2)))</f>
        <v/>
      </c>
      <c r="H32" s="68" t="str">
        <f>IF(COUNTIFS(Dados!$E:$E,$B32,Dados!$C:$C,INDEX(H$3,1,1),Dados!$A:$A,INDEX($D:$E,MATCH("F",$D:$D,0),2))=0,"",SUMIFS(Dados!$G:$G,Dados!$E:$E,$B32,Dados!$C:$C,INDEX(H$3,1,1),Dados!$A:$A,INDEX($D:$E,MATCH("F",$D:$D,0),2))/COUNTIFS(Dados!$E:$E,$B32,Dados!$C:$C,INDEX(H$3,1,1),Dados!$A:$A,INDEX($D:$E,MATCH("F",$D:$D,0),2)))</f>
        <v/>
      </c>
      <c r="I32" s="68" t="str">
        <f>IF(COUNTIFS(Dados!$E:$E,$B32,Dados!$C:$C,INDEX(I$3,1,1),Dados!$A:$A,INDEX($D:$E,MATCH("F",$D:$D,0),2))=0,"",SUMIFS(Dados!$G:$G,Dados!$E:$E,$B32,Dados!$C:$C,INDEX(I$3,1,1),Dados!$A:$A,INDEX($D:$E,MATCH("F",$D:$D,0),2))/COUNTIFS(Dados!$E:$E,$B32,Dados!$C:$C,INDEX(I$3,1,1),Dados!$A:$A,INDEX($D:$E,MATCH("F",$D:$D,0),2)))</f>
        <v/>
      </c>
      <c r="J32" s="68" t="str">
        <f>IF(COUNTIFS(Dados!$E:$E,$B32,Dados!$C:$C,INDEX(J$3,1,1),Dados!$A:$A,INDEX($D:$E,MATCH("F",$D:$D,0),2))=0,"",SUMIFS(Dados!$G:$G,Dados!$E:$E,$B32,Dados!$C:$C,INDEX(J$3,1,1),Dados!$A:$A,INDEX($D:$E,MATCH("F",$D:$D,0),2))/COUNTIFS(Dados!$E:$E,$B32,Dados!$C:$C,INDEX(J$3,1,1),Dados!$A:$A,INDEX($D:$E,MATCH("F",$D:$D,0),2)))</f>
        <v/>
      </c>
      <c r="K32" s="68" t="str">
        <f>IF(COUNTIFS(Dados!$E:$E,$B32,Dados!$C:$C,INDEX(K$3,1,1),Dados!$A:$A,INDEX($D:$E,MATCH("F",$D:$D,0),2))=0,"",SUMIFS(Dados!$G:$G,Dados!$E:$E,$B32,Dados!$C:$C,INDEX(K$3,1,1),Dados!$A:$A,INDEX($D:$E,MATCH("F",$D:$D,0),2))/COUNTIFS(Dados!$E:$E,$B32,Dados!$C:$C,INDEX(K$3,1,1),Dados!$A:$A,INDEX($D:$E,MATCH("F",$D:$D,0),2)))</f>
        <v/>
      </c>
      <c r="L32" s="68" t="str">
        <f>IF(COUNTIFS(Dados!$E:$E,$B32,Dados!$C:$C,INDEX(L$3,1,1),Dados!$A:$A,INDEX($D:$E,MATCH("F",$D:$D,0),2))=0,"",SUMIFS(Dados!$G:$G,Dados!$E:$E,$B32,Dados!$C:$C,INDEX(L$3,1,1),Dados!$A:$A,INDEX($D:$E,MATCH("F",$D:$D,0),2))/COUNTIFS(Dados!$E:$E,$B32,Dados!$C:$C,INDEX(L$3,1,1),Dados!$A:$A,INDEX($D:$E,MATCH("F",$D:$D,0),2)))</f>
        <v/>
      </c>
      <c r="M32" s="68" t="str">
        <f>IF(COUNTIFS(Dados!$E:$E,$B32,Dados!$C:$C,INDEX(M$3,1,1),Dados!$A:$A,INDEX($D:$E,MATCH("F",$D:$D,0),2))=0,"",SUMIFS(Dados!$G:$G,Dados!$E:$E,$B32,Dados!$C:$C,INDEX(M$3,1,1),Dados!$A:$A,INDEX($D:$E,MATCH("F",$D:$D,0),2))/COUNTIFS(Dados!$E:$E,$B32,Dados!$C:$C,INDEX(M$3,1,1),Dados!$A:$A,INDEX($D:$E,MATCH("F",$D:$D,0),2)))</f>
        <v/>
      </c>
      <c r="N32" s="68" t="str">
        <f>IF(COUNTIFS(Dados!$E:$E,$B32,Dados!$C:$C,INDEX(N$3,1,1),Dados!$A:$A,INDEX($D:$E,MATCH("F",$D:$D,0),2))=0,"",SUMIFS(Dados!$G:$G,Dados!$E:$E,$B32,Dados!$C:$C,INDEX(N$3,1,1),Dados!$A:$A,INDEX($D:$E,MATCH("F",$D:$D,0),2))/COUNTIFS(Dados!$E:$E,$B32,Dados!$C:$C,INDEX(N$3,1,1),Dados!$A:$A,INDEX($D:$E,MATCH("F",$D:$D,0),2)))</f>
        <v/>
      </c>
      <c r="O32" s="68" t="str">
        <f>IF(COUNTIFS(Dados!$E:$E,$B32,Dados!$C:$C,INDEX(O$3,1,1),Dados!$A:$A,INDEX($D:$E,MATCH("F",$D:$D,0),2))=0,"",SUMIFS(Dados!$G:$G,Dados!$E:$E,$B32,Dados!$C:$C,INDEX(O$3,1,1),Dados!$A:$A,INDEX($D:$E,MATCH("F",$D:$D,0),2))/COUNTIFS(Dados!$E:$E,$B32,Dados!$C:$C,INDEX(O$3,1,1),Dados!$A:$A,INDEX($D:$E,MATCH("F",$D:$D,0),2)))</f>
        <v/>
      </c>
      <c r="P32" s="68" t="str">
        <f>IF(COUNTIFS(Dados!$E:$E,$B32,Dados!$C:$C,INDEX(P$3,1,1),Dados!$A:$A,INDEX($D:$E,MATCH("F",$D:$D,0),2))=0,"",SUMIFS(Dados!$G:$G,Dados!$E:$E,$B32,Dados!$C:$C,INDEX(P$3,1,1),Dados!$A:$A,INDEX($D:$E,MATCH("F",$D:$D,0),2))/COUNTIFS(Dados!$E:$E,$B32,Dados!$C:$C,INDEX(P$3,1,1),Dados!$A:$A,INDEX($D:$E,MATCH("F",$D:$D,0),2)))</f>
        <v/>
      </c>
      <c r="Q32" s="68" t="str">
        <f>IF(COUNTIFS(Dados!$E:$E,$B32,Dados!$C:$C,INDEX(Q$3,1,1),Dados!$A:$A,INDEX($D:$E,MATCH("F",$D:$D,0),2))=0,"",SUMIFS(Dados!$G:$G,Dados!$E:$E,$B32,Dados!$C:$C,INDEX(Q$3,1,1),Dados!$A:$A,INDEX($D:$E,MATCH("F",$D:$D,0),2))/COUNTIFS(Dados!$E:$E,$B32,Dados!$C:$C,INDEX(Q$3,1,1),Dados!$A:$A,INDEX($D:$E,MATCH("F",$D:$D,0),2)))</f>
        <v/>
      </c>
      <c r="R32" s="68">
        <f>IF(COUNTIFS(Dados!$E:$E,$B32,Dados!$C:$C,INDEX(R$3,1,1),Dados!$A:$A,INDEX($D:$E,MATCH("F",$D:$D,0),2))=0,"",SUMIFS(Dados!$G:$G,Dados!$E:$E,$B32,Dados!$C:$C,INDEX(R$3,1,1),Dados!$A:$A,INDEX($D:$E,MATCH("F",$D:$D,0),2))/COUNTIFS(Dados!$E:$E,$B32,Dados!$C:$C,INDEX(R$3,1,1),Dados!$A:$A,INDEX($D:$E,MATCH("F",$D:$D,0),2)))</f>
        <v>0.77981281109019107</v>
      </c>
      <c r="S32" s="68" t="str">
        <f>IF(COUNTIFS(Dados!$E:$E,$B32,Dados!$C:$C,INDEX(S$3,1,1),Dados!$A:$A,INDEX($D:$E,MATCH("F",$D:$D,0),2))=0,"",SUMIFS(Dados!$G:$G,Dados!$E:$E,$B32,Dados!$C:$C,INDEX(S$3,1,1),Dados!$A:$A,INDEX($D:$E,MATCH("F",$D:$D,0),2))/COUNTIFS(Dados!$E:$E,$B32,Dados!$C:$C,INDEX(S$3,1,1),Dados!$A:$A,INDEX($D:$E,MATCH("F",$D:$D,0),2)))</f>
        <v/>
      </c>
      <c r="T32" s="68" t="str">
        <f>IF(COUNTIFS(Dados!$E:$E,$B32,Dados!$C:$C,INDEX(T$3,1,1),Dados!$A:$A,INDEX($D:$E,MATCH("F",$D:$D,0),2))=0,"",SUMIFS(Dados!$G:$G,Dados!$E:$E,$B32,Dados!$C:$C,INDEX(T$3,1,1),Dados!$A:$A,INDEX($D:$E,MATCH("F",$D:$D,0),2))/COUNTIFS(Dados!$E:$E,$B32,Dados!$C:$C,INDEX(T$3,1,1),Dados!$A:$A,INDEX($D:$E,MATCH("F",$D:$D,0),2)))</f>
        <v/>
      </c>
      <c r="U32" s="68" t="str">
        <f>IF(COUNTIFS(Dados!$E:$E,$B32,Dados!$C:$C,INDEX(U$3,1,1),Dados!$A:$A,INDEX($D:$E,MATCH("F",$D:$D,0),2))=0,"",SUMIFS(Dados!$G:$G,Dados!$E:$E,$B32,Dados!$C:$C,INDEX(U$3,1,1),Dados!$A:$A,INDEX($D:$E,MATCH("F",$D:$D,0),2))/COUNTIFS(Dados!$E:$E,$B32,Dados!$C:$C,INDEX(U$3,1,1),Dados!$A:$A,INDEX($D:$E,MATCH("F",$D:$D,0),2)))</f>
        <v/>
      </c>
    </row>
    <row r="33" spans="2:21" x14ac:dyDescent="0.25">
      <c r="B33" s="50" t="s">
        <v>1293</v>
      </c>
      <c r="C33" s="57"/>
      <c r="D33" s="66"/>
      <c r="E33" s="66"/>
      <c r="F33" s="66"/>
      <c r="G33" s="66"/>
      <c r="H33" s="66"/>
      <c r="I33" s="66"/>
      <c r="J33" s="66"/>
      <c r="K33" s="66"/>
      <c r="L33" s="66"/>
      <c r="M33" s="66"/>
      <c r="N33" s="66"/>
      <c r="O33" s="66"/>
      <c r="P33" s="66"/>
      <c r="Q33" s="66"/>
      <c r="R33" s="66"/>
      <c r="S33" s="66"/>
      <c r="T33" s="66"/>
      <c r="U33" s="66"/>
    </row>
    <row r="34" spans="2:21" x14ac:dyDescent="0.25">
      <c r="B34" s="34" t="s">
        <v>983</v>
      </c>
      <c r="C34" s="58"/>
      <c r="D34" s="58" t="s">
        <v>1278</v>
      </c>
      <c r="E34" s="73">
        <v>25</v>
      </c>
      <c r="F34" s="60"/>
      <c r="G34" s="60"/>
      <c r="H34" s="60"/>
      <c r="I34" s="60"/>
      <c r="J34" s="60"/>
      <c r="K34" s="60"/>
      <c r="L34" s="60"/>
      <c r="M34" s="60"/>
      <c r="N34" s="60"/>
      <c r="O34" s="60"/>
      <c r="P34" s="60"/>
      <c r="Q34" s="60"/>
      <c r="R34" s="60"/>
      <c r="S34" s="60"/>
      <c r="T34" s="60"/>
      <c r="U34" s="60"/>
    </row>
    <row r="35" spans="2:21" x14ac:dyDescent="0.25">
      <c r="B35" s="48" t="s">
        <v>974</v>
      </c>
      <c r="C35" s="55"/>
      <c r="D35" s="61">
        <v>1978</v>
      </c>
      <c r="E35" s="61">
        <v>1982</v>
      </c>
      <c r="F35" s="61">
        <v>1991</v>
      </c>
      <c r="G35" s="61">
        <v>1996</v>
      </c>
      <c r="H35" s="61">
        <v>1997</v>
      </c>
      <c r="I35" s="61">
        <v>1998</v>
      </c>
      <c r="J35" s="61">
        <v>1999</v>
      </c>
      <c r="K35" s="61">
        <v>2000</v>
      </c>
      <c r="L35" s="61">
        <v>2001</v>
      </c>
      <c r="M35" s="61">
        <v>2002</v>
      </c>
      <c r="N35" s="61">
        <v>2003</v>
      </c>
      <c r="O35" s="61">
        <v>2004</v>
      </c>
      <c r="P35" s="61">
        <v>2005</v>
      </c>
      <c r="Q35" s="61">
        <v>2006</v>
      </c>
      <c r="R35" s="61">
        <v>2007</v>
      </c>
      <c r="S35" s="61">
        <v>2010</v>
      </c>
      <c r="T35" s="61">
        <v>2011</v>
      </c>
      <c r="U35" s="62">
        <v>2012</v>
      </c>
    </row>
    <row r="36" spans="2:21" x14ac:dyDescent="0.25">
      <c r="B36" s="52" t="s">
        <v>1294</v>
      </c>
      <c r="C36" s="56" t="s">
        <v>1292</v>
      </c>
      <c r="D36" s="68" t="str">
        <f>IF(COUNTIFS(Dados!$E:$E,$B36,Dados!$C:$C,INDEX(D$3,1,1),Dados!$A:$A,INDEX($D:$E,MATCH("G",$D:$D,0),2))=0,"",SUMIFS(Dados!$G:$G,Dados!$E:$E,$B36,Dados!$C:$C,INDEX(D$3,1,1),Dados!$A:$A,INDEX($D:$E,MATCH("G",$D:$D,0),2))/COUNTIFS(Dados!$E:$E,$B36,Dados!$C:$C,INDEX(D$3,1,1),Dados!$A:$A,INDEX($D:$E,MATCH("G",$D:$D,0),2)))</f>
        <v/>
      </c>
      <c r="E36" s="68" t="str">
        <f>IF(COUNTIFS(Dados!$E:$E,$B36,Dados!$C:$C,INDEX(E$3,1,1),Dados!$A:$A,INDEX($D:$E,MATCH("G",$D:$D,0),2))=0,"",SUMIFS(Dados!$G:$G,Dados!$E:$E,$B36,Dados!$C:$C,INDEX(E$3,1,1),Dados!$A:$A,INDEX($D:$E,MATCH("G",$D:$D,0),2))/COUNTIFS(Dados!$E:$E,$B36,Dados!$C:$C,INDEX(E$3,1,1),Dados!$A:$A,INDEX($D:$E,MATCH("G",$D:$D,0),2)))</f>
        <v/>
      </c>
      <c r="F36" s="68" t="str">
        <f>IF(COUNTIFS(Dados!$E:$E,$B36,Dados!$C:$C,INDEX(F$3,1,1),Dados!$A:$A,INDEX($D:$E,MATCH("G",$D:$D,0),2))=0,"",SUMIFS(Dados!$G:$G,Dados!$E:$E,$B36,Dados!$C:$C,INDEX(F$3,1,1),Dados!$A:$A,INDEX($D:$E,MATCH("G",$D:$D,0),2))/COUNTIFS(Dados!$E:$E,$B36,Dados!$C:$C,INDEX(F$3,1,1),Dados!$A:$A,INDEX($D:$E,MATCH("G",$D:$D,0),2)))</f>
        <v/>
      </c>
      <c r="G36" s="68" t="str">
        <f>IF(COUNTIFS(Dados!$E:$E,$B36,Dados!$C:$C,INDEX(G$3,1,1),Dados!$A:$A,INDEX($D:$E,MATCH("G",$D:$D,0),2))=0,"",SUMIFS(Dados!$G:$G,Dados!$E:$E,$B36,Dados!$C:$C,INDEX(G$3,1,1),Dados!$A:$A,INDEX($D:$E,MATCH("G",$D:$D,0),2))/COUNTIFS(Dados!$E:$E,$B36,Dados!$C:$C,INDEX(G$3,1,1),Dados!$A:$A,INDEX($D:$E,MATCH("G",$D:$D,0),2)))</f>
        <v/>
      </c>
      <c r="H36" s="68" t="str">
        <f>IF(COUNTIFS(Dados!$E:$E,$B36,Dados!$C:$C,INDEX(H$3,1,1),Dados!$A:$A,INDEX($D:$E,MATCH("G",$D:$D,0),2))=0,"",SUMIFS(Dados!$G:$G,Dados!$E:$E,$B36,Dados!$C:$C,INDEX(H$3,1,1),Dados!$A:$A,INDEX($D:$E,MATCH("G",$D:$D,0),2))/COUNTIFS(Dados!$E:$E,$B36,Dados!$C:$C,INDEX(H$3,1,1),Dados!$A:$A,INDEX($D:$E,MATCH("G",$D:$D,0),2)))</f>
        <v/>
      </c>
      <c r="I36" s="68" t="str">
        <f>IF(COUNTIFS(Dados!$E:$E,$B36,Dados!$C:$C,INDEX(I$3,1,1),Dados!$A:$A,INDEX($D:$E,MATCH("G",$D:$D,0),2))=0,"",SUMIFS(Dados!$G:$G,Dados!$E:$E,$B36,Dados!$C:$C,INDEX(I$3,1,1),Dados!$A:$A,INDEX($D:$E,MATCH("G",$D:$D,0),2))/COUNTIFS(Dados!$E:$E,$B36,Dados!$C:$C,INDEX(I$3,1,1),Dados!$A:$A,INDEX($D:$E,MATCH("G",$D:$D,0),2)))</f>
        <v/>
      </c>
      <c r="J36" s="68" t="str">
        <f>IF(COUNTIFS(Dados!$E:$E,$B36,Dados!$C:$C,INDEX(J$3,1,1),Dados!$A:$A,INDEX($D:$E,MATCH("G",$D:$D,0),2))=0,"",SUMIFS(Dados!$G:$G,Dados!$E:$E,$B36,Dados!$C:$C,INDEX(J$3,1,1),Dados!$A:$A,INDEX($D:$E,MATCH("G",$D:$D,0),2))/COUNTIFS(Dados!$E:$E,$B36,Dados!$C:$C,INDEX(J$3,1,1),Dados!$A:$A,INDEX($D:$E,MATCH("G",$D:$D,0),2)))</f>
        <v/>
      </c>
      <c r="K36" s="68" t="str">
        <f>IF(COUNTIFS(Dados!$E:$E,$B36,Dados!$C:$C,INDEX(K$3,1,1),Dados!$A:$A,INDEX($D:$E,MATCH("G",$D:$D,0),2))=0,"",SUMIFS(Dados!$G:$G,Dados!$E:$E,$B36,Dados!$C:$C,INDEX(K$3,1,1),Dados!$A:$A,INDEX($D:$E,MATCH("G",$D:$D,0),2))/COUNTIFS(Dados!$E:$E,$B36,Dados!$C:$C,INDEX(K$3,1,1),Dados!$A:$A,INDEX($D:$E,MATCH("G",$D:$D,0),2)))</f>
        <v/>
      </c>
      <c r="L36" s="68" t="str">
        <f>IF(COUNTIFS(Dados!$E:$E,$B36,Dados!$C:$C,INDEX(L$3,1,1),Dados!$A:$A,INDEX($D:$E,MATCH("G",$D:$D,0),2))=0,"",SUMIFS(Dados!$G:$G,Dados!$E:$E,$B36,Dados!$C:$C,INDEX(L$3,1,1),Dados!$A:$A,INDEX($D:$E,MATCH("G",$D:$D,0),2))/COUNTIFS(Dados!$E:$E,$B36,Dados!$C:$C,INDEX(L$3,1,1),Dados!$A:$A,INDEX($D:$E,MATCH("G",$D:$D,0),2)))</f>
        <v/>
      </c>
      <c r="M36" s="68" t="str">
        <f>IF(COUNTIFS(Dados!$E:$E,$B36,Dados!$C:$C,INDEX(M$3,1,1),Dados!$A:$A,INDEX($D:$E,MATCH("G",$D:$D,0),2))=0,"",SUMIFS(Dados!$G:$G,Dados!$E:$E,$B36,Dados!$C:$C,INDEX(M$3,1,1),Dados!$A:$A,INDEX($D:$E,MATCH("G",$D:$D,0),2))/COUNTIFS(Dados!$E:$E,$B36,Dados!$C:$C,INDEX(M$3,1,1),Dados!$A:$A,INDEX($D:$E,MATCH("G",$D:$D,0),2)))</f>
        <v/>
      </c>
      <c r="N36" s="68" t="str">
        <f>IF(COUNTIFS(Dados!$E:$E,$B36,Dados!$C:$C,INDEX(N$3,1,1),Dados!$A:$A,INDEX($D:$E,MATCH("G",$D:$D,0),2))=0,"",SUMIFS(Dados!$G:$G,Dados!$E:$E,$B36,Dados!$C:$C,INDEX(N$3,1,1),Dados!$A:$A,INDEX($D:$E,MATCH("G",$D:$D,0),2))/COUNTIFS(Dados!$E:$E,$B36,Dados!$C:$C,INDEX(N$3,1,1),Dados!$A:$A,INDEX($D:$E,MATCH("G",$D:$D,0),2)))</f>
        <v/>
      </c>
      <c r="O36" s="68" t="str">
        <f>IF(COUNTIFS(Dados!$E:$E,$B36,Dados!$C:$C,INDEX(O$3,1,1),Dados!$A:$A,INDEX($D:$E,MATCH("G",$D:$D,0),2))=0,"",SUMIFS(Dados!$G:$G,Dados!$E:$E,$B36,Dados!$C:$C,INDEX(O$3,1,1),Dados!$A:$A,INDEX($D:$E,MATCH("G",$D:$D,0),2))/COUNTIFS(Dados!$E:$E,$B36,Dados!$C:$C,INDEX(O$3,1,1),Dados!$A:$A,INDEX($D:$E,MATCH("G",$D:$D,0),2)))</f>
        <v/>
      </c>
      <c r="P36" s="68" t="str">
        <f>IF(COUNTIFS(Dados!$E:$E,$B36,Dados!$C:$C,INDEX(P$3,1,1),Dados!$A:$A,INDEX($D:$E,MATCH("G",$D:$D,0),2))=0,"",SUMIFS(Dados!$G:$G,Dados!$E:$E,$B36,Dados!$C:$C,INDEX(P$3,1,1),Dados!$A:$A,INDEX($D:$E,MATCH("G",$D:$D,0),2))/COUNTIFS(Dados!$E:$E,$B36,Dados!$C:$C,INDEX(P$3,1,1),Dados!$A:$A,INDEX($D:$E,MATCH("G",$D:$D,0),2)))</f>
        <v/>
      </c>
      <c r="Q36" s="68" t="str">
        <f>IF(COUNTIFS(Dados!$E:$E,$B36,Dados!$C:$C,INDEX(Q$3,1,1),Dados!$A:$A,INDEX($D:$E,MATCH("G",$D:$D,0),2))=0,"",SUMIFS(Dados!$G:$G,Dados!$E:$E,$B36,Dados!$C:$C,INDEX(Q$3,1,1),Dados!$A:$A,INDEX($D:$E,MATCH("G",$D:$D,0),2))/COUNTIFS(Dados!$E:$E,$B36,Dados!$C:$C,INDEX(Q$3,1,1),Dados!$A:$A,INDEX($D:$E,MATCH("G",$D:$D,0),2)))</f>
        <v/>
      </c>
      <c r="R36" s="68" t="str">
        <f>IF(COUNTIFS(Dados!$E:$E,$B36,Dados!$C:$C,INDEX(R$3,1,1),Dados!$A:$A,INDEX($D:$E,MATCH("G",$D:$D,0),2))=0,"",SUMIFS(Dados!$G:$G,Dados!$E:$E,$B36,Dados!$C:$C,INDEX(R$3,1,1),Dados!$A:$A,INDEX($D:$E,MATCH("G",$D:$D,0),2))/COUNTIFS(Dados!$E:$E,$B36,Dados!$C:$C,INDEX(R$3,1,1),Dados!$A:$A,INDEX($D:$E,MATCH("G",$D:$D,0),2)))</f>
        <v/>
      </c>
      <c r="S36" s="68" t="str">
        <f>IF(COUNTIFS(Dados!$E:$E,$B36,Dados!$C:$C,INDEX(S$3,1,1),Dados!$A:$A,INDEX($D:$E,MATCH("G",$D:$D,0),2))=0,"",SUMIFS(Dados!$G:$G,Dados!$E:$E,$B36,Dados!$C:$C,INDEX(S$3,1,1),Dados!$A:$A,INDEX($D:$E,MATCH("G",$D:$D,0),2))/COUNTIFS(Dados!$E:$E,$B36,Dados!$C:$C,INDEX(S$3,1,1),Dados!$A:$A,INDEX($D:$E,MATCH("G",$D:$D,0),2)))</f>
        <v/>
      </c>
      <c r="T36" s="68" t="str">
        <f>IF(COUNTIFS(Dados!$E:$E,$B36,Dados!$C:$C,INDEX(T$3,1,1),Dados!$A:$A,INDEX($D:$E,MATCH("G",$D:$D,0),2))=0,"",SUMIFS(Dados!$G:$G,Dados!$E:$E,$B36,Dados!$C:$C,INDEX(T$3,1,1),Dados!$A:$A,INDEX($D:$E,MATCH("G",$D:$D,0),2))/COUNTIFS(Dados!$E:$E,$B36,Dados!$C:$C,INDEX(T$3,1,1),Dados!$A:$A,INDEX($D:$E,MATCH("G",$D:$D,0),2)))</f>
        <v/>
      </c>
      <c r="U36" s="68" t="str">
        <f>IF(COUNTIFS(Dados!$E:$E,$B36,Dados!$C:$C,INDEX(U$3,1,1),Dados!$A:$A,INDEX($D:$E,MATCH("G",$D:$D,0),2))=0,"",SUMIFS(Dados!$G:$G,Dados!$E:$E,$B36,Dados!$C:$C,INDEX(U$3,1,1),Dados!$A:$A,INDEX($D:$E,MATCH("G",$D:$D,0),2))/COUNTIFS(Dados!$E:$E,$B36,Dados!$C:$C,INDEX(U$3,1,1),Dados!$A:$A,INDEX($D:$E,MATCH("G",$D:$D,0),2)))</f>
        <v/>
      </c>
    </row>
    <row r="37" spans="2:21" x14ac:dyDescent="0.25">
      <c r="B37" s="50" t="s">
        <v>1293</v>
      </c>
      <c r="C37" s="57"/>
      <c r="D37" s="66"/>
      <c r="E37" s="66"/>
      <c r="F37" s="66"/>
      <c r="G37" s="66"/>
      <c r="H37" s="66"/>
      <c r="I37" s="66"/>
      <c r="J37" s="66"/>
      <c r="K37" s="66"/>
      <c r="L37" s="66"/>
      <c r="M37" s="66"/>
      <c r="N37" s="66"/>
      <c r="O37" s="66"/>
      <c r="P37" s="66"/>
      <c r="Q37" s="66"/>
      <c r="R37" s="66"/>
      <c r="S37" s="66"/>
      <c r="T37" s="66"/>
      <c r="U37" s="66"/>
    </row>
    <row r="38" spans="2:21" x14ac:dyDescent="0.25">
      <c r="B38" s="34" t="s">
        <v>983</v>
      </c>
      <c r="C38" s="58"/>
      <c r="D38" s="58" t="s">
        <v>1279</v>
      </c>
      <c r="E38" s="73">
        <v>30</v>
      </c>
      <c r="F38" s="60"/>
      <c r="G38" s="60"/>
      <c r="H38" s="60"/>
      <c r="I38" s="60"/>
      <c r="J38" s="60"/>
      <c r="K38" s="60"/>
      <c r="L38" s="60"/>
      <c r="M38" s="60"/>
      <c r="N38" s="60"/>
      <c r="O38" s="60"/>
      <c r="P38" s="60"/>
      <c r="Q38" s="60"/>
      <c r="R38" s="60"/>
      <c r="S38" s="60"/>
      <c r="T38" s="60"/>
      <c r="U38" s="60"/>
    </row>
    <row r="39" spans="2:21" x14ac:dyDescent="0.25">
      <c r="B39" s="48" t="s">
        <v>974</v>
      </c>
      <c r="C39" s="55"/>
      <c r="D39" s="61">
        <v>1978</v>
      </c>
      <c r="E39" s="61">
        <v>1982</v>
      </c>
      <c r="F39" s="61">
        <v>1991</v>
      </c>
      <c r="G39" s="61">
        <v>1996</v>
      </c>
      <c r="H39" s="61">
        <v>1997</v>
      </c>
      <c r="I39" s="61">
        <v>1998</v>
      </c>
      <c r="J39" s="61">
        <v>1999</v>
      </c>
      <c r="K39" s="61">
        <v>2000</v>
      </c>
      <c r="L39" s="61">
        <v>2001</v>
      </c>
      <c r="M39" s="61">
        <v>2002</v>
      </c>
      <c r="N39" s="61">
        <v>2003</v>
      </c>
      <c r="O39" s="61">
        <v>2004</v>
      </c>
      <c r="P39" s="61">
        <v>2005</v>
      </c>
      <c r="Q39" s="61">
        <v>2006</v>
      </c>
      <c r="R39" s="61">
        <v>2007</v>
      </c>
      <c r="S39" s="61">
        <v>2010</v>
      </c>
      <c r="T39" s="61">
        <v>2011</v>
      </c>
      <c r="U39" s="62">
        <v>2012</v>
      </c>
    </row>
    <row r="40" spans="2:21" x14ac:dyDescent="0.25">
      <c r="B40" s="52" t="s">
        <v>1294</v>
      </c>
      <c r="C40" s="56" t="s">
        <v>1292</v>
      </c>
      <c r="D40" s="68" t="str">
        <f>IF(COUNTIFS(Dados!$E:$E,$B40,Dados!$C:$C,INDEX(D$3,1,1),Dados!$A:$A,INDEX($D:$E,MATCH("J",$D:$D,0),2))=0,"",SUMIFS(Dados!$G:$G,Dados!$E:$E,$B40,Dados!$C:$C,INDEX(D$3,1,1),Dados!$A:$A,INDEX($D:$E,MATCH("J",$D:$D,0),2))/COUNTIFS(Dados!$E:$E,$B40,Dados!$C:$C,INDEX(D$3,1,1),Dados!$A:$A,INDEX($D:$E,MATCH("J",$D:$D,0),2)))</f>
        <v/>
      </c>
      <c r="E40" s="68" t="str">
        <f>IF(COUNTIFS(Dados!$E:$E,$B40,Dados!$C:$C,INDEX(E$3,1,1),Dados!$A:$A,INDEX($D:$E,MATCH("J",$D:$D,0),2))=0,"",SUMIFS(Dados!$G:$G,Dados!$E:$E,$B40,Dados!$C:$C,INDEX(E$3,1,1),Dados!$A:$A,INDEX($D:$E,MATCH("J",$D:$D,0),2))/COUNTIFS(Dados!$E:$E,$B40,Dados!$C:$C,INDEX(E$3,1,1),Dados!$A:$A,INDEX($D:$E,MATCH("J",$D:$D,0),2)))</f>
        <v/>
      </c>
      <c r="F40" s="68" t="str">
        <f>IF(COUNTIFS(Dados!$E:$E,$B40,Dados!$C:$C,INDEX(F$3,1,1),Dados!$A:$A,INDEX($D:$E,MATCH("J",$D:$D,0),2))=0,"",SUMIFS(Dados!$G:$G,Dados!$E:$E,$B40,Dados!$C:$C,INDEX(F$3,1,1),Dados!$A:$A,INDEX($D:$E,MATCH("J",$D:$D,0),2))/COUNTIFS(Dados!$E:$E,$B40,Dados!$C:$C,INDEX(F$3,1,1),Dados!$A:$A,INDEX($D:$E,MATCH("J",$D:$D,0),2)))</f>
        <v/>
      </c>
      <c r="G40" s="68" t="str">
        <f>IF(COUNTIFS(Dados!$E:$E,$B40,Dados!$C:$C,INDEX(G$3,1,1),Dados!$A:$A,INDEX($D:$E,MATCH("J",$D:$D,0),2))=0,"",SUMIFS(Dados!$G:$G,Dados!$E:$E,$B40,Dados!$C:$C,INDEX(G$3,1,1),Dados!$A:$A,INDEX($D:$E,MATCH("J",$D:$D,0),2))/COUNTIFS(Dados!$E:$E,$B40,Dados!$C:$C,INDEX(G$3,1,1),Dados!$A:$A,INDEX($D:$E,MATCH("J",$D:$D,0),2)))</f>
        <v/>
      </c>
      <c r="H40" s="68" t="str">
        <f>IF(COUNTIFS(Dados!$E:$E,$B40,Dados!$C:$C,INDEX(H$3,1,1),Dados!$A:$A,INDEX($D:$E,MATCH("J",$D:$D,0),2))=0,"",SUMIFS(Dados!$G:$G,Dados!$E:$E,$B40,Dados!$C:$C,INDEX(H$3,1,1),Dados!$A:$A,INDEX($D:$E,MATCH("J",$D:$D,0),2))/COUNTIFS(Dados!$E:$E,$B40,Dados!$C:$C,INDEX(H$3,1,1),Dados!$A:$A,INDEX($D:$E,MATCH("J",$D:$D,0),2)))</f>
        <v/>
      </c>
      <c r="I40" s="68" t="str">
        <f>IF(COUNTIFS(Dados!$E:$E,$B40,Dados!$C:$C,INDEX(I$3,1,1),Dados!$A:$A,INDEX($D:$E,MATCH("J",$D:$D,0),2))=0,"",SUMIFS(Dados!$G:$G,Dados!$E:$E,$B40,Dados!$C:$C,INDEX(I$3,1,1),Dados!$A:$A,INDEX($D:$E,MATCH("J",$D:$D,0),2))/COUNTIFS(Dados!$E:$E,$B40,Dados!$C:$C,INDEX(I$3,1,1),Dados!$A:$A,INDEX($D:$E,MATCH("J",$D:$D,0),2)))</f>
        <v/>
      </c>
      <c r="J40" s="68" t="str">
        <f>IF(COUNTIFS(Dados!$E:$E,$B40,Dados!$C:$C,INDEX(J$3,1,1),Dados!$A:$A,INDEX($D:$E,MATCH("J",$D:$D,0),2))=0,"",SUMIFS(Dados!$G:$G,Dados!$E:$E,$B40,Dados!$C:$C,INDEX(J$3,1,1),Dados!$A:$A,INDEX($D:$E,MATCH("J",$D:$D,0),2))/COUNTIFS(Dados!$E:$E,$B40,Dados!$C:$C,INDEX(J$3,1,1),Dados!$A:$A,INDEX($D:$E,MATCH("J",$D:$D,0),2)))</f>
        <v/>
      </c>
      <c r="K40" s="68" t="str">
        <f>IF(COUNTIFS(Dados!$E:$E,$B40,Dados!$C:$C,INDEX(K$3,1,1),Dados!$A:$A,INDEX($D:$E,MATCH("J",$D:$D,0),2))=0,"",SUMIFS(Dados!$G:$G,Dados!$E:$E,$B40,Dados!$C:$C,INDEX(K$3,1,1),Dados!$A:$A,INDEX($D:$E,MATCH("J",$D:$D,0),2))/COUNTIFS(Dados!$E:$E,$B40,Dados!$C:$C,INDEX(K$3,1,1),Dados!$A:$A,INDEX($D:$E,MATCH("J",$D:$D,0),2)))</f>
        <v/>
      </c>
      <c r="L40" s="68" t="str">
        <f>IF(COUNTIFS(Dados!$E:$E,$B40,Dados!$C:$C,INDEX(L$3,1,1),Dados!$A:$A,INDEX($D:$E,MATCH("J",$D:$D,0),2))=0,"",SUMIFS(Dados!$G:$G,Dados!$E:$E,$B40,Dados!$C:$C,INDEX(L$3,1,1),Dados!$A:$A,INDEX($D:$E,MATCH("J",$D:$D,0),2))/COUNTIFS(Dados!$E:$E,$B40,Dados!$C:$C,INDEX(L$3,1,1),Dados!$A:$A,INDEX($D:$E,MATCH("J",$D:$D,0),2)))</f>
        <v/>
      </c>
      <c r="M40" s="68" t="str">
        <f>IF(COUNTIFS(Dados!$E:$E,$B40,Dados!$C:$C,INDEX(M$3,1,1),Dados!$A:$A,INDEX($D:$E,MATCH("J",$D:$D,0),2))=0,"",SUMIFS(Dados!$G:$G,Dados!$E:$E,$B40,Dados!$C:$C,INDEX(M$3,1,1),Dados!$A:$A,INDEX($D:$E,MATCH("J",$D:$D,0),2))/COUNTIFS(Dados!$E:$E,$B40,Dados!$C:$C,INDEX(M$3,1,1),Dados!$A:$A,INDEX($D:$E,MATCH("J",$D:$D,0),2)))</f>
        <v/>
      </c>
      <c r="N40" s="68" t="str">
        <f>IF(COUNTIFS(Dados!$E:$E,$B40,Dados!$C:$C,INDEX(N$3,1,1),Dados!$A:$A,INDEX($D:$E,MATCH("J",$D:$D,0),2))=0,"",SUMIFS(Dados!$G:$G,Dados!$E:$E,$B40,Dados!$C:$C,INDEX(N$3,1,1),Dados!$A:$A,INDEX($D:$E,MATCH("J",$D:$D,0),2))/COUNTIFS(Dados!$E:$E,$B40,Dados!$C:$C,INDEX(N$3,1,1),Dados!$A:$A,INDEX($D:$E,MATCH("J",$D:$D,0),2)))</f>
        <v/>
      </c>
      <c r="O40" s="68" t="str">
        <f>IF(COUNTIFS(Dados!$E:$E,$B40,Dados!$C:$C,INDEX(O$3,1,1),Dados!$A:$A,INDEX($D:$E,MATCH("J",$D:$D,0),2))=0,"",SUMIFS(Dados!$G:$G,Dados!$E:$E,$B40,Dados!$C:$C,INDEX(O$3,1,1),Dados!$A:$A,INDEX($D:$E,MATCH("J",$D:$D,0),2))/COUNTIFS(Dados!$E:$E,$B40,Dados!$C:$C,INDEX(O$3,1,1),Dados!$A:$A,INDEX($D:$E,MATCH("J",$D:$D,0),2)))</f>
        <v/>
      </c>
      <c r="P40" s="68" t="str">
        <f>IF(COUNTIFS(Dados!$E:$E,$B40,Dados!$C:$C,INDEX(P$3,1,1),Dados!$A:$A,INDEX($D:$E,MATCH("J",$D:$D,0),2))=0,"",SUMIFS(Dados!$G:$G,Dados!$E:$E,$B40,Dados!$C:$C,INDEX(P$3,1,1),Dados!$A:$A,INDEX($D:$E,MATCH("J",$D:$D,0),2))/COUNTIFS(Dados!$E:$E,$B40,Dados!$C:$C,INDEX(P$3,1,1),Dados!$A:$A,INDEX($D:$E,MATCH("J",$D:$D,0),2)))</f>
        <v/>
      </c>
      <c r="Q40" s="68" t="str">
        <f>IF(COUNTIFS(Dados!$E:$E,$B40,Dados!$C:$C,INDEX(Q$3,1,1),Dados!$A:$A,INDEX($D:$E,MATCH("J",$D:$D,0),2))=0,"",SUMIFS(Dados!$G:$G,Dados!$E:$E,$B40,Dados!$C:$C,INDEX(Q$3,1,1),Dados!$A:$A,INDEX($D:$E,MATCH("J",$D:$D,0),2))/COUNTIFS(Dados!$E:$E,$B40,Dados!$C:$C,INDEX(Q$3,1,1),Dados!$A:$A,INDEX($D:$E,MATCH("J",$D:$D,0),2)))</f>
        <v/>
      </c>
      <c r="R40" s="68" t="str">
        <f>IF(COUNTIFS(Dados!$E:$E,$B40,Dados!$C:$C,INDEX(R$3,1,1),Dados!$A:$A,INDEX($D:$E,MATCH("J",$D:$D,0),2))=0,"",SUMIFS(Dados!$G:$G,Dados!$E:$E,$B40,Dados!$C:$C,INDEX(R$3,1,1),Dados!$A:$A,INDEX($D:$E,MATCH("J",$D:$D,0),2))/COUNTIFS(Dados!$E:$E,$B40,Dados!$C:$C,INDEX(R$3,1,1),Dados!$A:$A,INDEX($D:$E,MATCH("J",$D:$D,0),2)))</f>
        <v/>
      </c>
      <c r="S40" s="68" t="str">
        <f>IF(COUNTIFS(Dados!$E:$E,$B40,Dados!$C:$C,INDEX(S$3,1,1),Dados!$A:$A,INDEX($D:$E,MATCH("J",$D:$D,0),2))=0,"",SUMIFS(Dados!$G:$G,Dados!$E:$E,$B40,Dados!$C:$C,INDEX(S$3,1,1),Dados!$A:$A,INDEX($D:$E,MATCH("J",$D:$D,0),2))/COUNTIFS(Dados!$E:$E,$B40,Dados!$C:$C,INDEX(S$3,1,1),Dados!$A:$A,INDEX($D:$E,MATCH("J",$D:$D,0),2)))</f>
        <v/>
      </c>
      <c r="T40" s="68" t="str">
        <f>IF(COUNTIFS(Dados!$E:$E,$B40,Dados!$C:$C,INDEX(T$3,1,1),Dados!$A:$A,INDEX($D:$E,MATCH("J",$D:$D,0),2))=0,"",SUMIFS(Dados!$G:$G,Dados!$E:$E,$B40,Dados!$C:$C,INDEX(T$3,1,1),Dados!$A:$A,INDEX($D:$E,MATCH("J",$D:$D,0),2))/COUNTIFS(Dados!$E:$E,$B40,Dados!$C:$C,INDEX(T$3,1,1),Dados!$A:$A,INDEX($D:$E,MATCH("J",$D:$D,0),2)))</f>
        <v/>
      </c>
      <c r="U40" s="68" t="str">
        <f>IF(COUNTIFS(Dados!$E:$E,$B40,Dados!$C:$C,INDEX(U$3,1,1),Dados!$A:$A,INDEX($D:$E,MATCH("J",$D:$D,0),2))=0,"",SUMIFS(Dados!$G:$G,Dados!$E:$E,$B40,Dados!$C:$C,INDEX(U$3,1,1),Dados!$A:$A,INDEX($D:$E,MATCH("J",$D:$D,0),2))/COUNTIFS(Dados!$E:$E,$B40,Dados!$C:$C,INDEX(U$3,1,1),Dados!$A:$A,INDEX($D:$E,MATCH("J",$D:$D,0),2)))</f>
        <v/>
      </c>
    </row>
    <row r="41" spans="2:21" x14ac:dyDescent="0.25">
      <c r="B41" s="50" t="s">
        <v>1293</v>
      </c>
      <c r="C41" s="57"/>
      <c r="D41" s="66"/>
      <c r="E41" s="66"/>
      <c r="F41" s="66"/>
      <c r="G41" s="66"/>
      <c r="H41" s="66"/>
      <c r="I41" s="66"/>
      <c r="J41" s="66"/>
      <c r="K41" s="66"/>
      <c r="L41" s="66"/>
      <c r="M41" s="66"/>
      <c r="N41" s="66"/>
      <c r="O41" s="66"/>
      <c r="P41" s="66"/>
      <c r="Q41" s="66"/>
      <c r="R41" s="66"/>
      <c r="S41" s="66"/>
      <c r="T41" s="66"/>
      <c r="U41" s="66"/>
    </row>
    <row r="42" spans="2:21" x14ac:dyDescent="0.25">
      <c r="B42" s="34" t="s">
        <v>983</v>
      </c>
      <c r="C42" s="58"/>
      <c r="D42" s="58" t="s">
        <v>1280</v>
      </c>
      <c r="E42" s="73">
        <v>35</v>
      </c>
      <c r="F42" s="60"/>
      <c r="G42" s="60"/>
      <c r="H42" s="60"/>
      <c r="I42" s="60"/>
      <c r="J42" s="60"/>
      <c r="K42" s="60"/>
      <c r="L42" s="60"/>
      <c r="M42" s="60"/>
      <c r="N42" s="60"/>
      <c r="O42" s="60"/>
      <c r="P42" s="60"/>
      <c r="Q42" s="60"/>
      <c r="R42" s="60"/>
      <c r="S42" s="60"/>
      <c r="T42" s="60"/>
      <c r="U42" s="60"/>
    </row>
    <row r="43" spans="2:21" x14ac:dyDescent="0.25">
      <c r="B43" s="48" t="s">
        <v>974</v>
      </c>
      <c r="C43" s="55"/>
      <c r="D43" s="61">
        <v>1978</v>
      </c>
      <c r="E43" s="61">
        <v>1982</v>
      </c>
      <c r="F43" s="61">
        <v>1991</v>
      </c>
      <c r="G43" s="61">
        <v>1996</v>
      </c>
      <c r="H43" s="61">
        <v>1997</v>
      </c>
      <c r="I43" s="61">
        <v>1998</v>
      </c>
      <c r="J43" s="61">
        <v>1999</v>
      </c>
      <c r="K43" s="61">
        <v>2000</v>
      </c>
      <c r="L43" s="61">
        <v>2001</v>
      </c>
      <c r="M43" s="61">
        <v>2002</v>
      </c>
      <c r="N43" s="61">
        <v>2003</v>
      </c>
      <c r="O43" s="61">
        <v>2004</v>
      </c>
      <c r="P43" s="61">
        <v>2005</v>
      </c>
      <c r="Q43" s="61">
        <v>2006</v>
      </c>
      <c r="R43" s="61">
        <v>2007</v>
      </c>
      <c r="S43" s="61">
        <v>2010</v>
      </c>
      <c r="T43" s="61">
        <v>2011</v>
      </c>
      <c r="U43" s="62">
        <v>2012</v>
      </c>
    </row>
    <row r="44" spans="2:21" x14ac:dyDescent="0.25">
      <c r="B44" s="52" t="s">
        <v>1294</v>
      </c>
      <c r="C44" s="56" t="s">
        <v>1292</v>
      </c>
      <c r="D44" s="68" t="str">
        <f>IF(COUNTIFS(Dados!$E:$E,$B44,Dados!$C:$C,INDEX(D$3,1,1),Dados!$A:$A,INDEX($D:$E,MATCH("K",$D:$D,0),2))=0,"",SUMIFS(Dados!$G:$G,Dados!$E:$E,$B44,Dados!$C:$C,INDEX(D$3,1,1),Dados!$A:$A,INDEX($D:$E,MATCH("K",$D:$D,0),2))/COUNTIFS(Dados!$E:$E,$B44,Dados!$C:$C,INDEX(D$3,1,1),Dados!$A:$A,INDEX($D:$E,MATCH("K",$D:$D,0),2)))</f>
        <v/>
      </c>
      <c r="E44" s="68" t="str">
        <f>IF(COUNTIFS(Dados!$E:$E,$B44,Dados!$C:$C,INDEX(E$3,1,1),Dados!$A:$A,INDEX($D:$E,MATCH("K",$D:$D,0),2))=0,"",SUMIFS(Dados!$G:$G,Dados!$E:$E,$B44,Dados!$C:$C,INDEX(E$3,1,1),Dados!$A:$A,INDEX($D:$E,MATCH("K",$D:$D,0),2))/COUNTIFS(Dados!$E:$E,$B44,Dados!$C:$C,INDEX(E$3,1,1),Dados!$A:$A,INDEX($D:$E,MATCH("K",$D:$D,0),2)))</f>
        <v/>
      </c>
      <c r="F44" s="68" t="str">
        <f>IF(COUNTIFS(Dados!$E:$E,$B44,Dados!$C:$C,INDEX(F$3,1,1),Dados!$A:$A,INDEX($D:$E,MATCH("K",$D:$D,0),2))=0,"",SUMIFS(Dados!$G:$G,Dados!$E:$E,$B44,Dados!$C:$C,INDEX(F$3,1,1),Dados!$A:$A,INDEX($D:$E,MATCH("K",$D:$D,0),2))/COUNTIFS(Dados!$E:$E,$B44,Dados!$C:$C,INDEX(F$3,1,1),Dados!$A:$A,INDEX($D:$E,MATCH("K",$D:$D,0),2)))</f>
        <v/>
      </c>
      <c r="G44" s="68" t="str">
        <f>IF(COUNTIFS(Dados!$E:$E,$B44,Dados!$C:$C,INDEX(G$3,1,1),Dados!$A:$A,INDEX($D:$E,MATCH("K",$D:$D,0),2))=0,"",SUMIFS(Dados!$G:$G,Dados!$E:$E,$B44,Dados!$C:$C,INDEX(G$3,1,1),Dados!$A:$A,INDEX($D:$E,MATCH("K",$D:$D,0),2))/COUNTIFS(Dados!$E:$E,$B44,Dados!$C:$C,INDEX(G$3,1,1),Dados!$A:$A,INDEX($D:$E,MATCH("K",$D:$D,0),2)))</f>
        <v/>
      </c>
      <c r="H44" s="68" t="str">
        <f>IF(COUNTIFS(Dados!$E:$E,$B44,Dados!$C:$C,INDEX(H$3,1,1),Dados!$A:$A,INDEX($D:$E,MATCH("K",$D:$D,0),2))=0,"",SUMIFS(Dados!$G:$G,Dados!$E:$E,$B44,Dados!$C:$C,INDEX(H$3,1,1),Dados!$A:$A,INDEX($D:$E,MATCH("K",$D:$D,0),2))/COUNTIFS(Dados!$E:$E,$B44,Dados!$C:$C,INDEX(H$3,1,1),Dados!$A:$A,INDEX($D:$E,MATCH("K",$D:$D,0),2)))</f>
        <v/>
      </c>
      <c r="I44" s="68" t="str">
        <f>IF(COUNTIFS(Dados!$E:$E,$B44,Dados!$C:$C,INDEX(I$3,1,1),Dados!$A:$A,INDEX($D:$E,MATCH("K",$D:$D,0),2))=0,"",SUMIFS(Dados!$G:$G,Dados!$E:$E,$B44,Dados!$C:$C,INDEX(I$3,1,1),Dados!$A:$A,INDEX($D:$E,MATCH("K",$D:$D,0),2))/COUNTIFS(Dados!$E:$E,$B44,Dados!$C:$C,INDEX(I$3,1,1),Dados!$A:$A,INDEX($D:$E,MATCH("K",$D:$D,0),2)))</f>
        <v/>
      </c>
      <c r="J44" s="68" t="str">
        <f>IF(COUNTIFS(Dados!$E:$E,$B44,Dados!$C:$C,INDEX(J$3,1,1),Dados!$A:$A,INDEX($D:$E,MATCH("K",$D:$D,0),2))=0,"",SUMIFS(Dados!$G:$G,Dados!$E:$E,$B44,Dados!$C:$C,INDEX(J$3,1,1),Dados!$A:$A,INDEX($D:$E,MATCH("K",$D:$D,0),2))/COUNTIFS(Dados!$E:$E,$B44,Dados!$C:$C,INDEX(J$3,1,1),Dados!$A:$A,INDEX($D:$E,MATCH("K",$D:$D,0),2)))</f>
        <v/>
      </c>
      <c r="K44" s="68" t="str">
        <f>IF(COUNTIFS(Dados!$E:$E,$B44,Dados!$C:$C,INDEX(K$3,1,1),Dados!$A:$A,INDEX($D:$E,MATCH("K",$D:$D,0),2))=0,"",SUMIFS(Dados!$G:$G,Dados!$E:$E,$B44,Dados!$C:$C,INDEX(K$3,1,1),Dados!$A:$A,INDEX($D:$E,MATCH("K",$D:$D,0),2))/COUNTIFS(Dados!$E:$E,$B44,Dados!$C:$C,INDEX(K$3,1,1),Dados!$A:$A,INDEX($D:$E,MATCH("K",$D:$D,0),2)))</f>
        <v/>
      </c>
      <c r="L44" s="68" t="str">
        <f>IF(COUNTIFS(Dados!$E:$E,$B44,Dados!$C:$C,INDEX(L$3,1,1),Dados!$A:$A,INDEX($D:$E,MATCH("K",$D:$D,0),2))=0,"",SUMIFS(Dados!$G:$G,Dados!$E:$E,$B44,Dados!$C:$C,INDEX(L$3,1,1),Dados!$A:$A,INDEX($D:$E,MATCH("K",$D:$D,0),2))/COUNTIFS(Dados!$E:$E,$B44,Dados!$C:$C,INDEX(L$3,1,1),Dados!$A:$A,INDEX($D:$E,MATCH("K",$D:$D,0),2)))</f>
        <v/>
      </c>
      <c r="M44" s="68" t="str">
        <f>IF(COUNTIFS(Dados!$E:$E,$B44,Dados!$C:$C,INDEX(M$3,1,1),Dados!$A:$A,INDEX($D:$E,MATCH("K",$D:$D,0),2))=0,"",SUMIFS(Dados!$G:$G,Dados!$E:$E,$B44,Dados!$C:$C,INDEX(M$3,1,1),Dados!$A:$A,INDEX($D:$E,MATCH("K",$D:$D,0),2))/COUNTIFS(Dados!$E:$E,$B44,Dados!$C:$C,INDEX(M$3,1,1),Dados!$A:$A,INDEX($D:$E,MATCH("K",$D:$D,0),2)))</f>
        <v/>
      </c>
      <c r="N44" s="68" t="str">
        <f>IF(COUNTIFS(Dados!$E:$E,$B44,Dados!$C:$C,INDEX(N$3,1,1),Dados!$A:$A,INDEX($D:$E,MATCH("K",$D:$D,0),2))=0,"",SUMIFS(Dados!$G:$G,Dados!$E:$E,$B44,Dados!$C:$C,INDEX(N$3,1,1),Dados!$A:$A,INDEX($D:$E,MATCH("K",$D:$D,0),2))/COUNTIFS(Dados!$E:$E,$B44,Dados!$C:$C,INDEX(N$3,1,1),Dados!$A:$A,INDEX($D:$E,MATCH("K",$D:$D,0),2)))</f>
        <v/>
      </c>
      <c r="O44" s="68" t="str">
        <f>IF(COUNTIFS(Dados!$E:$E,$B44,Dados!$C:$C,INDEX(O$3,1,1),Dados!$A:$A,INDEX($D:$E,MATCH("K",$D:$D,0),2))=0,"",SUMIFS(Dados!$G:$G,Dados!$E:$E,$B44,Dados!$C:$C,INDEX(O$3,1,1),Dados!$A:$A,INDEX($D:$E,MATCH("K",$D:$D,0),2))/COUNTIFS(Dados!$E:$E,$B44,Dados!$C:$C,INDEX(O$3,1,1),Dados!$A:$A,INDEX($D:$E,MATCH("K",$D:$D,0),2)))</f>
        <v/>
      </c>
      <c r="P44" s="68" t="str">
        <f>IF(COUNTIFS(Dados!$E:$E,$B44,Dados!$C:$C,INDEX(P$3,1,1),Dados!$A:$A,INDEX($D:$E,MATCH("K",$D:$D,0),2))=0,"",SUMIFS(Dados!$G:$G,Dados!$E:$E,$B44,Dados!$C:$C,INDEX(P$3,1,1),Dados!$A:$A,INDEX($D:$E,MATCH("K",$D:$D,0),2))/COUNTIFS(Dados!$E:$E,$B44,Dados!$C:$C,INDEX(P$3,1,1),Dados!$A:$A,INDEX($D:$E,MATCH("K",$D:$D,0),2)))</f>
        <v/>
      </c>
      <c r="Q44" s="68" t="str">
        <f>IF(COUNTIFS(Dados!$E:$E,$B44,Dados!$C:$C,INDEX(Q$3,1,1),Dados!$A:$A,INDEX($D:$E,MATCH("K",$D:$D,0),2))=0,"",SUMIFS(Dados!$G:$G,Dados!$E:$E,$B44,Dados!$C:$C,INDEX(Q$3,1,1),Dados!$A:$A,INDEX($D:$E,MATCH("K",$D:$D,0),2))/COUNTIFS(Dados!$E:$E,$B44,Dados!$C:$C,INDEX(Q$3,1,1),Dados!$A:$A,INDEX($D:$E,MATCH("K",$D:$D,0),2)))</f>
        <v/>
      </c>
      <c r="R44" s="68" t="str">
        <f>IF(COUNTIFS(Dados!$E:$E,$B44,Dados!$C:$C,INDEX(R$3,1,1),Dados!$A:$A,INDEX($D:$E,MATCH("K",$D:$D,0),2))=0,"",SUMIFS(Dados!$G:$G,Dados!$E:$E,$B44,Dados!$C:$C,INDEX(R$3,1,1),Dados!$A:$A,INDEX($D:$E,MATCH("K",$D:$D,0),2))/COUNTIFS(Dados!$E:$E,$B44,Dados!$C:$C,INDEX(R$3,1,1),Dados!$A:$A,INDEX($D:$E,MATCH("K",$D:$D,0),2)))</f>
        <v/>
      </c>
      <c r="S44" s="68" t="str">
        <f>IF(COUNTIFS(Dados!$E:$E,$B44,Dados!$C:$C,INDEX(S$3,1,1),Dados!$A:$A,INDEX($D:$E,MATCH("K",$D:$D,0),2))=0,"",SUMIFS(Dados!$G:$G,Dados!$E:$E,$B44,Dados!$C:$C,INDEX(S$3,1,1),Dados!$A:$A,INDEX($D:$E,MATCH("K",$D:$D,0),2))/COUNTIFS(Dados!$E:$E,$B44,Dados!$C:$C,INDEX(S$3,1,1),Dados!$A:$A,INDEX($D:$E,MATCH("K",$D:$D,0),2)))</f>
        <v/>
      </c>
      <c r="T44" s="68" t="str">
        <f>IF(COUNTIFS(Dados!$E:$E,$B44,Dados!$C:$C,INDEX(T$3,1,1),Dados!$A:$A,INDEX($D:$E,MATCH("K",$D:$D,0),2))=0,"",SUMIFS(Dados!$G:$G,Dados!$E:$E,$B44,Dados!$C:$C,INDEX(T$3,1,1),Dados!$A:$A,INDEX($D:$E,MATCH("K",$D:$D,0),2))/COUNTIFS(Dados!$E:$E,$B44,Dados!$C:$C,INDEX(T$3,1,1),Dados!$A:$A,INDEX($D:$E,MATCH("K",$D:$D,0),2)))</f>
        <v/>
      </c>
      <c r="U44" s="68" t="str">
        <f>IF(COUNTIFS(Dados!$E:$E,$B44,Dados!$C:$C,INDEX(U$3,1,1),Dados!$A:$A,INDEX($D:$E,MATCH("K",$D:$D,0),2))=0,"",SUMIFS(Dados!$G:$G,Dados!$E:$E,$B44,Dados!$C:$C,INDEX(U$3,1,1),Dados!$A:$A,INDEX($D:$E,MATCH("K",$D:$D,0),2))/COUNTIFS(Dados!$E:$E,$B44,Dados!$C:$C,INDEX(U$3,1,1),Dados!$A:$A,INDEX($D:$E,MATCH("K",$D:$D,0),2)))</f>
        <v/>
      </c>
    </row>
    <row r="45" spans="2:21" x14ac:dyDescent="0.25">
      <c r="B45" s="50" t="s">
        <v>1293</v>
      </c>
      <c r="C45" s="57"/>
      <c r="D45" s="66"/>
      <c r="E45" s="66"/>
      <c r="F45" s="66"/>
      <c r="G45" s="66"/>
      <c r="H45" s="66"/>
      <c r="I45" s="66"/>
      <c r="J45" s="66"/>
      <c r="K45" s="66"/>
      <c r="L45" s="66"/>
      <c r="M45" s="66"/>
      <c r="N45" s="66"/>
      <c r="O45" s="66"/>
      <c r="P45" s="66"/>
      <c r="Q45" s="66"/>
      <c r="R45" s="66"/>
      <c r="S45" s="66"/>
      <c r="T45" s="66"/>
      <c r="U45" s="66"/>
    </row>
    <row r="46" spans="2:21" x14ac:dyDescent="0.25">
      <c r="B46" s="34" t="s">
        <v>983</v>
      </c>
      <c r="C46" s="58"/>
      <c r="D46" s="58" t="s">
        <v>1281</v>
      </c>
      <c r="E46" s="73">
        <v>40</v>
      </c>
      <c r="F46" s="60"/>
      <c r="G46" s="60"/>
      <c r="H46" s="60"/>
      <c r="I46" s="60"/>
      <c r="J46" s="60"/>
      <c r="K46" s="60"/>
      <c r="L46" s="60"/>
      <c r="M46" s="60"/>
      <c r="N46" s="60"/>
      <c r="O46" s="60"/>
      <c r="P46" s="60"/>
      <c r="Q46" s="60"/>
      <c r="R46" s="60"/>
      <c r="S46" s="60"/>
      <c r="T46" s="60"/>
      <c r="U46" s="60"/>
    </row>
    <row r="47" spans="2:21" x14ac:dyDescent="0.25">
      <c r="B47" s="48" t="s">
        <v>974</v>
      </c>
      <c r="C47" s="55"/>
      <c r="D47" s="61">
        <v>1978</v>
      </c>
      <c r="E47" s="61">
        <v>1982</v>
      </c>
      <c r="F47" s="61">
        <v>1991</v>
      </c>
      <c r="G47" s="61">
        <v>1996</v>
      </c>
      <c r="H47" s="61">
        <v>1997</v>
      </c>
      <c r="I47" s="61">
        <v>1998</v>
      </c>
      <c r="J47" s="61">
        <v>1999</v>
      </c>
      <c r="K47" s="61">
        <v>2000</v>
      </c>
      <c r="L47" s="61">
        <v>2001</v>
      </c>
      <c r="M47" s="61">
        <v>2002</v>
      </c>
      <c r="N47" s="61">
        <v>2003</v>
      </c>
      <c r="O47" s="61">
        <v>2004</v>
      </c>
      <c r="P47" s="61">
        <v>2005</v>
      </c>
      <c r="Q47" s="61">
        <v>2006</v>
      </c>
      <c r="R47" s="61">
        <v>2007</v>
      </c>
      <c r="S47" s="61">
        <v>2010</v>
      </c>
      <c r="T47" s="61">
        <v>2011</v>
      </c>
      <c r="U47" s="62">
        <v>2012</v>
      </c>
    </row>
    <row r="48" spans="2:21" x14ac:dyDescent="0.25">
      <c r="B48" s="52" t="s">
        <v>1294</v>
      </c>
      <c r="C48" s="56" t="s">
        <v>1292</v>
      </c>
      <c r="D48" s="68" t="str">
        <f>IF(COUNTIFS(Dados!$E:$E,$B48,Dados!$C:$C,INDEX(D$3,1,1),Dados!$A:$A,INDEX($D:$E,MATCH("L",$D:$D,0),2))=0,"",SUMIFS(Dados!$G:$G,Dados!$E:$E,$B48,Dados!$C:$C,INDEX(D$3,1,1),Dados!$A:$A,INDEX($D:$E,MATCH("L",$D:$D,0),2))/COUNTIFS(Dados!$E:$E,$B48,Dados!$C:$C,INDEX(D$3,1,1),Dados!$A:$A,INDEX($D:$E,MATCH("L",$D:$D,0),2)))</f>
        <v/>
      </c>
      <c r="E48" s="68" t="str">
        <f>IF(COUNTIFS(Dados!$E:$E,$B48,Dados!$C:$C,INDEX(E$3,1,1),Dados!$A:$A,INDEX($D:$E,MATCH("L",$D:$D,0),2))=0,"",SUMIFS(Dados!$G:$G,Dados!$E:$E,$B48,Dados!$C:$C,INDEX(E$3,1,1),Dados!$A:$A,INDEX($D:$E,MATCH("L",$D:$D,0),2))/COUNTIFS(Dados!$E:$E,$B48,Dados!$C:$C,INDEX(E$3,1,1),Dados!$A:$A,INDEX($D:$E,MATCH("L",$D:$D,0),2)))</f>
        <v/>
      </c>
      <c r="F48" s="68" t="str">
        <f>IF(COUNTIFS(Dados!$E:$E,$B48,Dados!$C:$C,INDEX(F$3,1,1),Dados!$A:$A,INDEX($D:$E,MATCH("L",$D:$D,0),2))=0,"",SUMIFS(Dados!$G:$G,Dados!$E:$E,$B48,Dados!$C:$C,INDEX(F$3,1,1),Dados!$A:$A,INDEX($D:$E,MATCH("L",$D:$D,0),2))/COUNTIFS(Dados!$E:$E,$B48,Dados!$C:$C,INDEX(F$3,1,1),Dados!$A:$A,INDEX($D:$E,MATCH("L",$D:$D,0),2)))</f>
        <v/>
      </c>
      <c r="G48" s="68" t="str">
        <f>IF(COUNTIFS(Dados!$E:$E,$B48,Dados!$C:$C,INDEX(G$3,1,1),Dados!$A:$A,INDEX($D:$E,MATCH("L",$D:$D,0),2))=0,"",SUMIFS(Dados!$G:$G,Dados!$E:$E,$B48,Dados!$C:$C,INDEX(G$3,1,1),Dados!$A:$A,INDEX($D:$E,MATCH("L",$D:$D,0),2))/COUNTIFS(Dados!$E:$E,$B48,Dados!$C:$C,INDEX(G$3,1,1),Dados!$A:$A,INDEX($D:$E,MATCH("L",$D:$D,0),2)))</f>
        <v/>
      </c>
      <c r="H48" s="68" t="str">
        <f>IF(COUNTIFS(Dados!$E:$E,$B48,Dados!$C:$C,INDEX(H$3,1,1),Dados!$A:$A,INDEX($D:$E,MATCH("L",$D:$D,0),2))=0,"",SUMIFS(Dados!$G:$G,Dados!$E:$E,$B48,Dados!$C:$C,INDEX(H$3,1,1),Dados!$A:$A,INDEX($D:$E,MATCH("L",$D:$D,0),2))/COUNTIFS(Dados!$E:$E,$B48,Dados!$C:$C,INDEX(H$3,1,1),Dados!$A:$A,INDEX($D:$E,MATCH("L",$D:$D,0),2)))</f>
        <v/>
      </c>
      <c r="I48" s="68" t="str">
        <f>IF(COUNTIFS(Dados!$E:$E,$B48,Dados!$C:$C,INDEX(I$3,1,1),Dados!$A:$A,INDEX($D:$E,MATCH("L",$D:$D,0),2))=0,"",SUMIFS(Dados!$G:$G,Dados!$E:$E,$B48,Dados!$C:$C,INDEX(I$3,1,1),Dados!$A:$A,INDEX($D:$E,MATCH("L",$D:$D,0),2))/COUNTIFS(Dados!$E:$E,$B48,Dados!$C:$C,INDEX(I$3,1,1),Dados!$A:$A,INDEX($D:$E,MATCH("L",$D:$D,0),2)))</f>
        <v/>
      </c>
      <c r="J48" s="68" t="str">
        <f>IF(COUNTIFS(Dados!$E:$E,$B48,Dados!$C:$C,INDEX(J$3,1,1),Dados!$A:$A,INDEX($D:$E,MATCH("L",$D:$D,0),2))=0,"",SUMIFS(Dados!$G:$G,Dados!$E:$E,$B48,Dados!$C:$C,INDEX(J$3,1,1),Dados!$A:$A,INDEX($D:$E,MATCH("L",$D:$D,0),2))/COUNTIFS(Dados!$E:$E,$B48,Dados!$C:$C,INDEX(J$3,1,1),Dados!$A:$A,INDEX($D:$E,MATCH("L",$D:$D,0),2)))</f>
        <v/>
      </c>
      <c r="K48" s="68" t="str">
        <f>IF(COUNTIFS(Dados!$E:$E,$B48,Dados!$C:$C,INDEX(K$3,1,1),Dados!$A:$A,INDEX($D:$E,MATCH("L",$D:$D,0),2))=0,"",SUMIFS(Dados!$G:$G,Dados!$E:$E,$B48,Dados!$C:$C,INDEX(K$3,1,1),Dados!$A:$A,INDEX($D:$E,MATCH("L",$D:$D,0),2))/COUNTIFS(Dados!$E:$E,$B48,Dados!$C:$C,INDEX(K$3,1,1),Dados!$A:$A,INDEX($D:$E,MATCH("L",$D:$D,0),2)))</f>
        <v/>
      </c>
      <c r="L48" s="68" t="str">
        <f>IF(COUNTIFS(Dados!$E:$E,$B48,Dados!$C:$C,INDEX(L$3,1,1),Dados!$A:$A,INDEX($D:$E,MATCH("L",$D:$D,0),2))=0,"",SUMIFS(Dados!$G:$G,Dados!$E:$E,$B48,Dados!$C:$C,INDEX(L$3,1,1),Dados!$A:$A,INDEX($D:$E,MATCH("L",$D:$D,0),2))/COUNTIFS(Dados!$E:$E,$B48,Dados!$C:$C,INDEX(L$3,1,1),Dados!$A:$A,INDEX($D:$E,MATCH("L",$D:$D,0),2)))</f>
        <v/>
      </c>
      <c r="M48" s="68" t="str">
        <f>IF(COUNTIFS(Dados!$E:$E,$B48,Dados!$C:$C,INDEX(M$3,1,1),Dados!$A:$A,INDEX($D:$E,MATCH("L",$D:$D,0),2))=0,"",SUMIFS(Dados!$G:$G,Dados!$E:$E,$B48,Dados!$C:$C,INDEX(M$3,1,1),Dados!$A:$A,INDEX($D:$E,MATCH("L",$D:$D,0),2))/COUNTIFS(Dados!$E:$E,$B48,Dados!$C:$C,INDEX(M$3,1,1),Dados!$A:$A,INDEX($D:$E,MATCH("L",$D:$D,0),2)))</f>
        <v/>
      </c>
      <c r="N48" s="68" t="str">
        <f>IF(COUNTIFS(Dados!$E:$E,$B48,Dados!$C:$C,INDEX(N$3,1,1),Dados!$A:$A,INDEX($D:$E,MATCH("L",$D:$D,0),2))=0,"",SUMIFS(Dados!$G:$G,Dados!$E:$E,$B48,Dados!$C:$C,INDEX(N$3,1,1),Dados!$A:$A,INDEX($D:$E,MATCH("L",$D:$D,0),2))/COUNTIFS(Dados!$E:$E,$B48,Dados!$C:$C,INDEX(N$3,1,1),Dados!$A:$A,INDEX($D:$E,MATCH("L",$D:$D,0),2)))</f>
        <v/>
      </c>
      <c r="O48" s="68" t="str">
        <f>IF(COUNTIFS(Dados!$E:$E,$B48,Dados!$C:$C,INDEX(O$3,1,1),Dados!$A:$A,INDEX($D:$E,MATCH("L",$D:$D,0),2))=0,"",SUMIFS(Dados!$G:$G,Dados!$E:$E,$B48,Dados!$C:$C,INDEX(O$3,1,1),Dados!$A:$A,INDEX($D:$E,MATCH("L",$D:$D,0),2))/COUNTIFS(Dados!$E:$E,$B48,Dados!$C:$C,INDEX(O$3,1,1),Dados!$A:$A,INDEX($D:$E,MATCH("L",$D:$D,0),2)))</f>
        <v/>
      </c>
      <c r="P48" s="68" t="str">
        <f>IF(COUNTIFS(Dados!$E:$E,$B48,Dados!$C:$C,INDEX(P$3,1,1),Dados!$A:$A,INDEX($D:$E,MATCH("L",$D:$D,0),2))=0,"",SUMIFS(Dados!$G:$G,Dados!$E:$E,$B48,Dados!$C:$C,INDEX(P$3,1,1),Dados!$A:$A,INDEX($D:$E,MATCH("L",$D:$D,0),2))/COUNTIFS(Dados!$E:$E,$B48,Dados!$C:$C,INDEX(P$3,1,1),Dados!$A:$A,INDEX($D:$E,MATCH("L",$D:$D,0),2)))</f>
        <v/>
      </c>
      <c r="Q48" s="68" t="str">
        <f>IF(COUNTIFS(Dados!$E:$E,$B48,Dados!$C:$C,INDEX(Q$3,1,1),Dados!$A:$A,INDEX($D:$E,MATCH("L",$D:$D,0),2))=0,"",SUMIFS(Dados!$G:$G,Dados!$E:$E,$B48,Dados!$C:$C,INDEX(Q$3,1,1),Dados!$A:$A,INDEX($D:$E,MATCH("L",$D:$D,0),2))/COUNTIFS(Dados!$E:$E,$B48,Dados!$C:$C,INDEX(Q$3,1,1),Dados!$A:$A,INDEX($D:$E,MATCH("L",$D:$D,0),2)))</f>
        <v/>
      </c>
      <c r="R48" s="68" t="str">
        <f>IF(COUNTIFS(Dados!$E:$E,$B48,Dados!$C:$C,INDEX(R$3,1,1),Dados!$A:$A,INDEX($D:$E,MATCH("L",$D:$D,0),2))=0,"",SUMIFS(Dados!$G:$G,Dados!$E:$E,$B48,Dados!$C:$C,INDEX(R$3,1,1),Dados!$A:$A,INDEX($D:$E,MATCH("L",$D:$D,0),2))/COUNTIFS(Dados!$E:$E,$B48,Dados!$C:$C,INDEX(R$3,1,1),Dados!$A:$A,INDEX($D:$E,MATCH("L",$D:$D,0),2)))</f>
        <v/>
      </c>
      <c r="S48" s="68" t="str">
        <f>IF(COUNTIFS(Dados!$E:$E,$B48,Dados!$C:$C,INDEX(S$3,1,1),Dados!$A:$A,INDEX($D:$E,MATCH("L",$D:$D,0),2))=0,"",SUMIFS(Dados!$G:$G,Dados!$E:$E,$B48,Dados!$C:$C,INDEX(S$3,1,1),Dados!$A:$A,INDEX($D:$E,MATCH("L",$D:$D,0),2))/COUNTIFS(Dados!$E:$E,$B48,Dados!$C:$C,INDEX(S$3,1,1),Dados!$A:$A,INDEX($D:$E,MATCH("L",$D:$D,0),2)))</f>
        <v/>
      </c>
      <c r="T48" s="68" t="str">
        <f>IF(COUNTIFS(Dados!$E:$E,$B48,Dados!$C:$C,INDEX(T$3,1,1),Dados!$A:$A,INDEX($D:$E,MATCH("L",$D:$D,0),2))=0,"",SUMIFS(Dados!$G:$G,Dados!$E:$E,$B48,Dados!$C:$C,INDEX(T$3,1,1),Dados!$A:$A,INDEX($D:$E,MATCH("L",$D:$D,0),2))/COUNTIFS(Dados!$E:$E,$B48,Dados!$C:$C,INDEX(T$3,1,1),Dados!$A:$A,INDEX($D:$E,MATCH("L",$D:$D,0),2)))</f>
        <v/>
      </c>
      <c r="U48" s="68" t="str">
        <f>IF(COUNTIFS(Dados!$E:$E,$B48,Dados!$C:$C,INDEX(U$3,1,1),Dados!$A:$A,INDEX($D:$E,MATCH("L",$D:$D,0),2))=0,"",SUMIFS(Dados!$G:$G,Dados!$E:$E,$B48,Dados!$C:$C,INDEX(U$3,1,1),Dados!$A:$A,INDEX($D:$E,MATCH("L",$D:$D,0),2))/COUNTIFS(Dados!$E:$E,$B48,Dados!$C:$C,INDEX(U$3,1,1),Dados!$A:$A,INDEX($D:$E,MATCH("L",$D:$D,0),2)))</f>
        <v/>
      </c>
    </row>
    <row r="49" spans="2:21" x14ac:dyDescent="0.25">
      <c r="B49" s="50" t="s">
        <v>1293</v>
      </c>
      <c r="C49" s="57"/>
      <c r="D49" s="51"/>
      <c r="E49" s="51"/>
      <c r="F49" s="51"/>
      <c r="G49" s="51"/>
      <c r="H49" s="51"/>
      <c r="I49" s="51"/>
      <c r="J49" s="51"/>
      <c r="K49" s="51"/>
      <c r="L49" s="51"/>
      <c r="M49" s="51"/>
      <c r="N49" s="51"/>
      <c r="O49" s="51"/>
      <c r="P49" s="51"/>
      <c r="Q49" s="51"/>
      <c r="R49" s="51"/>
      <c r="S49" s="51"/>
      <c r="T49" s="51"/>
      <c r="U49" s="51"/>
    </row>
    <row r="50" spans="2:21" x14ac:dyDescent="0.25">
      <c r="B50" s="34" t="s">
        <v>983</v>
      </c>
      <c r="C50" s="58"/>
      <c r="D50" s="58" t="s">
        <v>1282</v>
      </c>
      <c r="E50" s="59">
        <v>45</v>
      </c>
      <c r="F50" s="60"/>
      <c r="G50" s="60"/>
      <c r="H50" s="60"/>
      <c r="I50" s="60"/>
      <c r="J50" s="60"/>
      <c r="K50" s="60"/>
      <c r="L50" s="60"/>
      <c r="M50" s="60"/>
      <c r="N50" s="60"/>
      <c r="O50" s="60"/>
      <c r="P50" s="60"/>
      <c r="Q50" s="60"/>
      <c r="R50" s="60"/>
      <c r="S50" s="60"/>
      <c r="T50" s="60"/>
      <c r="U50" s="60"/>
    </row>
    <row r="51" spans="2:21" x14ac:dyDescent="0.25">
      <c r="B51" s="48" t="s">
        <v>974</v>
      </c>
      <c r="C51" s="55"/>
      <c r="D51" s="61">
        <v>1978</v>
      </c>
      <c r="E51" s="61">
        <v>1982</v>
      </c>
      <c r="F51" s="61">
        <v>1991</v>
      </c>
      <c r="G51" s="61">
        <v>1996</v>
      </c>
      <c r="H51" s="61">
        <v>1997</v>
      </c>
      <c r="I51" s="61">
        <v>1998</v>
      </c>
      <c r="J51" s="61">
        <v>1999</v>
      </c>
      <c r="K51" s="61">
        <v>2000</v>
      </c>
      <c r="L51" s="61">
        <v>2001</v>
      </c>
      <c r="M51" s="61">
        <v>2002</v>
      </c>
      <c r="N51" s="61">
        <v>2003</v>
      </c>
      <c r="O51" s="61">
        <v>2004</v>
      </c>
      <c r="P51" s="61">
        <v>2005</v>
      </c>
      <c r="Q51" s="61">
        <v>2006</v>
      </c>
      <c r="R51" s="61">
        <v>2007</v>
      </c>
      <c r="S51" s="61">
        <v>2010</v>
      </c>
      <c r="T51" s="61">
        <v>2011</v>
      </c>
      <c r="U51" s="62">
        <v>2012</v>
      </c>
    </row>
    <row r="52" spans="2:21" x14ac:dyDescent="0.25">
      <c r="B52" s="52" t="s">
        <v>1294</v>
      </c>
      <c r="C52" s="56" t="s">
        <v>1292</v>
      </c>
      <c r="D52" s="53" t="str">
        <f>IF(COUNTIFS(Dados!$E:$E,$B52,Dados!$C:$C,INDEX(D$3,1,1),Dados!$A:$A,INDEX($D:$E,MATCH("M",$D:$D,0),2))=0,"",SUMIFS(Dados!$G:$G,Dados!$E:$E,$B52,Dados!$C:$C,INDEX(D$3,1,1),Dados!$A:$A,INDEX($D:$E,MATCH("M",$D:$D,0),2))/COUNTIFS(Dados!$E:$E,$B52,Dados!$C:$C,INDEX(D$3,1,1),Dados!$A:$A,INDEX($D:$E,MATCH("M",$D:$D,0),2)))</f>
        <v/>
      </c>
      <c r="E52" s="68" t="str">
        <f>IF(COUNTIFS(Dados!$E:$E,$B52,Dados!$C:$C,INDEX(E$3,1,1),Dados!$A:$A,INDEX($D:$E,MATCH("M",$D:$D,0),2))=0,"",SUMIFS(Dados!$G:$G,Dados!$E:$E,$B52,Dados!$C:$C,INDEX(E$3,1,1),Dados!$A:$A,INDEX($D:$E,MATCH("M",$D:$D,0),2))/COUNTIFS(Dados!$E:$E,$B52,Dados!$C:$C,INDEX(E$3,1,1),Dados!$A:$A,INDEX($D:$E,MATCH("M",$D:$D,0),2)))</f>
        <v/>
      </c>
      <c r="F52" s="68" t="str">
        <f>IF(COUNTIFS(Dados!$E:$E,$B52,Dados!$C:$C,INDEX(F$3,1,1),Dados!$A:$A,INDEX($D:$E,MATCH("M",$D:$D,0),2))=0,"",SUMIFS(Dados!$G:$G,Dados!$E:$E,$B52,Dados!$C:$C,INDEX(F$3,1,1),Dados!$A:$A,INDEX($D:$E,MATCH("M",$D:$D,0),2))/COUNTIFS(Dados!$E:$E,$B52,Dados!$C:$C,INDEX(F$3,1,1),Dados!$A:$A,INDEX($D:$E,MATCH("M",$D:$D,0),2)))</f>
        <v/>
      </c>
      <c r="G52" s="68" t="str">
        <f>IF(COUNTIFS(Dados!$E:$E,$B52,Dados!$C:$C,INDEX(G$3,1,1),Dados!$A:$A,INDEX($D:$E,MATCH("M",$D:$D,0),2))=0,"",SUMIFS(Dados!$G:$G,Dados!$E:$E,$B52,Dados!$C:$C,INDEX(G$3,1,1),Dados!$A:$A,INDEX($D:$E,MATCH("M",$D:$D,0),2))/COUNTIFS(Dados!$E:$E,$B52,Dados!$C:$C,INDEX(G$3,1,1),Dados!$A:$A,INDEX($D:$E,MATCH("M",$D:$D,0),2)))</f>
        <v/>
      </c>
      <c r="H52" s="68" t="str">
        <f>IF(COUNTIFS(Dados!$E:$E,$B52,Dados!$C:$C,INDEX(H$3,1,1),Dados!$A:$A,INDEX($D:$E,MATCH("M",$D:$D,0),2))=0,"",SUMIFS(Dados!$G:$G,Dados!$E:$E,$B52,Dados!$C:$C,INDEX(H$3,1,1),Dados!$A:$A,INDEX($D:$E,MATCH("M",$D:$D,0),2))/COUNTIFS(Dados!$E:$E,$B52,Dados!$C:$C,INDEX(H$3,1,1),Dados!$A:$A,INDEX($D:$E,MATCH("M",$D:$D,0),2)))</f>
        <v/>
      </c>
      <c r="I52" s="68" t="str">
        <f>IF(COUNTIFS(Dados!$E:$E,$B52,Dados!$C:$C,INDEX(I$3,1,1),Dados!$A:$A,INDEX($D:$E,MATCH("M",$D:$D,0),2))=0,"",SUMIFS(Dados!$G:$G,Dados!$E:$E,$B52,Dados!$C:$C,INDEX(I$3,1,1),Dados!$A:$A,INDEX($D:$E,MATCH("M",$D:$D,0),2))/COUNTIFS(Dados!$E:$E,$B52,Dados!$C:$C,INDEX(I$3,1,1),Dados!$A:$A,INDEX($D:$E,MATCH("M",$D:$D,0),2)))</f>
        <v/>
      </c>
      <c r="J52" s="68" t="str">
        <f>IF(COUNTIFS(Dados!$E:$E,$B52,Dados!$C:$C,INDEX(J$3,1,1),Dados!$A:$A,INDEX($D:$E,MATCH("M",$D:$D,0),2))=0,"",SUMIFS(Dados!$G:$G,Dados!$E:$E,$B52,Dados!$C:$C,INDEX(J$3,1,1),Dados!$A:$A,INDEX($D:$E,MATCH("M",$D:$D,0),2))/COUNTIFS(Dados!$E:$E,$B52,Dados!$C:$C,INDEX(J$3,1,1),Dados!$A:$A,INDEX($D:$E,MATCH("M",$D:$D,0),2)))</f>
        <v/>
      </c>
      <c r="K52" s="68" t="str">
        <f>IF(COUNTIFS(Dados!$E:$E,$B52,Dados!$C:$C,INDEX(K$3,1,1),Dados!$A:$A,INDEX($D:$E,MATCH("M",$D:$D,0),2))=0,"",SUMIFS(Dados!$G:$G,Dados!$E:$E,$B52,Dados!$C:$C,INDEX(K$3,1,1),Dados!$A:$A,INDEX($D:$E,MATCH("M",$D:$D,0),2))/COUNTIFS(Dados!$E:$E,$B52,Dados!$C:$C,INDEX(K$3,1,1),Dados!$A:$A,INDEX($D:$E,MATCH("M",$D:$D,0),2)))</f>
        <v/>
      </c>
      <c r="L52" s="68" t="str">
        <f>IF(COUNTIFS(Dados!$E:$E,$B52,Dados!$C:$C,INDEX(L$3,1,1),Dados!$A:$A,INDEX($D:$E,MATCH("M",$D:$D,0),2))=0,"",SUMIFS(Dados!$G:$G,Dados!$E:$E,$B52,Dados!$C:$C,INDEX(L$3,1,1),Dados!$A:$A,INDEX($D:$E,MATCH("M",$D:$D,0),2))/COUNTIFS(Dados!$E:$E,$B52,Dados!$C:$C,INDEX(L$3,1,1),Dados!$A:$A,INDEX($D:$E,MATCH("M",$D:$D,0),2)))</f>
        <v/>
      </c>
      <c r="M52" s="68" t="str">
        <f>IF(COUNTIFS(Dados!$E:$E,$B52,Dados!$C:$C,INDEX(M$3,1,1),Dados!$A:$A,INDEX($D:$E,MATCH("M",$D:$D,0),2))=0,"",SUMIFS(Dados!$G:$G,Dados!$E:$E,$B52,Dados!$C:$C,INDEX(M$3,1,1),Dados!$A:$A,INDEX($D:$E,MATCH("M",$D:$D,0),2))/COUNTIFS(Dados!$E:$E,$B52,Dados!$C:$C,INDEX(M$3,1,1),Dados!$A:$A,INDEX($D:$E,MATCH("M",$D:$D,0),2)))</f>
        <v/>
      </c>
      <c r="N52" s="68" t="str">
        <f>IF(COUNTIFS(Dados!$E:$E,$B52,Dados!$C:$C,INDEX(N$3,1,1),Dados!$A:$A,INDEX($D:$E,MATCH("M",$D:$D,0),2))=0,"",SUMIFS(Dados!$G:$G,Dados!$E:$E,$B52,Dados!$C:$C,INDEX(N$3,1,1),Dados!$A:$A,INDEX($D:$E,MATCH("M",$D:$D,0),2))/COUNTIFS(Dados!$E:$E,$B52,Dados!$C:$C,INDEX(N$3,1,1),Dados!$A:$A,INDEX($D:$E,MATCH("M",$D:$D,0),2)))</f>
        <v/>
      </c>
      <c r="O52" s="68" t="str">
        <f>IF(COUNTIFS(Dados!$E:$E,$B52,Dados!$C:$C,INDEX(O$3,1,1),Dados!$A:$A,INDEX($D:$E,MATCH("M",$D:$D,0),2))=0,"",SUMIFS(Dados!$G:$G,Dados!$E:$E,$B52,Dados!$C:$C,INDEX(O$3,1,1),Dados!$A:$A,INDEX($D:$E,MATCH("M",$D:$D,0),2))/COUNTIFS(Dados!$E:$E,$B52,Dados!$C:$C,INDEX(O$3,1,1),Dados!$A:$A,INDEX($D:$E,MATCH("M",$D:$D,0),2)))</f>
        <v/>
      </c>
      <c r="P52" s="68" t="str">
        <f>IF(COUNTIFS(Dados!$E:$E,$B52,Dados!$C:$C,INDEX(P$3,1,1),Dados!$A:$A,INDEX($D:$E,MATCH("M",$D:$D,0),2))=0,"",SUMIFS(Dados!$G:$G,Dados!$E:$E,$B52,Dados!$C:$C,INDEX(P$3,1,1),Dados!$A:$A,INDEX($D:$E,MATCH("M",$D:$D,0),2))/COUNTIFS(Dados!$E:$E,$B52,Dados!$C:$C,INDEX(P$3,1,1),Dados!$A:$A,INDEX($D:$E,MATCH("M",$D:$D,0),2)))</f>
        <v/>
      </c>
      <c r="Q52" s="68" t="str">
        <f>IF(COUNTIFS(Dados!$E:$E,$B52,Dados!$C:$C,INDEX(Q$3,1,1),Dados!$A:$A,INDEX($D:$E,MATCH("M",$D:$D,0),2))=0,"",SUMIFS(Dados!$G:$G,Dados!$E:$E,$B52,Dados!$C:$C,INDEX(Q$3,1,1),Dados!$A:$A,INDEX($D:$E,MATCH("M",$D:$D,0),2))/COUNTIFS(Dados!$E:$E,$B52,Dados!$C:$C,INDEX(Q$3,1,1),Dados!$A:$A,INDEX($D:$E,MATCH("M",$D:$D,0),2)))</f>
        <v/>
      </c>
      <c r="R52" s="68" t="str">
        <f>IF(COUNTIFS(Dados!$E:$E,$B52,Dados!$C:$C,INDEX(R$3,1,1),Dados!$A:$A,INDEX($D:$E,MATCH("M",$D:$D,0),2))=0,"",SUMIFS(Dados!$G:$G,Dados!$E:$E,$B52,Dados!$C:$C,INDEX(R$3,1,1),Dados!$A:$A,INDEX($D:$E,MATCH("M",$D:$D,0),2))/COUNTIFS(Dados!$E:$E,$B52,Dados!$C:$C,INDEX(R$3,1,1),Dados!$A:$A,INDEX($D:$E,MATCH("M",$D:$D,0),2)))</f>
        <v/>
      </c>
      <c r="S52" s="68" t="str">
        <f>IF(COUNTIFS(Dados!$E:$E,$B52,Dados!$C:$C,INDEX(S$3,1,1),Dados!$A:$A,INDEX($D:$E,MATCH("M",$D:$D,0),2))=0,"",SUMIFS(Dados!$G:$G,Dados!$E:$E,$B52,Dados!$C:$C,INDEX(S$3,1,1),Dados!$A:$A,INDEX($D:$E,MATCH("M",$D:$D,0),2))/COUNTIFS(Dados!$E:$E,$B52,Dados!$C:$C,INDEX(S$3,1,1),Dados!$A:$A,INDEX($D:$E,MATCH("M",$D:$D,0),2)))</f>
        <v/>
      </c>
      <c r="T52" s="68" t="str">
        <f>IF(COUNTIFS(Dados!$E:$E,$B52,Dados!$C:$C,INDEX(T$3,1,1),Dados!$A:$A,INDEX($D:$E,MATCH("M",$D:$D,0),2))=0,"",SUMIFS(Dados!$G:$G,Dados!$E:$E,$B52,Dados!$C:$C,INDEX(T$3,1,1),Dados!$A:$A,INDEX($D:$E,MATCH("M",$D:$D,0),2))/COUNTIFS(Dados!$E:$E,$B52,Dados!$C:$C,INDEX(T$3,1,1),Dados!$A:$A,INDEX($D:$E,MATCH("M",$D:$D,0),2)))</f>
        <v/>
      </c>
      <c r="U52" s="68" t="str">
        <f>IF(COUNTIFS(Dados!$E:$E,$B52,Dados!$C:$C,INDEX(U$3,1,1),Dados!$A:$A,INDEX($D:$E,MATCH("M",$D:$D,0),2))=0,"",SUMIFS(Dados!$G:$G,Dados!$E:$E,$B52,Dados!$C:$C,INDEX(U$3,1,1),Dados!$A:$A,INDEX($D:$E,MATCH("M",$D:$D,0),2))/COUNTIFS(Dados!$E:$E,$B52,Dados!$C:$C,INDEX(U$3,1,1),Dados!$A:$A,INDEX($D:$E,MATCH("M",$D:$D,0),2)))</f>
        <v/>
      </c>
    </row>
    <row r="53" spans="2:21" x14ac:dyDescent="0.25">
      <c r="B53" s="50" t="s">
        <v>1293</v>
      </c>
      <c r="C53" s="57"/>
      <c r="D53" s="51"/>
      <c r="E53" s="51"/>
      <c r="F53" s="51"/>
      <c r="G53" s="51"/>
      <c r="H53" s="51"/>
      <c r="I53" s="51"/>
      <c r="J53" s="51"/>
      <c r="K53" s="51"/>
      <c r="L53" s="51"/>
      <c r="M53" s="51"/>
      <c r="N53" s="51"/>
      <c r="O53" s="51"/>
      <c r="P53" s="51"/>
      <c r="Q53" s="51"/>
      <c r="R53" s="51"/>
      <c r="S53" s="51"/>
      <c r="T53" s="51"/>
      <c r="U53" s="51"/>
    </row>
  </sheetData>
  <mergeCells count="1">
    <mergeCell ref="B2:E2"/>
  </mergeCells>
  <conditionalFormatting sqref="D4:U5">
    <cfRule type="colorScale" priority="4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D13:U13">
    <cfRule type="colorScale" priority="4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D17:U17">
    <cfRule type="colorScale" priority="4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D25:U25">
    <cfRule type="colorScale" priority="4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D29:U29">
    <cfRule type="colorScale" priority="4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D9:U9">
    <cfRule type="colorScale" priority="4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D33:U33">
    <cfRule type="colorScale" priority="3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D37:U37">
    <cfRule type="colorScale" priority="3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D41:U41">
    <cfRule type="colorScale" priority="3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D45:U45">
    <cfRule type="colorScale" priority="3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D49:U49">
    <cfRule type="colorScale" priority="2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D24:U24">
    <cfRule type="colorScale" priority="1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D53:U53">
    <cfRule type="colorScale" priority="27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D28:U28">
    <cfRule type="colorScale" priority="1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D8:U8">
    <cfRule type="colorScale" priority="25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D12:U12">
    <cfRule type="colorScale" priority="2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D16:U16">
    <cfRule type="colorScale" priority="2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D32:U32">
    <cfRule type="colorScale" priority="1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D52:U52">
    <cfRule type="colorScale" priority="3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D36:U36">
    <cfRule type="colorScale" priority="9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D40:U40">
    <cfRule type="colorScale" priority="8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D44:U44">
    <cfRule type="colorScale" priority="6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D48:U48">
    <cfRule type="colorScale" priority="4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D21:U21">
    <cfRule type="colorScale" priority="2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conditionalFormatting sqref="D20:U20">
    <cfRule type="colorScale" priority="1">
      <colorScale>
        <cfvo type="num" val="0"/>
        <cfvo type="num" val="0.81"/>
        <cfvo type="num" val="1.01"/>
        <color rgb="FFF8696B"/>
        <color theme="0"/>
        <color rgb="FF63BE7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horizontalDpi="4294967294" verticalDpi="4294967294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6"/>
  <dimension ref="A1:AP25"/>
  <sheetViews>
    <sheetView zoomScaleNormal="100" workbookViewId="0">
      <selection activeCell="C4" sqref="C4"/>
    </sheetView>
  </sheetViews>
  <sheetFormatPr defaultRowHeight="15" x14ac:dyDescent="0.25"/>
  <cols>
    <col min="3" max="3" width="18" bestFit="1" customWidth="1"/>
  </cols>
  <sheetData>
    <row r="1" spans="1:42" x14ac:dyDescent="0.25">
      <c r="A1" t="s">
        <v>978</v>
      </c>
      <c r="B1" t="s">
        <v>977</v>
      </c>
      <c r="C1" t="s">
        <v>1283</v>
      </c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  <c r="S1" s="46"/>
      <c r="T1" s="46"/>
      <c r="U1" s="46"/>
      <c r="W1" s="46"/>
      <c r="X1" s="46"/>
      <c r="Y1" s="46"/>
      <c r="Z1" s="46"/>
      <c r="AA1" s="46"/>
      <c r="AB1" s="46"/>
      <c r="AC1" s="46"/>
      <c r="AD1" s="46"/>
      <c r="AE1" s="46"/>
      <c r="AF1" s="46"/>
      <c r="AG1" s="46"/>
      <c r="AH1" s="46"/>
      <c r="AI1" s="46"/>
      <c r="AJ1" s="46"/>
      <c r="AK1" s="46"/>
      <c r="AL1" s="46"/>
      <c r="AM1" s="46"/>
      <c r="AN1" s="46"/>
      <c r="AO1" s="46"/>
      <c r="AP1" s="46"/>
    </row>
    <row r="2" spans="1:42" x14ac:dyDescent="0.25">
      <c r="A2" t="s">
        <v>977</v>
      </c>
      <c r="B2" t="s">
        <v>979</v>
      </c>
      <c r="C2" t="s">
        <v>54</v>
      </c>
      <c r="G2" s="46"/>
      <c r="H2" s="46"/>
      <c r="I2" s="46"/>
      <c r="J2" s="46"/>
      <c r="K2" s="46"/>
      <c r="L2" s="46"/>
      <c r="M2" s="46"/>
      <c r="N2" s="46"/>
      <c r="O2" s="46"/>
      <c r="P2" s="46"/>
      <c r="Q2" s="46"/>
      <c r="R2" s="46"/>
      <c r="S2" s="46"/>
      <c r="T2" s="46"/>
      <c r="U2" s="46"/>
      <c r="V2" s="46"/>
      <c r="W2" s="46"/>
      <c r="X2" s="46"/>
      <c r="Y2" s="46"/>
      <c r="Z2" s="46"/>
      <c r="AA2" s="46"/>
      <c r="AB2" s="46"/>
      <c r="AC2" s="46"/>
      <c r="AD2" s="46"/>
      <c r="AE2" s="46"/>
      <c r="AF2" s="46"/>
      <c r="AG2" s="46"/>
      <c r="AH2" s="46"/>
      <c r="AI2" s="46"/>
      <c r="AJ2" s="46"/>
      <c r="AK2" s="46"/>
      <c r="AL2" s="46"/>
      <c r="AM2" s="46"/>
      <c r="AN2" s="46"/>
      <c r="AO2" s="46"/>
      <c r="AP2" s="46"/>
    </row>
    <row r="3" spans="1:42" x14ac:dyDescent="0.25">
      <c r="A3" s="46" t="s">
        <v>1276</v>
      </c>
      <c r="B3" t="s">
        <v>1276</v>
      </c>
      <c r="C3" s="46" t="s">
        <v>1306</v>
      </c>
      <c r="F3" s="46"/>
      <c r="G3" s="46"/>
      <c r="H3" s="46"/>
      <c r="I3" s="46"/>
      <c r="J3" s="46"/>
      <c r="K3" s="46"/>
      <c r="L3" s="46"/>
      <c r="M3" s="46"/>
      <c r="N3" s="46"/>
      <c r="O3" s="46"/>
      <c r="P3" s="46"/>
      <c r="Q3" s="46"/>
      <c r="R3" s="46"/>
      <c r="S3" s="46"/>
      <c r="T3" s="46"/>
      <c r="U3" s="46"/>
      <c r="V3" s="46"/>
      <c r="W3" s="46"/>
      <c r="X3" s="46"/>
      <c r="Y3" s="46"/>
      <c r="Z3" s="46"/>
      <c r="AA3" s="46"/>
      <c r="AB3" s="46"/>
      <c r="AC3" s="46"/>
      <c r="AD3" s="46"/>
      <c r="AE3" s="46"/>
      <c r="AF3" s="46"/>
      <c r="AG3" s="46"/>
      <c r="AH3" s="46"/>
      <c r="AI3" s="46"/>
      <c r="AJ3" s="46"/>
      <c r="AK3" s="46"/>
      <c r="AL3" s="46"/>
      <c r="AM3" s="46"/>
      <c r="AN3" s="46"/>
      <c r="AO3" s="46"/>
      <c r="AP3" s="46"/>
    </row>
    <row r="4" spans="1:42" x14ac:dyDescent="0.25">
      <c r="A4" t="s">
        <v>979</v>
      </c>
      <c r="C4" t="s">
        <v>1284</v>
      </c>
      <c r="F4" s="46"/>
      <c r="G4" s="46"/>
      <c r="H4" s="46"/>
      <c r="I4" s="46"/>
      <c r="J4" s="46"/>
      <c r="K4" s="46"/>
      <c r="L4" s="46"/>
      <c r="M4" s="46"/>
      <c r="N4" s="46"/>
      <c r="O4" s="46"/>
      <c r="P4" s="46"/>
      <c r="Q4" s="46"/>
      <c r="R4" s="46"/>
      <c r="S4" s="46"/>
      <c r="T4" s="46"/>
      <c r="U4" s="46"/>
      <c r="V4" s="46"/>
      <c r="W4" s="46"/>
      <c r="X4" s="46"/>
      <c r="Y4" s="46"/>
      <c r="Z4" s="46"/>
      <c r="AA4" s="46"/>
      <c r="AB4" s="46"/>
      <c r="AC4" s="46"/>
      <c r="AD4" s="46"/>
      <c r="AE4" s="46"/>
      <c r="AF4" s="46"/>
      <c r="AG4" s="46"/>
      <c r="AH4" s="46"/>
      <c r="AI4" s="46"/>
      <c r="AJ4" s="46"/>
      <c r="AK4" s="46"/>
      <c r="AL4" s="46"/>
      <c r="AM4" s="46"/>
      <c r="AN4" s="46"/>
      <c r="AO4" s="46"/>
      <c r="AP4" s="46"/>
    </row>
    <row r="5" spans="1:42" x14ac:dyDescent="0.25">
      <c r="A5" t="s">
        <v>981</v>
      </c>
      <c r="C5" t="s">
        <v>1285</v>
      </c>
      <c r="F5" s="46"/>
      <c r="G5" s="46"/>
      <c r="H5" s="46"/>
      <c r="I5" s="46"/>
      <c r="J5" s="46"/>
      <c r="K5" s="46"/>
      <c r="L5" s="46"/>
      <c r="M5" s="46"/>
      <c r="N5" s="46"/>
      <c r="O5" s="46"/>
      <c r="P5" s="46"/>
      <c r="Q5" s="46"/>
      <c r="R5" s="46"/>
      <c r="S5" s="46"/>
      <c r="T5" s="46"/>
      <c r="U5" s="46"/>
      <c r="V5" s="46"/>
      <c r="W5" s="46"/>
      <c r="X5" s="46"/>
      <c r="Y5" s="46"/>
      <c r="Z5" s="46"/>
      <c r="AA5" s="46"/>
      <c r="AB5" s="46"/>
      <c r="AC5" s="46"/>
      <c r="AD5" s="46"/>
      <c r="AE5" s="46"/>
      <c r="AF5" s="46"/>
      <c r="AG5" s="46"/>
      <c r="AH5" s="46"/>
      <c r="AI5" s="46"/>
      <c r="AJ5" s="46"/>
      <c r="AK5" s="46"/>
      <c r="AL5" s="46"/>
      <c r="AM5" s="46"/>
      <c r="AN5" s="46"/>
      <c r="AO5" s="46"/>
      <c r="AP5" s="46"/>
    </row>
    <row r="6" spans="1:42" x14ac:dyDescent="0.25">
      <c r="A6" t="s">
        <v>980</v>
      </c>
      <c r="F6" s="46"/>
      <c r="G6" s="46"/>
      <c r="H6" s="46"/>
      <c r="I6" s="46"/>
      <c r="J6" s="46"/>
      <c r="K6" s="46"/>
      <c r="L6" s="46"/>
      <c r="M6" s="46"/>
      <c r="N6" s="46"/>
      <c r="O6" s="46"/>
      <c r="P6" s="46"/>
      <c r="Q6" s="46"/>
      <c r="R6" s="46"/>
      <c r="S6" s="46"/>
      <c r="T6" s="46"/>
      <c r="U6" s="46"/>
      <c r="V6" s="46"/>
      <c r="W6" s="46"/>
      <c r="X6" s="46"/>
      <c r="Y6" s="46"/>
      <c r="Z6" s="46"/>
      <c r="AA6" s="46"/>
      <c r="AB6" s="46"/>
      <c r="AC6" s="46"/>
      <c r="AD6" s="46"/>
      <c r="AE6" s="46"/>
      <c r="AF6" s="46"/>
      <c r="AG6" s="46"/>
      <c r="AH6" s="46"/>
      <c r="AI6" s="46"/>
      <c r="AJ6" s="46"/>
      <c r="AK6" s="46"/>
      <c r="AL6" s="46"/>
      <c r="AM6" s="46"/>
      <c r="AN6" s="46"/>
      <c r="AO6" s="46"/>
      <c r="AP6" s="46"/>
    </row>
    <row r="7" spans="1:42" x14ac:dyDescent="0.25">
      <c r="A7" t="s">
        <v>1277</v>
      </c>
      <c r="F7" s="46"/>
      <c r="G7" s="46"/>
      <c r="H7" s="46"/>
      <c r="I7" s="46"/>
      <c r="J7" s="46"/>
      <c r="K7" s="46"/>
      <c r="L7" s="46"/>
      <c r="M7" s="46"/>
      <c r="N7" s="46"/>
      <c r="O7" s="46"/>
      <c r="P7" s="46"/>
      <c r="Q7" s="46"/>
      <c r="R7" s="46"/>
      <c r="S7" s="46"/>
      <c r="T7" s="46"/>
      <c r="U7" s="46"/>
      <c r="V7" s="46"/>
      <c r="W7" s="46"/>
      <c r="X7" s="46"/>
      <c r="Y7" s="46"/>
      <c r="Z7" s="46"/>
      <c r="AA7" s="46"/>
      <c r="AB7" s="46"/>
      <c r="AC7" s="46"/>
      <c r="AD7" s="46"/>
      <c r="AE7" s="46"/>
      <c r="AF7" s="46"/>
      <c r="AG7" s="46"/>
      <c r="AH7" s="46"/>
      <c r="AI7" s="46"/>
      <c r="AJ7" s="46"/>
      <c r="AK7" s="46"/>
      <c r="AL7" s="46"/>
      <c r="AM7" s="46"/>
      <c r="AN7" s="46"/>
      <c r="AO7" s="46"/>
      <c r="AP7" s="46"/>
    </row>
    <row r="8" spans="1:42" x14ac:dyDescent="0.25">
      <c r="A8" t="s">
        <v>1278</v>
      </c>
      <c r="F8" s="46"/>
      <c r="G8" s="46"/>
      <c r="H8" s="46"/>
      <c r="I8" s="46"/>
      <c r="J8" s="46"/>
      <c r="K8" s="46"/>
      <c r="L8" s="46"/>
      <c r="M8" s="46"/>
      <c r="N8" s="46"/>
      <c r="O8" s="46"/>
      <c r="P8" s="46"/>
      <c r="Q8" s="46"/>
      <c r="R8" s="46"/>
      <c r="S8" s="46"/>
      <c r="T8" s="46"/>
      <c r="U8" s="46"/>
      <c r="V8" s="46"/>
      <c r="W8" s="46"/>
      <c r="X8" s="46"/>
      <c r="Y8" s="46"/>
      <c r="Z8" s="46"/>
      <c r="AA8" s="46"/>
      <c r="AB8" s="46"/>
      <c r="AC8" s="46"/>
      <c r="AD8" s="46"/>
      <c r="AE8" s="46"/>
      <c r="AF8" s="46"/>
      <c r="AG8" s="46"/>
      <c r="AH8" s="46"/>
      <c r="AI8" s="46"/>
      <c r="AJ8" s="46"/>
      <c r="AK8" s="46"/>
      <c r="AL8" s="46"/>
      <c r="AM8" s="46"/>
      <c r="AN8" s="46"/>
      <c r="AO8" s="46"/>
      <c r="AP8" s="46"/>
    </row>
    <row r="9" spans="1:42" x14ac:dyDescent="0.25">
      <c r="A9" t="s">
        <v>1279</v>
      </c>
      <c r="F9" s="46"/>
      <c r="G9" s="46"/>
      <c r="H9" s="46"/>
      <c r="I9" s="46"/>
      <c r="J9" s="46"/>
      <c r="K9" s="46"/>
      <c r="L9" s="46"/>
      <c r="M9" s="46"/>
      <c r="N9" s="46"/>
      <c r="O9" s="46"/>
      <c r="P9" s="46"/>
      <c r="Q9" s="46"/>
      <c r="R9" s="46"/>
      <c r="S9" s="46"/>
      <c r="T9" s="46"/>
      <c r="U9" s="46"/>
      <c r="V9" s="46"/>
      <c r="W9" s="46"/>
      <c r="X9" s="46"/>
      <c r="Y9" s="46"/>
      <c r="Z9" s="46"/>
      <c r="AA9" s="46"/>
      <c r="AB9" s="46"/>
      <c r="AC9" s="46"/>
      <c r="AD9" s="46"/>
      <c r="AE9" s="46"/>
      <c r="AF9" s="46"/>
      <c r="AG9" s="46"/>
      <c r="AH9" s="46"/>
      <c r="AI9" s="46"/>
      <c r="AJ9" s="46"/>
      <c r="AK9" s="46"/>
      <c r="AL9" s="46"/>
      <c r="AM9" s="46"/>
      <c r="AN9" s="46"/>
      <c r="AO9" s="46"/>
      <c r="AP9" s="46"/>
    </row>
    <row r="10" spans="1:42" x14ac:dyDescent="0.25">
      <c r="A10" t="s">
        <v>1280</v>
      </c>
      <c r="F10" s="46"/>
      <c r="G10" s="46"/>
      <c r="H10" s="46"/>
      <c r="I10" s="46"/>
      <c r="J10" s="46"/>
      <c r="K10" s="46"/>
      <c r="L10" s="46"/>
      <c r="M10" s="46"/>
      <c r="N10" s="46"/>
      <c r="O10" s="46"/>
      <c r="P10" s="46"/>
      <c r="Q10" s="46"/>
      <c r="R10" s="46"/>
      <c r="S10" s="46"/>
      <c r="T10" s="46"/>
      <c r="U10" s="46"/>
      <c r="V10" s="46"/>
      <c r="W10" s="46"/>
      <c r="X10" s="46"/>
      <c r="Y10" s="46"/>
      <c r="Z10" s="46"/>
      <c r="AA10" s="46"/>
      <c r="AB10" s="46"/>
      <c r="AC10" s="46"/>
      <c r="AD10" s="46"/>
      <c r="AE10" s="46"/>
      <c r="AF10" s="46"/>
      <c r="AG10" s="46"/>
      <c r="AH10" s="46"/>
      <c r="AI10" s="46"/>
      <c r="AJ10" s="46"/>
      <c r="AK10" s="46"/>
      <c r="AL10" s="46"/>
      <c r="AM10" s="46"/>
      <c r="AN10" s="46"/>
      <c r="AO10" s="46"/>
      <c r="AP10" s="46"/>
    </row>
    <row r="11" spans="1:42" x14ac:dyDescent="0.25">
      <c r="A11" t="s">
        <v>1281</v>
      </c>
      <c r="F11" s="46"/>
      <c r="G11" s="46"/>
      <c r="H11" s="46"/>
      <c r="I11" s="46"/>
      <c r="J11" s="46"/>
      <c r="K11" s="46"/>
      <c r="L11" s="46"/>
      <c r="M11" s="46"/>
      <c r="N11" s="46"/>
      <c r="O11" s="46"/>
      <c r="P11" s="46"/>
      <c r="Q11" s="46"/>
      <c r="R11" s="46"/>
      <c r="S11" s="46"/>
      <c r="T11" s="46"/>
      <c r="U11" s="46"/>
      <c r="V11" s="46"/>
      <c r="W11" s="46"/>
      <c r="X11" s="46"/>
      <c r="Y11" s="46"/>
      <c r="Z11" s="46"/>
      <c r="AA11" s="46"/>
      <c r="AB11" s="46"/>
      <c r="AC11" s="46"/>
      <c r="AD11" s="46"/>
      <c r="AE11" s="46"/>
      <c r="AF11" s="46"/>
      <c r="AG11" s="46"/>
      <c r="AH11" s="46"/>
      <c r="AI11" s="46"/>
      <c r="AJ11" s="46"/>
      <c r="AK11" s="46"/>
      <c r="AL11" s="46"/>
      <c r="AM11" s="46"/>
      <c r="AN11" s="46"/>
      <c r="AO11" s="46"/>
      <c r="AP11" s="46"/>
    </row>
    <row r="12" spans="1:42" x14ac:dyDescent="0.25">
      <c r="A12" t="s">
        <v>1282</v>
      </c>
      <c r="F12" s="46"/>
      <c r="G12" s="46"/>
      <c r="H12" s="46"/>
      <c r="I12" s="46"/>
      <c r="J12" s="46"/>
      <c r="K12" s="46"/>
      <c r="L12" s="46"/>
      <c r="M12" s="46"/>
      <c r="N12" s="46"/>
      <c r="O12" s="46"/>
      <c r="P12" s="46"/>
      <c r="Q12" s="46"/>
      <c r="R12" s="46"/>
      <c r="S12" s="46"/>
      <c r="T12" s="46"/>
      <c r="U12" s="46"/>
      <c r="V12" s="46"/>
      <c r="W12" s="46"/>
      <c r="X12" s="46"/>
      <c r="Y12" s="46"/>
      <c r="Z12" s="46"/>
      <c r="AA12" s="46"/>
      <c r="AB12" s="46"/>
      <c r="AC12" s="46"/>
      <c r="AD12" s="46"/>
      <c r="AE12" s="46"/>
      <c r="AF12" s="46"/>
      <c r="AG12" s="46"/>
      <c r="AH12" s="46"/>
      <c r="AI12" s="46"/>
      <c r="AJ12" s="46"/>
      <c r="AK12" s="46"/>
      <c r="AL12" s="46"/>
      <c r="AM12" s="46"/>
      <c r="AN12" s="46"/>
      <c r="AO12" s="46"/>
      <c r="AP12" s="46"/>
    </row>
    <row r="14" spans="1:42" x14ac:dyDescent="0.25">
      <c r="E14" s="46"/>
      <c r="F14" s="46"/>
      <c r="G14" s="46"/>
      <c r="H14" s="46"/>
      <c r="I14" s="46"/>
      <c r="J14" s="46"/>
      <c r="K14" s="46"/>
      <c r="L14" s="46"/>
      <c r="M14" s="46"/>
      <c r="N14" s="46"/>
      <c r="O14" s="46"/>
      <c r="P14" s="46"/>
      <c r="Q14" s="46"/>
      <c r="R14" s="46"/>
      <c r="S14" s="46"/>
      <c r="T14" s="46"/>
      <c r="U14" s="46"/>
    </row>
    <row r="15" spans="1:42" x14ac:dyDescent="0.25">
      <c r="E15" s="46"/>
      <c r="G15" s="46"/>
      <c r="H15" s="46"/>
      <c r="I15" s="46"/>
      <c r="J15" s="46"/>
      <c r="K15" s="46"/>
      <c r="L15" s="46"/>
      <c r="M15" s="46"/>
      <c r="N15" s="46"/>
      <c r="O15" s="46"/>
      <c r="P15" s="46"/>
      <c r="Q15" s="46"/>
      <c r="R15" s="46"/>
      <c r="S15" s="46"/>
      <c r="T15" s="46"/>
      <c r="U15" s="46"/>
      <c r="V15" s="46"/>
      <c r="W15" s="46"/>
      <c r="X15" s="46"/>
      <c r="Y15" s="46"/>
      <c r="Z15" s="46"/>
      <c r="AA15" s="46"/>
      <c r="AB15" s="46"/>
      <c r="AC15" s="46"/>
      <c r="AD15" s="46"/>
      <c r="AE15" s="46"/>
      <c r="AF15" s="46"/>
      <c r="AG15" s="46"/>
      <c r="AH15" s="46"/>
      <c r="AI15" s="46"/>
      <c r="AJ15" s="46"/>
      <c r="AK15" s="46"/>
      <c r="AL15" s="46"/>
      <c r="AM15" s="46"/>
      <c r="AN15" s="46"/>
      <c r="AO15" s="46"/>
      <c r="AP15" s="46"/>
    </row>
    <row r="16" spans="1:42" x14ac:dyDescent="0.25">
      <c r="E16" s="46"/>
      <c r="F16" s="46"/>
      <c r="G16" s="46"/>
      <c r="H16" s="46"/>
      <c r="I16" s="46"/>
      <c r="J16" s="46"/>
      <c r="K16" s="46"/>
      <c r="L16" s="46"/>
      <c r="M16" s="46"/>
      <c r="N16" s="46"/>
      <c r="O16" s="46"/>
      <c r="P16" s="46"/>
      <c r="Q16" s="46"/>
      <c r="R16" s="46"/>
      <c r="S16" s="46"/>
      <c r="T16" s="46"/>
      <c r="U16" s="46"/>
      <c r="V16" s="46"/>
      <c r="W16" s="46"/>
      <c r="X16" s="46"/>
      <c r="Y16" s="46"/>
      <c r="Z16" s="46"/>
      <c r="AA16" s="46"/>
      <c r="AB16" s="46"/>
      <c r="AC16" s="46"/>
      <c r="AD16" s="46"/>
      <c r="AE16" s="46"/>
      <c r="AF16" s="46"/>
      <c r="AG16" s="46"/>
      <c r="AH16" s="46"/>
      <c r="AI16" s="46"/>
      <c r="AJ16" s="46"/>
      <c r="AK16" s="46"/>
      <c r="AL16" s="46"/>
      <c r="AM16" s="46"/>
      <c r="AN16" s="46"/>
      <c r="AO16" s="46"/>
      <c r="AP16" s="46"/>
    </row>
    <row r="17" spans="5:42" x14ac:dyDescent="0.25">
      <c r="E17" s="46"/>
      <c r="F17" s="46"/>
      <c r="G17" s="46"/>
      <c r="H17" s="46"/>
      <c r="I17" s="46"/>
      <c r="J17" s="46"/>
      <c r="K17" s="46"/>
      <c r="L17" s="46"/>
      <c r="M17" s="46"/>
      <c r="N17" s="46"/>
      <c r="O17" s="46"/>
      <c r="P17" s="46"/>
      <c r="Q17" s="46"/>
      <c r="R17" s="46"/>
      <c r="S17" s="46"/>
      <c r="T17" s="46"/>
      <c r="U17" s="46"/>
      <c r="V17" s="46"/>
      <c r="W17" s="46"/>
      <c r="X17" s="46"/>
      <c r="Y17" s="46"/>
      <c r="Z17" s="46"/>
      <c r="AA17" s="46"/>
      <c r="AB17" s="46"/>
      <c r="AC17" s="46"/>
      <c r="AD17" s="46"/>
      <c r="AE17" s="46"/>
      <c r="AF17" s="46"/>
      <c r="AG17" s="46"/>
      <c r="AH17" s="46"/>
      <c r="AI17" s="46"/>
      <c r="AJ17" s="46"/>
      <c r="AK17" s="46"/>
      <c r="AL17" s="46"/>
      <c r="AM17" s="46"/>
      <c r="AN17" s="46"/>
      <c r="AO17" s="46"/>
      <c r="AP17" s="46"/>
    </row>
    <row r="18" spans="5:42" x14ac:dyDescent="0.25">
      <c r="E18" s="46"/>
      <c r="F18" s="46"/>
      <c r="G18" s="46"/>
      <c r="H18" s="46"/>
      <c r="I18" s="46"/>
      <c r="J18" s="46"/>
      <c r="K18" s="46"/>
      <c r="L18" s="46"/>
      <c r="M18" s="46"/>
      <c r="N18" s="46"/>
      <c r="O18" s="46"/>
      <c r="P18" s="46"/>
      <c r="Q18" s="46"/>
      <c r="R18" s="46"/>
      <c r="S18" s="46"/>
      <c r="T18" s="46"/>
      <c r="U18" s="46"/>
      <c r="V18" s="46"/>
      <c r="W18" s="46"/>
      <c r="X18" s="46"/>
      <c r="Y18" s="46"/>
      <c r="Z18" s="46"/>
      <c r="AA18" s="46"/>
      <c r="AB18" s="46"/>
      <c r="AC18" s="46"/>
      <c r="AD18" s="46"/>
      <c r="AE18" s="46"/>
      <c r="AF18" s="46"/>
      <c r="AG18" s="46"/>
      <c r="AH18" s="46"/>
      <c r="AI18" s="46"/>
      <c r="AJ18" s="46"/>
      <c r="AK18" s="46"/>
      <c r="AL18" s="46"/>
      <c r="AM18" s="46"/>
      <c r="AN18" s="46"/>
      <c r="AO18" s="46"/>
      <c r="AP18" s="46"/>
    </row>
    <row r="19" spans="5:42" x14ac:dyDescent="0.25">
      <c r="E19" s="46"/>
      <c r="F19" s="46"/>
      <c r="G19" s="46"/>
      <c r="H19" s="46"/>
      <c r="I19" s="46"/>
      <c r="J19" s="46"/>
      <c r="K19" s="46"/>
      <c r="L19" s="46"/>
      <c r="M19" s="46"/>
      <c r="N19" s="46"/>
      <c r="O19" s="46"/>
      <c r="P19" s="46"/>
      <c r="Q19" s="46"/>
      <c r="R19" s="46"/>
      <c r="S19" s="46"/>
      <c r="T19" s="46"/>
      <c r="U19" s="46"/>
      <c r="V19" s="46"/>
      <c r="W19" s="46"/>
      <c r="X19" s="46"/>
      <c r="Y19" s="46"/>
      <c r="Z19" s="46"/>
      <c r="AA19" s="46"/>
      <c r="AB19" s="46"/>
      <c r="AC19" s="46"/>
      <c r="AD19" s="46"/>
      <c r="AE19" s="46"/>
      <c r="AF19" s="46"/>
      <c r="AG19" s="46"/>
      <c r="AH19" s="46"/>
      <c r="AI19" s="46"/>
      <c r="AJ19" s="46"/>
      <c r="AK19" s="46"/>
      <c r="AL19" s="46"/>
      <c r="AM19" s="46"/>
      <c r="AN19" s="46"/>
      <c r="AO19" s="46"/>
      <c r="AP19" s="46"/>
    </row>
    <row r="20" spans="5:42" x14ac:dyDescent="0.25">
      <c r="E20" s="46"/>
      <c r="F20" s="46"/>
      <c r="G20" s="46"/>
      <c r="H20" s="46"/>
      <c r="I20" s="46"/>
      <c r="J20" s="46"/>
      <c r="K20" s="46"/>
      <c r="L20" s="46"/>
      <c r="M20" s="46"/>
      <c r="N20" s="46"/>
      <c r="O20" s="46"/>
      <c r="P20" s="46"/>
      <c r="Q20" s="46"/>
      <c r="R20" s="46"/>
      <c r="S20" s="46"/>
      <c r="T20" s="46"/>
      <c r="U20" s="46"/>
      <c r="V20" s="46"/>
      <c r="W20" s="46"/>
      <c r="X20" s="46"/>
      <c r="Y20" s="46"/>
      <c r="Z20" s="46"/>
      <c r="AA20" s="46"/>
      <c r="AB20" s="46"/>
      <c r="AC20" s="46"/>
      <c r="AD20" s="46"/>
      <c r="AE20" s="46"/>
      <c r="AF20" s="46"/>
      <c r="AG20" s="46"/>
      <c r="AH20" s="46"/>
      <c r="AI20" s="46"/>
      <c r="AJ20" s="46"/>
      <c r="AK20" s="46"/>
      <c r="AL20" s="46"/>
      <c r="AM20" s="46"/>
      <c r="AN20" s="46"/>
      <c r="AO20" s="46"/>
      <c r="AP20" s="46"/>
    </row>
    <row r="21" spans="5:42" x14ac:dyDescent="0.25">
      <c r="E21" s="46"/>
      <c r="F21" s="46"/>
      <c r="G21" s="46"/>
      <c r="H21" s="46"/>
      <c r="I21" s="46"/>
      <c r="J21" s="46"/>
      <c r="K21" s="46"/>
      <c r="L21" s="46"/>
      <c r="M21" s="46"/>
      <c r="N21" s="46"/>
      <c r="O21" s="46"/>
      <c r="P21" s="46"/>
      <c r="Q21" s="46"/>
      <c r="R21" s="46"/>
      <c r="S21" s="46"/>
      <c r="T21" s="46"/>
      <c r="U21" s="46"/>
      <c r="V21" s="46"/>
      <c r="W21" s="46"/>
      <c r="X21" s="46"/>
      <c r="Y21" s="46"/>
      <c r="Z21" s="46"/>
      <c r="AA21" s="46"/>
      <c r="AB21" s="46"/>
      <c r="AC21" s="46"/>
      <c r="AD21" s="46"/>
      <c r="AE21" s="46"/>
      <c r="AF21" s="46"/>
      <c r="AG21" s="46"/>
      <c r="AH21" s="46"/>
      <c r="AI21" s="46"/>
      <c r="AJ21" s="46"/>
      <c r="AK21" s="46"/>
      <c r="AL21" s="46"/>
      <c r="AM21" s="46"/>
      <c r="AN21" s="46"/>
      <c r="AO21" s="46"/>
      <c r="AP21" s="46"/>
    </row>
    <row r="22" spans="5:42" x14ac:dyDescent="0.25">
      <c r="E22" s="46"/>
      <c r="F22" s="46"/>
      <c r="G22" s="46"/>
      <c r="H22" s="46"/>
      <c r="I22" s="46"/>
      <c r="J22" s="46"/>
      <c r="K22" s="46"/>
      <c r="L22" s="46"/>
      <c r="M22" s="46"/>
      <c r="N22" s="46"/>
      <c r="O22" s="46"/>
      <c r="P22" s="46"/>
      <c r="Q22" s="46"/>
      <c r="R22" s="46"/>
      <c r="S22" s="46"/>
      <c r="T22" s="46"/>
      <c r="U22" s="46"/>
      <c r="V22" s="46"/>
      <c r="W22" s="46"/>
      <c r="X22" s="46"/>
      <c r="Y22" s="46"/>
      <c r="Z22" s="46"/>
      <c r="AA22" s="46"/>
      <c r="AB22" s="46"/>
      <c r="AC22" s="46"/>
      <c r="AD22" s="46"/>
      <c r="AE22" s="46"/>
      <c r="AF22" s="46"/>
      <c r="AG22" s="46"/>
      <c r="AH22" s="46"/>
      <c r="AI22" s="46"/>
      <c r="AJ22" s="46"/>
      <c r="AK22" s="46"/>
      <c r="AL22" s="46"/>
      <c r="AM22" s="46"/>
      <c r="AN22" s="46"/>
      <c r="AO22" s="46"/>
      <c r="AP22" s="46"/>
    </row>
    <row r="23" spans="5:42" x14ac:dyDescent="0.25"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  <c r="Q23" s="46"/>
      <c r="R23" s="46"/>
      <c r="S23" s="46"/>
      <c r="T23" s="46"/>
      <c r="U23" s="46"/>
      <c r="V23" s="46"/>
      <c r="W23" s="46"/>
      <c r="X23" s="46"/>
      <c r="Y23" s="46"/>
      <c r="Z23" s="46"/>
      <c r="AA23" s="46"/>
      <c r="AB23" s="46"/>
      <c r="AC23" s="46"/>
      <c r="AD23" s="46"/>
      <c r="AE23" s="46"/>
      <c r="AF23" s="46"/>
      <c r="AG23" s="46"/>
      <c r="AH23" s="46"/>
      <c r="AI23" s="46"/>
      <c r="AJ23" s="46"/>
      <c r="AK23" s="46"/>
      <c r="AL23" s="46"/>
      <c r="AM23" s="46"/>
      <c r="AN23" s="46"/>
      <c r="AO23" s="46"/>
      <c r="AP23" s="46"/>
    </row>
    <row r="24" spans="5:42" x14ac:dyDescent="0.25">
      <c r="E24" s="46"/>
      <c r="F24" s="46"/>
      <c r="G24" s="46"/>
      <c r="H24" s="46"/>
      <c r="I24" s="46"/>
      <c r="J24" s="46"/>
      <c r="K24" s="46"/>
      <c r="L24" s="46"/>
      <c r="M24" s="46"/>
      <c r="N24" s="46"/>
      <c r="O24" s="46"/>
      <c r="P24" s="46"/>
      <c r="Q24" s="46"/>
      <c r="R24" s="46"/>
      <c r="S24" s="46"/>
      <c r="T24" s="46"/>
      <c r="U24" s="46"/>
      <c r="V24" s="46"/>
      <c r="W24" s="46"/>
      <c r="X24" s="46"/>
      <c r="Y24" s="46"/>
      <c r="Z24" s="46"/>
      <c r="AA24" s="46"/>
      <c r="AB24" s="46"/>
      <c r="AC24" s="46"/>
      <c r="AD24" s="46"/>
      <c r="AE24" s="46"/>
      <c r="AF24" s="46"/>
      <c r="AG24" s="46"/>
      <c r="AH24" s="46"/>
      <c r="AI24" s="46"/>
      <c r="AJ24" s="46"/>
      <c r="AK24" s="46"/>
      <c r="AL24" s="46"/>
      <c r="AM24" s="46"/>
      <c r="AN24" s="46"/>
      <c r="AO24" s="46"/>
      <c r="AP24" s="46"/>
    </row>
    <row r="25" spans="5:42" x14ac:dyDescent="0.25">
      <c r="E25" s="46"/>
      <c r="F25" s="46"/>
      <c r="G25" s="46"/>
      <c r="H25" s="46"/>
      <c r="I25" s="46"/>
      <c r="J25" s="46"/>
      <c r="K25" s="46"/>
      <c r="L25" s="46"/>
      <c r="M25" s="46"/>
      <c r="N25" s="46"/>
      <c r="O25" s="46"/>
      <c r="P25" s="46"/>
      <c r="Q25" s="46"/>
      <c r="R25" s="46"/>
      <c r="S25" s="46"/>
      <c r="T25" s="46"/>
      <c r="U25" s="46"/>
      <c r="V25" s="46"/>
      <c r="W25" s="46"/>
      <c r="X25" s="46"/>
      <c r="Y25" s="46"/>
      <c r="Z25" s="46"/>
      <c r="AA25" s="46"/>
      <c r="AB25" s="46"/>
      <c r="AC25" s="46"/>
      <c r="AD25" s="46"/>
      <c r="AE25" s="46"/>
      <c r="AF25" s="46"/>
      <c r="AG25" s="46"/>
      <c r="AH25" s="46"/>
      <c r="AI25" s="46"/>
      <c r="AJ25" s="46"/>
      <c r="AK25" s="46"/>
      <c r="AL25" s="46"/>
      <c r="AM25" s="46"/>
      <c r="AN25" s="46"/>
      <c r="AO25" s="46"/>
      <c r="AP25" s="46"/>
    </row>
  </sheetData>
  <sortState xmlns:xlrd2="http://schemas.microsoft.com/office/spreadsheetml/2017/richdata2" ref="C1:C6">
    <sortCondition ref="C1"/>
  </sortState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2"/>
  <dimension ref="A1:D20"/>
  <sheetViews>
    <sheetView workbookViewId="0">
      <selection activeCell="E10" sqref="E10"/>
    </sheetView>
  </sheetViews>
  <sheetFormatPr defaultRowHeight="15" x14ac:dyDescent="0.25"/>
  <sheetData>
    <row r="1" spans="1:4" x14ac:dyDescent="0.25">
      <c r="A1" t="s">
        <v>1289</v>
      </c>
      <c r="C1" t="s">
        <v>1288</v>
      </c>
      <c r="D1">
        <f>COUNTA(A:A)-1</f>
        <v>19</v>
      </c>
    </row>
    <row r="2" spans="1:4" x14ac:dyDescent="0.25">
      <c r="A2">
        <v>1978</v>
      </c>
    </row>
    <row r="3" spans="1:4" x14ac:dyDescent="0.25">
      <c r="A3">
        <v>1982</v>
      </c>
    </row>
    <row r="4" spans="1:4" x14ac:dyDescent="0.25">
      <c r="A4">
        <v>1991</v>
      </c>
    </row>
    <row r="5" spans="1:4" x14ac:dyDescent="0.25">
      <c r="A5">
        <v>1996</v>
      </c>
    </row>
    <row r="6" spans="1:4" x14ac:dyDescent="0.25">
      <c r="A6">
        <v>1997</v>
      </c>
    </row>
    <row r="7" spans="1:4" x14ac:dyDescent="0.25">
      <c r="A7">
        <v>1998</v>
      </c>
    </row>
    <row r="8" spans="1:4" x14ac:dyDescent="0.25">
      <c r="A8">
        <v>1999</v>
      </c>
    </row>
    <row r="9" spans="1:4" x14ac:dyDescent="0.25">
      <c r="A9">
        <v>2000</v>
      </c>
    </row>
    <row r="10" spans="1:4" x14ac:dyDescent="0.25">
      <c r="A10">
        <v>2001</v>
      </c>
    </row>
    <row r="11" spans="1:4" x14ac:dyDescent="0.25">
      <c r="A11">
        <v>2002</v>
      </c>
    </row>
    <row r="12" spans="1:4" x14ac:dyDescent="0.25">
      <c r="A12">
        <v>2003</v>
      </c>
    </row>
    <row r="13" spans="1:4" x14ac:dyDescent="0.25">
      <c r="A13">
        <v>2004</v>
      </c>
    </row>
    <row r="14" spans="1:4" x14ac:dyDescent="0.25">
      <c r="A14">
        <v>2005</v>
      </c>
    </row>
    <row r="15" spans="1:4" x14ac:dyDescent="0.25">
      <c r="A15">
        <v>2006</v>
      </c>
    </row>
    <row r="16" spans="1:4" x14ac:dyDescent="0.25">
      <c r="A16">
        <v>2007</v>
      </c>
    </row>
    <row r="17" spans="1:1" x14ac:dyDescent="0.25">
      <c r="A17">
        <v>2008</v>
      </c>
    </row>
    <row r="18" spans="1:1" x14ac:dyDescent="0.25">
      <c r="A18">
        <v>2010</v>
      </c>
    </row>
    <row r="19" spans="1:1" x14ac:dyDescent="0.25">
      <c r="A19">
        <v>2011</v>
      </c>
    </row>
    <row r="20" spans="1:1" x14ac:dyDescent="0.25">
      <c r="A20">
        <v>2012</v>
      </c>
    </row>
  </sheetData>
  <sortState xmlns:xlrd2="http://schemas.microsoft.com/office/spreadsheetml/2017/richdata2" ref="A2:A1179">
    <sortCondition ref="A2"/>
  </sortState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ilha1"/>
  <dimension ref="A1:D191"/>
  <sheetViews>
    <sheetView workbookViewId="0">
      <selection activeCell="C3" sqref="C3"/>
    </sheetView>
  </sheetViews>
  <sheetFormatPr defaultRowHeight="15" x14ac:dyDescent="0.25"/>
  <cols>
    <col min="1" max="1" width="13.28515625" bestFit="1" customWidth="1"/>
  </cols>
  <sheetData>
    <row r="1" spans="1:4" x14ac:dyDescent="0.25">
      <c r="A1" t="s">
        <v>1290</v>
      </c>
      <c r="C1" t="s">
        <v>1288</v>
      </c>
      <c r="D1">
        <f>COUNTA(A:A)-1</f>
        <v>19</v>
      </c>
    </row>
    <row r="2" spans="1:4" x14ac:dyDescent="0.25">
      <c r="A2" t="s">
        <v>107</v>
      </c>
      <c r="B2">
        <v>1</v>
      </c>
    </row>
    <row r="3" spans="1:4" x14ac:dyDescent="0.25">
      <c r="A3" t="s">
        <v>96</v>
      </c>
      <c r="B3">
        <v>2</v>
      </c>
    </row>
    <row r="4" spans="1:4" x14ac:dyDescent="0.25">
      <c r="A4" t="s">
        <v>1297</v>
      </c>
      <c r="B4">
        <v>3</v>
      </c>
    </row>
    <row r="5" spans="1:4" x14ac:dyDescent="0.25">
      <c r="A5" t="s">
        <v>1303</v>
      </c>
      <c r="B5">
        <v>4</v>
      </c>
    </row>
    <row r="6" spans="1:4" x14ac:dyDescent="0.25">
      <c r="A6" t="s">
        <v>1304</v>
      </c>
      <c r="B6">
        <v>5</v>
      </c>
    </row>
    <row r="7" spans="1:4" x14ac:dyDescent="0.25">
      <c r="A7" t="s">
        <v>1298</v>
      </c>
      <c r="B7">
        <v>6</v>
      </c>
    </row>
    <row r="8" spans="1:4" x14ac:dyDescent="0.25">
      <c r="A8" t="s">
        <v>65</v>
      </c>
      <c r="B8">
        <v>7</v>
      </c>
    </row>
    <row r="9" spans="1:4" x14ac:dyDescent="0.25">
      <c r="A9" t="s">
        <v>32</v>
      </c>
      <c r="B9">
        <v>8</v>
      </c>
    </row>
    <row r="10" spans="1:4" x14ac:dyDescent="0.25">
      <c r="A10" t="s">
        <v>44</v>
      </c>
      <c r="B10">
        <v>9</v>
      </c>
    </row>
    <row r="11" spans="1:4" x14ac:dyDescent="0.25">
      <c r="A11" t="s">
        <v>147</v>
      </c>
      <c r="B11">
        <v>10</v>
      </c>
    </row>
    <row r="12" spans="1:4" x14ac:dyDescent="0.25">
      <c r="A12" t="s">
        <v>898</v>
      </c>
      <c r="B12">
        <v>11</v>
      </c>
    </row>
    <row r="13" spans="1:4" x14ac:dyDescent="0.25">
      <c r="A13" t="s">
        <v>1301</v>
      </c>
      <c r="B13">
        <v>12</v>
      </c>
    </row>
    <row r="14" spans="1:4" x14ac:dyDescent="0.25">
      <c r="A14" t="s">
        <v>1302</v>
      </c>
      <c r="B14">
        <v>13</v>
      </c>
    </row>
    <row r="15" spans="1:4" x14ac:dyDescent="0.25">
      <c r="A15" t="s">
        <v>1296</v>
      </c>
      <c r="B15">
        <v>14</v>
      </c>
    </row>
    <row r="16" spans="1:4" x14ac:dyDescent="0.25">
      <c r="A16" t="s">
        <v>33</v>
      </c>
      <c r="B16">
        <v>15</v>
      </c>
    </row>
    <row r="17" spans="1:2" x14ac:dyDescent="0.25">
      <c r="A17" t="s">
        <v>1299</v>
      </c>
      <c r="B17">
        <v>16</v>
      </c>
    </row>
    <row r="18" spans="1:2" x14ac:dyDescent="0.25">
      <c r="A18" t="s">
        <v>374</v>
      </c>
      <c r="B18">
        <v>17</v>
      </c>
    </row>
    <row r="19" spans="1:2" x14ac:dyDescent="0.25">
      <c r="A19" t="s">
        <v>375</v>
      </c>
      <c r="B19">
        <v>18</v>
      </c>
    </row>
    <row r="20" spans="1:2" x14ac:dyDescent="0.25">
      <c r="A20" t="s">
        <v>1300</v>
      </c>
      <c r="B20">
        <v>19</v>
      </c>
    </row>
    <row r="21" spans="1:2" x14ac:dyDescent="0.25">
      <c r="B21">
        <v>1</v>
      </c>
    </row>
    <row r="22" spans="1:2" x14ac:dyDescent="0.25">
      <c r="B22">
        <v>2</v>
      </c>
    </row>
    <row r="23" spans="1:2" x14ac:dyDescent="0.25">
      <c r="B23">
        <v>3</v>
      </c>
    </row>
    <row r="24" spans="1:2" x14ac:dyDescent="0.25">
      <c r="B24">
        <v>4</v>
      </c>
    </row>
    <row r="25" spans="1:2" x14ac:dyDescent="0.25">
      <c r="B25">
        <v>5</v>
      </c>
    </row>
    <row r="26" spans="1:2" x14ac:dyDescent="0.25">
      <c r="B26">
        <v>6</v>
      </c>
    </row>
    <row r="27" spans="1:2" x14ac:dyDescent="0.25">
      <c r="B27">
        <v>7</v>
      </c>
    </row>
    <row r="28" spans="1:2" x14ac:dyDescent="0.25">
      <c r="B28">
        <v>8</v>
      </c>
    </row>
    <row r="29" spans="1:2" x14ac:dyDescent="0.25">
      <c r="B29">
        <v>9</v>
      </c>
    </row>
    <row r="30" spans="1:2" x14ac:dyDescent="0.25">
      <c r="B30">
        <v>10</v>
      </c>
    </row>
    <row r="31" spans="1:2" x14ac:dyDescent="0.25">
      <c r="B31">
        <v>11</v>
      </c>
    </row>
    <row r="32" spans="1:2" x14ac:dyDescent="0.25">
      <c r="B32">
        <v>12</v>
      </c>
    </row>
    <row r="33" spans="2:2" x14ac:dyDescent="0.25">
      <c r="B33">
        <v>13</v>
      </c>
    </row>
    <row r="34" spans="2:2" x14ac:dyDescent="0.25">
      <c r="B34">
        <v>14</v>
      </c>
    </row>
    <row r="35" spans="2:2" x14ac:dyDescent="0.25">
      <c r="B35">
        <v>15</v>
      </c>
    </row>
    <row r="36" spans="2:2" x14ac:dyDescent="0.25">
      <c r="B36">
        <v>16</v>
      </c>
    </row>
    <row r="37" spans="2:2" x14ac:dyDescent="0.25">
      <c r="B37">
        <v>17</v>
      </c>
    </row>
    <row r="38" spans="2:2" x14ac:dyDescent="0.25">
      <c r="B38">
        <v>18</v>
      </c>
    </row>
    <row r="39" spans="2:2" x14ac:dyDescent="0.25">
      <c r="B39">
        <v>1</v>
      </c>
    </row>
    <row r="40" spans="2:2" x14ac:dyDescent="0.25">
      <c r="B40">
        <v>2</v>
      </c>
    </row>
    <row r="41" spans="2:2" x14ac:dyDescent="0.25">
      <c r="B41">
        <v>3</v>
      </c>
    </row>
    <row r="42" spans="2:2" x14ac:dyDescent="0.25">
      <c r="B42">
        <v>4</v>
      </c>
    </row>
    <row r="43" spans="2:2" x14ac:dyDescent="0.25">
      <c r="B43">
        <v>5</v>
      </c>
    </row>
    <row r="44" spans="2:2" x14ac:dyDescent="0.25">
      <c r="B44">
        <v>6</v>
      </c>
    </row>
    <row r="45" spans="2:2" x14ac:dyDescent="0.25">
      <c r="B45">
        <v>7</v>
      </c>
    </row>
    <row r="46" spans="2:2" x14ac:dyDescent="0.25">
      <c r="B46">
        <v>8</v>
      </c>
    </row>
    <row r="47" spans="2:2" x14ac:dyDescent="0.25">
      <c r="B47">
        <v>9</v>
      </c>
    </row>
    <row r="48" spans="2:2" x14ac:dyDescent="0.25">
      <c r="B48">
        <v>10</v>
      </c>
    </row>
    <row r="49" spans="2:2" x14ac:dyDescent="0.25">
      <c r="B49">
        <v>11</v>
      </c>
    </row>
    <row r="50" spans="2:2" x14ac:dyDescent="0.25">
      <c r="B50">
        <v>12</v>
      </c>
    </row>
    <row r="51" spans="2:2" x14ac:dyDescent="0.25">
      <c r="B51">
        <v>13</v>
      </c>
    </row>
    <row r="52" spans="2:2" x14ac:dyDescent="0.25">
      <c r="B52">
        <v>14</v>
      </c>
    </row>
    <row r="53" spans="2:2" x14ac:dyDescent="0.25">
      <c r="B53">
        <v>15</v>
      </c>
    </row>
    <row r="54" spans="2:2" x14ac:dyDescent="0.25">
      <c r="B54">
        <v>19</v>
      </c>
    </row>
    <row r="55" spans="2:2" x14ac:dyDescent="0.25">
      <c r="B55">
        <v>16</v>
      </c>
    </row>
    <row r="56" spans="2:2" x14ac:dyDescent="0.25">
      <c r="B56">
        <v>17</v>
      </c>
    </row>
    <row r="57" spans="2:2" x14ac:dyDescent="0.25">
      <c r="B57">
        <v>18</v>
      </c>
    </row>
    <row r="58" spans="2:2" x14ac:dyDescent="0.25">
      <c r="B58">
        <v>19</v>
      </c>
    </row>
    <row r="59" spans="2:2" x14ac:dyDescent="0.25">
      <c r="B59">
        <v>1</v>
      </c>
    </row>
    <row r="60" spans="2:2" x14ac:dyDescent="0.25">
      <c r="B60">
        <v>2</v>
      </c>
    </row>
    <row r="61" spans="2:2" x14ac:dyDescent="0.25">
      <c r="B61">
        <v>3</v>
      </c>
    </row>
    <row r="62" spans="2:2" x14ac:dyDescent="0.25">
      <c r="B62">
        <v>4</v>
      </c>
    </row>
    <row r="63" spans="2:2" x14ac:dyDescent="0.25">
      <c r="B63">
        <v>5</v>
      </c>
    </row>
    <row r="64" spans="2:2" x14ac:dyDescent="0.25">
      <c r="B64">
        <v>6</v>
      </c>
    </row>
    <row r="65" spans="2:2" x14ac:dyDescent="0.25">
      <c r="B65">
        <v>7</v>
      </c>
    </row>
    <row r="66" spans="2:2" x14ac:dyDescent="0.25">
      <c r="B66">
        <v>8</v>
      </c>
    </row>
    <row r="67" spans="2:2" x14ac:dyDescent="0.25">
      <c r="B67">
        <v>9</v>
      </c>
    </row>
    <row r="68" spans="2:2" x14ac:dyDescent="0.25">
      <c r="B68">
        <v>10</v>
      </c>
    </row>
    <row r="69" spans="2:2" x14ac:dyDescent="0.25">
      <c r="B69">
        <v>11</v>
      </c>
    </row>
    <row r="70" spans="2:2" x14ac:dyDescent="0.25">
      <c r="B70">
        <v>12</v>
      </c>
    </row>
    <row r="71" spans="2:2" x14ac:dyDescent="0.25">
      <c r="B71">
        <v>13</v>
      </c>
    </row>
    <row r="72" spans="2:2" x14ac:dyDescent="0.25">
      <c r="B72">
        <v>14</v>
      </c>
    </row>
    <row r="73" spans="2:2" x14ac:dyDescent="0.25">
      <c r="B73">
        <v>15</v>
      </c>
    </row>
    <row r="74" spans="2:2" x14ac:dyDescent="0.25">
      <c r="B74">
        <v>16</v>
      </c>
    </row>
    <row r="75" spans="2:2" x14ac:dyDescent="0.25">
      <c r="B75">
        <v>17</v>
      </c>
    </row>
    <row r="76" spans="2:2" x14ac:dyDescent="0.25">
      <c r="B76">
        <v>18</v>
      </c>
    </row>
    <row r="77" spans="2:2" x14ac:dyDescent="0.25">
      <c r="B77">
        <v>19</v>
      </c>
    </row>
    <row r="78" spans="2:2" x14ac:dyDescent="0.25">
      <c r="B78">
        <v>1</v>
      </c>
    </row>
    <row r="79" spans="2:2" x14ac:dyDescent="0.25">
      <c r="B79">
        <v>2</v>
      </c>
    </row>
    <row r="80" spans="2:2" x14ac:dyDescent="0.25">
      <c r="B80">
        <v>3</v>
      </c>
    </row>
    <row r="81" spans="2:2" x14ac:dyDescent="0.25">
      <c r="B81">
        <v>4</v>
      </c>
    </row>
    <row r="82" spans="2:2" x14ac:dyDescent="0.25">
      <c r="B82">
        <v>5</v>
      </c>
    </row>
    <row r="83" spans="2:2" x14ac:dyDescent="0.25">
      <c r="B83">
        <v>6</v>
      </c>
    </row>
    <row r="84" spans="2:2" x14ac:dyDescent="0.25">
      <c r="B84">
        <v>7</v>
      </c>
    </row>
    <row r="85" spans="2:2" x14ac:dyDescent="0.25">
      <c r="B85">
        <v>8</v>
      </c>
    </row>
    <row r="86" spans="2:2" x14ac:dyDescent="0.25">
      <c r="B86">
        <v>9</v>
      </c>
    </row>
    <row r="87" spans="2:2" x14ac:dyDescent="0.25">
      <c r="B87">
        <v>10</v>
      </c>
    </row>
    <row r="88" spans="2:2" x14ac:dyDescent="0.25">
      <c r="B88">
        <v>11</v>
      </c>
    </row>
    <row r="89" spans="2:2" x14ac:dyDescent="0.25">
      <c r="B89">
        <v>12</v>
      </c>
    </row>
    <row r="90" spans="2:2" x14ac:dyDescent="0.25">
      <c r="B90">
        <v>13</v>
      </c>
    </row>
    <row r="91" spans="2:2" x14ac:dyDescent="0.25">
      <c r="B91">
        <v>14</v>
      </c>
    </row>
    <row r="92" spans="2:2" x14ac:dyDescent="0.25">
      <c r="B92">
        <v>15</v>
      </c>
    </row>
    <row r="93" spans="2:2" x14ac:dyDescent="0.25">
      <c r="B93">
        <v>16</v>
      </c>
    </row>
    <row r="94" spans="2:2" x14ac:dyDescent="0.25">
      <c r="B94">
        <v>17</v>
      </c>
    </row>
    <row r="95" spans="2:2" x14ac:dyDescent="0.25">
      <c r="B95">
        <v>18</v>
      </c>
    </row>
    <row r="96" spans="2:2" x14ac:dyDescent="0.25">
      <c r="B96">
        <v>19</v>
      </c>
    </row>
    <row r="97" spans="2:2" x14ac:dyDescent="0.25">
      <c r="B97">
        <v>1</v>
      </c>
    </row>
    <row r="98" spans="2:2" x14ac:dyDescent="0.25">
      <c r="B98">
        <v>2</v>
      </c>
    </row>
    <row r="99" spans="2:2" x14ac:dyDescent="0.25">
      <c r="B99">
        <v>3</v>
      </c>
    </row>
    <row r="100" spans="2:2" x14ac:dyDescent="0.25">
      <c r="B100">
        <v>4</v>
      </c>
    </row>
    <row r="101" spans="2:2" x14ac:dyDescent="0.25">
      <c r="B101">
        <v>5</v>
      </c>
    </row>
    <row r="102" spans="2:2" x14ac:dyDescent="0.25">
      <c r="B102">
        <v>6</v>
      </c>
    </row>
    <row r="103" spans="2:2" x14ac:dyDescent="0.25">
      <c r="B103">
        <v>7</v>
      </c>
    </row>
    <row r="104" spans="2:2" x14ac:dyDescent="0.25">
      <c r="B104">
        <v>8</v>
      </c>
    </row>
    <row r="105" spans="2:2" x14ac:dyDescent="0.25">
      <c r="B105">
        <v>9</v>
      </c>
    </row>
    <row r="106" spans="2:2" x14ac:dyDescent="0.25">
      <c r="B106">
        <v>10</v>
      </c>
    </row>
    <row r="107" spans="2:2" x14ac:dyDescent="0.25">
      <c r="B107">
        <v>11</v>
      </c>
    </row>
    <row r="108" spans="2:2" x14ac:dyDescent="0.25">
      <c r="B108">
        <v>12</v>
      </c>
    </row>
    <row r="109" spans="2:2" x14ac:dyDescent="0.25">
      <c r="B109">
        <v>13</v>
      </c>
    </row>
    <row r="110" spans="2:2" x14ac:dyDescent="0.25">
      <c r="B110">
        <v>14</v>
      </c>
    </row>
    <row r="111" spans="2:2" x14ac:dyDescent="0.25">
      <c r="B111">
        <v>15</v>
      </c>
    </row>
    <row r="112" spans="2:2" x14ac:dyDescent="0.25">
      <c r="B112">
        <v>16</v>
      </c>
    </row>
    <row r="113" spans="2:2" x14ac:dyDescent="0.25">
      <c r="B113">
        <v>17</v>
      </c>
    </row>
    <row r="114" spans="2:2" x14ac:dyDescent="0.25">
      <c r="B114">
        <v>18</v>
      </c>
    </row>
    <row r="115" spans="2:2" x14ac:dyDescent="0.25">
      <c r="B115">
        <v>19</v>
      </c>
    </row>
    <row r="116" spans="2:2" x14ac:dyDescent="0.25">
      <c r="B116">
        <v>1</v>
      </c>
    </row>
    <row r="117" spans="2:2" x14ac:dyDescent="0.25">
      <c r="B117">
        <v>2</v>
      </c>
    </row>
    <row r="118" spans="2:2" x14ac:dyDescent="0.25">
      <c r="B118">
        <v>3</v>
      </c>
    </row>
    <row r="119" spans="2:2" x14ac:dyDescent="0.25">
      <c r="B119">
        <v>4</v>
      </c>
    </row>
    <row r="120" spans="2:2" x14ac:dyDescent="0.25">
      <c r="B120">
        <v>5</v>
      </c>
    </row>
    <row r="121" spans="2:2" x14ac:dyDescent="0.25">
      <c r="B121">
        <v>6</v>
      </c>
    </row>
    <row r="122" spans="2:2" x14ac:dyDescent="0.25">
      <c r="B122">
        <v>7</v>
      </c>
    </row>
    <row r="123" spans="2:2" x14ac:dyDescent="0.25">
      <c r="B123">
        <v>8</v>
      </c>
    </row>
    <row r="124" spans="2:2" x14ac:dyDescent="0.25">
      <c r="B124">
        <v>9</v>
      </c>
    </row>
    <row r="125" spans="2:2" x14ac:dyDescent="0.25">
      <c r="B125">
        <v>10</v>
      </c>
    </row>
    <row r="126" spans="2:2" x14ac:dyDescent="0.25">
      <c r="B126">
        <v>11</v>
      </c>
    </row>
    <row r="127" spans="2:2" x14ac:dyDescent="0.25">
      <c r="B127">
        <v>12</v>
      </c>
    </row>
    <row r="128" spans="2:2" x14ac:dyDescent="0.25">
      <c r="B128">
        <v>13</v>
      </c>
    </row>
    <row r="129" spans="2:2" x14ac:dyDescent="0.25">
      <c r="B129">
        <v>14</v>
      </c>
    </row>
    <row r="130" spans="2:2" x14ac:dyDescent="0.25">
      <c r="B130">
        <v>15</v>
      </c>
    </row>
    <row r="131" spans="2:2" x14ac:dyDescent="0.25">
      <c r="B131">
        <v>16</v>
      </c>
    </row>
    <row r="132" spans="2:2" x14ac:dyDescent="0.25">
      <c r="B132">
        <v>17</v>
      </c>
    </row>
    <row r="133" spans="2:2" x14ac:dyDescent="0.25">
      <c r="B133">
        <v>18</v>
      </c>
    </row>
    <row r="134" spans="2:2" x14ac:dyDescent="0.25">
      <c r="B134">
        <v>19</v>
      </c>
    </row>
    <row r="135" spans="2:2" x14ac:dyDescent="0.25">
      <c r="B135">
        <v>1</v>
      </c>
    </row>
    <row r="136" spans="2:2" x14ac:dyDescent="0.25">
      <c r="B136">
        <v>2</v>
      </c>
    </row>
    <row r="137" spans="2:2" x14ac:dyDescent="0.25">
      <c r="B137">
        <v>3</v>
      </c>
    </row>
    <row r="138" spans="2:2" x14ac:dyDescent="0.25">
      <c r="B138">
        <v>4</v>
      </c>
    </row>
    <row r="139" spans="2:2" x14ac:dyDescent="0.25">
      <c r="B139">
        <v>5</v>
      </c>
    </row>
    <row r="140" spans="2:2" x14ac:dyDescent="0.25">
      <c r="B140">
        <v>6</v>
      </c>
    </row>
    <row r="141" spans="2:2" x14ac:dyDescent="0.25">
      <c r="B141">
        <v>7</v>
      </c>
    </row>
    <row r="142" spans="2:2" x14ac:dyDescent="0.25">
      <c r="B142">
        <v>8</v>
      </c>
    </row>
    <row r="143" spans="2:2" x14ac:dyDescent="0.25">
      <c r="B143">
        <v>9</v>
      </c>
    </row>
    <row r="144" spans="2:2" x14ac:dyDescent="0.25">
      <c r="B144">
        <v>10</v>
      </c>
    </row>
    <row r="145" spans="2:2" x14ac:dyDescent="0.25">
      <c r="B145">
        <v>11</v>
      </c>
    </row>
    <row r="146" spans="2:2" x14ac:dyDescent="0.25">
      <c r="B146">
        <v>12</v>
      </c>
    </row>
    <row r="147" spans="2:2" x14ac:dyDescent="0.25">
      <c r="B147">
        <v>13</v>
      </c>
    </row>
    <row r="148" spans="2:2" x14ac:dyDescent="0.25">
      <c r="B148">
        <v>14</v>
      </c>
    </row>
    <row r="149" spans="2:2" x14ac:dyDescent="0.25">
      <c r="B149">
        <v>15</v>
      </c>
    </row>
    <row r="150" spans="2:2" x14ac:dyDescent="0.25">
      <c r="B150">
        <v>16</v>
      </c>
    </row>
    <row r="151" spans="2:2" x14ac:dyDescent="0.25">
      <c r="B151">
        <v>17</v>
      </c>
    </row>
    <row r="152" spans="2:2" x14ac:dyDescent="0.25">
      <c r="B152">
        <v>18</v>
      </c>
    </row>
    <row r="153" spans="2:2" x14ac:dyDescent="0.25">
      <c r="B153">
        <v>19</v>
      </c>
    </row>
    <row r="154" spans="2:2" x14ac:dyDescent="0.25">
      <c r="B154">
        <v>1</v>
      </c>
    </row>
    <row r="155" spans="2:2" x14ac:dyDescent="0.25">
      <c r="B155">
        <v>2</v>
      </c>
    </row>
    <row r="156" spans="2:2" x14ac:dyDescent="0.25">
      <c r="B156">
        <v>3</v>
      </c>
    </row>
    <row r="157" spans="2:2" x14ac:dyDescent="0.25">
      <c r="B157">
        <v>4</v>
      </c>
    </row>
    <row r="158" spans="2:2" x14ac:dyDescent="0.25">
      <c r="B158">
        <v>5</v>
      </c>
    </row>
    <row r="159" spans="2:2" x14ac:dyDescent="0.25">
      <c r="B159">
        <v>6</v>
      </c>
    </row>
    <row r="160" spans="2:2" x14ac:dyDescent="0.25">
      <c r="B160">
        <v>7</v>
      </c>
    </row>
    <row r="161" spans="2:2" x14ac:dyDescent="0.25">
      <c r="B161">
        <v>8</v>
      </c>
    </row>
    <row r="162" spans="2:2" x14ac:dyDescent="0.25">
      <c r="B162">
        <v>9</v>
      </c>
    </row>
    <row r="163" spans="2:2" x14ac:dyDescent="0.25">
      <c r="B163">
        <v>10</v>
      </c>
    </row>
    <row r="164" spans="2:2" x14ac:dyDescent="0.25">
      <c r="B164">
        <v>11</v>
      </c>
    </row>
    <row r="165" spans="2:2" x14ac:dyDescent="0.25">
      <c r="B165">
        <v>12</v>
      </c>
    </row>
    <row r="166" spans="2:2" x14ac:dyDescent="0.25">
      <c r="B166">
        <v>13</v>
      </c>
    </row>
    <row r="167" spans="2:2" x14ac:dyDescent="0.25">
      <c r="B167">
        <v>14</v>
      </c>
    </row>
    <row r="168" spans="2:2" x14ac:dyDescent="0.25">
      <c r="B168">
        <v>15</v>
      </c>
    </row>
    <row r="169" spans="2:2" x14ac:dyDescent="0.25">
      <c r="B169">
        <v>16</v>
      </c>
    </row>
    <row r="170" spans="2:2" x14ac:dyDescent="0.25">
      <c r="B170">
        <v>17</v>
      </c>
    </row>
    <row r="171" spans="2:2" x14ac:dyDescent="0.25">
      <c r="B171">
        <v>18</v>
      </c>
    </row>
    <row r="172" spans="2:2" x14ac:dyDescent="0.25">
      <c r="B172">
        <v>19</v>
      </c>
    </row>
    <row r="173" spans="2:2" x14ac:dyDescent="0.25">
      <c r="B173">
        <v>1</v>
      </c>
    </row>
    <row r="174" spans="2:2" x14ac:dyDescent="0.25">
      <c r="B174">
        <v>2</v>
      </c>
    </row>
    <row r="175" spans="2:2" x14ac:dyDescent="0.25">
      <c r="B175">
        <v>3</v>
      </c>
    </row>
    <row r="176" spans="2:2" x14ac:dyDescent="0.25">
      <c r="B176">
        <v>4</v>
      </c>
    </row>
    <row r="177" spans="2:2" x14ac:dyDescent="0.25">
      <c r="B177">
        <v>5</v>
      </c>
    </row>
    <row r="178" spans="2:2" x14ac:dyDescent="0.25">
      <c r="B178">
        <v>6</v>
      </c>
    </row>
    <row r="179" spans="2:2" x14ac:dyDescent="0.25">
      <c r="B179">
        <v>7</v>
      </c>
    </row>
    <row r="180" spans="2:2" x14ac:dyDescent="0.25">
      <c r="B180">
        <v>8</v>
      </c>
    </row>
    <row r="181" spans="2:2" x14ac:dyDescent="0.25">
      <c r="B181">
        <v>9</v>
      </c>
    </row>
    <row r="182" spans="2:2" x14ac:dyDescent="0.25">
      <c r="B182">
        <v>10</v>
      </c>
    </row>
    <row r="183" spans="2:2" x14ac:dyDescent="0.25">
      <c r="B183">
        <v>11</v>
      </c>
    </row>
    <row r="184" spans="2:2" x14ac:dyDescent="0.25">
      <c r="B184">
        <v>12</v>
      </c>
    </row>
    <row r="185" spans="2:2" x14ac:dyDescent="0.25">
      <c r="B185">
        <v>13</v>
      </c>
    </row>
    <row r="186" spans="2:2" x14ac:dyDescent="0.25">
      <c r="B186">
        <v>14</v>
      </c>
    </row>
    <row r="187" spans="2:2" x14ac:dyDescent="0.25">
      <c r="B187">
        <v>15</v>
      </c>
    </row>
    <row r="188" spans="2:2" x14ac:dyDescent="0.25">
      <c r="B188">
        <v>16</v>
      </c>
    </row>
    <row r="189" spans="2:2" x14ac:dyDescent="0.25">
      <c r="B189">
        <v>17</v>
      </c>
    </row>
    <row r="190" spans="2:2" x14ac:dyDescent="0.25">
      <c r="B190">
        <v>18</v>
      </c>
    </row>
    <row r="191" spans="2:2" x14ac:dyDescent="0.25">
      <c r="B191">
        <v>19</v>
      </c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3"/>
  <dimension ref="A1:P41"/>
  <sheetViews>
    <sheetView topLeftCell="A22" workbookViewId="0">
      <selection activeCell="G32" sqref="G32:P41"/>
    </sheetView>
  </sheetViews>
  <sheetFormatPr defaultRowHeight="15" x14ac:dyDescent="0.25"/>
  <cols>
    <col min="1" max="1" width="11.5703125" bestFit="1" customWidth="1"/>
  </cols>
  <sheetData>
    <row r="1" spans="1:16" x14ac:dyDescent="0.25">
      <c r="A1" t="s">
        <v>1233</v>
      </c>
      <c r="E1">
        <v>0.86164771061245438</v>
      </c>
      <c r="G1">
        <v>2.2297297297297458E-2</v>
      </c>
      <c r="H1">
        <v>3.8617886178861749E-2</v>
      </c>
      <c r="I1">
        <v>1.4945652173913304E-2</v>
      </c>
      <c r="J1">
        <v>2.5135869565217739E-2</v>
      </c>
      <c r="K1">
        <v>2.7499999999997637E-2</v>
      </c>
      <c r="L1">
        <v>-2.5000000000006128E-3</v>
      </c>
      <c r="M1">
        <v>-3.2499999999998863E-2</v>
      </c>
      <c r="N1">
        <v>-0.60250000000000059</v>
      </c>
      <c r="O1">
        <v>-0.88749999999999996</v>
      </c>
      <c r="P1">
        <v>-1</v>
      </c>
    </row>
    <row r="2" spans="1:16" x14ac:dyDescent="0.25">
      <c r="A2" t="s">
        <v>1234</v>
      </c>
      <c r="E2">
        <v>0.83808780552948103</v>
      </c>
      <c r="G2">
        <v>-8.1081081081076922E-3</v>
      </c>
      <c r="H2">
        <v>2.0325203252031798E-3</v>
      </c>
      <c r="I2">
        <v>9.5108695652175168E-3</v>
      </c>
      <c r="J2">
        <v>8.8315217391305989E-3</v>
      </c>
      <c r="K2">
        <v>1.4999999999997682E-2</v>
      </c>
      <c r="L2">
        <v>-3.2500000000004525E-2</v>
      </c>
      <c r="M2">
        <v>-0.13999999999999768</v>
      </c>
      <c r="N2">
        <v>-0.74250000000000116</v>
      </c>
      <c r="O2">
        <v>-0.75999999999999657</v>
      </c>
      <c r="P2">
        <v>-1</v>
      </c>
    </row>
    <row r="3" spans="1:16" x14ac:dyDescent="0.25">
      <c r="A3" t="s">
        <v>1235</v>
      </c>
      <c r="E3">
        <v>0.84164589657254041</v>
      </c>
      <c r="G3">
        <v>-2.4324324324323743E-2</v>
      </c>
      <c r="H3">
        <v>-6.0975609756105387E-3</v>
      </c>
      <c r="I3">
        <v>-5.4347826086955653E-3</v>
      </c>
      <c r="J3">
        <v>-3.3967391304348116E-3</v>
      </c>
      <c r="K3">
        <v>7.5000000000002842E-3</v>
      </c>
      <c r="L3">
        <v>-1.4999999999999125E-2</v>
      </c>
      <c r="M3">
        <v>-2.7500000000000524E-2</v>
      </c>
      <c r="N3">
        <v>-0.55500000000000116</v>
      </c>
      <c r="O3">
        <v>-0.99499999999999889</v>
      </c>
      <c r="P3">
        <v>-1</v>
      </c>
    </row>
    <row r="4" spans="1:16" x14ac:dyDescent="0.25">
      <c r="A4" t="s">
        <v>1236</v>
      </c>
      <c r="E4">
        <v>0.84143966683166438</v>
      </c>
      <c r="G4">
        <v>3.1081081081080431E-2</v>
      </c>
      <c r="H4">
        <v>3.5907859078591509E-2</v>
      </c>
      <c r="I4">
        <v>3.6684782608695565E-2</v>
      </c>
      <c r="J4">
        <v>3.3288043478260976E-2</v>
      </c>
      <c r="K4">
        <v>3.9999999999999813E-2</v>
      </c>
      <c r="L4">
        <v>2.4999999999990585E-3</v>
      </c>
      <c r="M4">
        <v>-0.12999999999999967</v>
      </c>
      <c r="N4">
        <v>-0.8</v>
      </c>
      <c r="O4">
        <v>-0.97750000000000059</v>
      </c>
      <c r="P4">
        <v>-1</v>
      </c>
    </row>
    <row r="5" spans="1:16" x14ac:dyDescent="0.25">
      <c r="A5" t="s">
        <v>1237</v>
      </c>
      <c r="E5">
        <v>9.5266891891891969E-3</v>
      </c>
      <c r="G5">
        <v>-0.44932432432432434</v>
      </c>
      <c r="H5">
        <v>-1</v>
      </c>
      <c r="I5">
        <v>-1</v>
      </c>
      <c r="J5">
        <v>-1</v>
      </c>
      <c r="K5">
        <v>-1</v>
      </c>
      <c r="L5">
        <v>-1</v>
      </c>
      <c r="M5">
        <v>-1</v>
      </c>
      <c r="N5">
        <v>-1</v>
      </c>
      <c r="O5">
        <v>-1</v>
      </c>
      <c r="P5">
        <v>-1</v>
      </c>
    </row>
    <row r="6" spans="1:16" x14ac:dyDescent="0.25">
      <c r="A6" t="s">
        <v>1238</v>
      </c>
      <c r="E6">
        <v>0</v>
      </c>
      <c r="G6">
        <v>-1</v>
      </c>
      <c r="H6">
        <v>-1</v>
      </c>
      <c r="I6">
        <v>-1</v>
      </c>
      <c r="J6">
        <v>-1</v>
      </c>
      <c r="K6">
        <v>-1</v>
      </c>
      <c r="L6">
        <v>-1</v>
      </c>
      <c r="M6">
        <v>-1</v>
      </c>
      <c r="N6">
        <v>-1</v>
      </c>
      <c r="O6">
        <v>-1</v>
      </c>
      <c r="P6">
        <v>-1</v>
      </c>
    </row>
    <row r="7" spans="1:16" x14ac:dyDescent="0.25">
      <c r="A7" t="s">
        <v>1239</v>
      </c>
      <c r="E7">
        <v>0.84099122721833641</v>
      </c>
      <c r="G7">
        <v>1.1486486486486758E-2</v>
      </c>
      <c r="H7">
        <v>1.8292682926829062E-2</v>
      </c>
      <c r="I7">
        <v>3.8722826086956541E-2</v>
      </c>
      <c r="J7">
        <v>7.4728260869569851E-3</v>
      </c>
      <c r="K7">
        <v>1.7499999999998295E-2</v>
      </c>
      <c r="L7">
        <v>7.7499999999997682E-2</v>
      </c>
      <c r="M7">
        <v>-0.1024999999999977</v>
      </c>
      <c r="N7">
        <v>-0.93000000000000116</v>
      </c>
      <c r="O7">
        <v>-0.99499999999999889</v>
      </c>
      <c r="P7">
        <v>-1</v>
      </c>
    </row>
    <row r="8" spans="1:16" x14ac:dyDescent="0.25">
      <c r="A8" t="s">
        <v>1240</v>
      </c>
      <c r="E8">
        <v>0.84042799417173097</v>
      </c>
      <c r="G8">
        <v>-1.1486486486486758E-2</v>
      </c>
      <c r="H8">
        <v>-8.1300813008123862E-3</v>
      </c>
      <c r="I8">
        <v>-1.0190217391305545E-2</v>
      </c>
      <c r="J8">
        <v>4.4408920985006262E-16</v>
      </c>
      <c r="K8">
        <v>5.0000000000034461E-3</v>
      </c>
      <c r="L8">
        <v>-1.9999999999999907E-2</v>
      </c>
      <c r="M8">
        <v>-8.7499999999999689E-2</v>
      </c>
      <c r="N8">
        <v>-0.69750000000000012</v>
      </c>
      <c r="O8">
        <v>-0.78749999999999998</v>
      </c>
      <c r="P8">
        <v>-1</v>
      </c>
    </row>
    <row r="9" spans="1:16" x14ac:dyDescent="0.25">
      <c r="A9" t="s">
        <v>1241</v>
      </c>
      <c r="E9">
        <v>2.1944028052442666E-2</v>
      </c>
      <c r="G9">
        <v>-0.19054054054054048</v>
      </c>
      <c r="H9">
        <v>-0.86449864498644979</v>
      </c>
      <c r="I9">
        <v>-1</v>
      </c>
      <c r="J9">
        <v>-1</v>
      </c>
      <c r="K9">
        <v>-1</v>
      </c>
      <c r="L9">
        <v>-1</v>
      </c>
      <c r="M9">
        <v>-1</v>
      </c>
      <c r="N9">
        <v>-1</v>
      </c>
      <c r="O9">
        <v>-1</v>
      </c>
      <c r="P9">
        <v>-1</v>
      </c>
    </row>
    <row r="10" spans="1:16" x14ac:dyDescent="0.25">
      <c r="A10" t="s">
        <v>1242</v>
      </c>
      <c r="E10">
        <v>0.87446023324623701</v>
      </c>
      <c r="G10">
        <v>1.9594594594594561E-2</v>
      </c>
      <c r="H10">
        <v>-2.7100271002710175E-3</v>
      </c>
      <c r="I10">
        <v>2.4456521739130155E-2</v>
      </c>
      <c r="J10">
        <v>2.7173913043481157E-3</v>
      </c>
      <c r="K10">
        <v>2.0000000000001794E-2</v>
      </c>
      <c r="L10">
        <v>-2.5000000000006128E-3</v>
      </c>
      <c r="M10">
        <v>-5.2500000000000546E-2</v>
      </c>
      <c r="N10">
        <v>-0.59000000000000052</v>
      </c>
      <c r="O10">
        <v>-0.60499999999999832</v>
      </c>
      <c r="P10">
        <v>-1</v>
      </c>
    </row>
    <row r="11" spans="1:16" x14ac:dyDescent="0.25">
      <c r="A11" t="s">
        <v>1253</v>
      </c>
      <c r="E11">
        <v>0.7315616587516961</v>
      </c>
      <c r="G11">
        <v>-2.7137042062413963E-3</v>
      </c>
      <c r="H11">
        <v>1.2211668928087338E-2</v>
      </c>
      <c r="I11">
        <v>1.1533242876526018E-2</v>
      </c>
      <c r="J11">
        <v>2.035278154681075E-3</v>
      </c>
      <c r="K11">
        <v>3.7500000000000089E-2</v>
      </c>
      <c r="L11">
        <v>-0.11499999999999988</v>
      </c>
      <c r="M11">
        <v>-0.94499999999999962</v>
      </c>
      <c r="N11">
        <v>-0.99250000000000038</v>
      </c>
      <c r="O11">
        <v>-0.99750000000000016</v>
      </c>
      <c r="P11">
        <v>-1</v>
      </c>
    </row>
    <row r="12" spans="1:16" x14ac:dyDescent="0.25">
      <c r="A12" t="s">
        <v>1254</v>
      </c>
      <c r="E12">
        <v>0.74377330088195359</v>
      </c>
      <c r="G12">
        <v>4.7489823609221382E-3</v>
      </c>
      <c r="H12">
        <v>1.0854816824966251E-2</v>
      </c>
      <c r="I12">
        <v>8.1411126187249661E-3</v>
      </c>
      <c r="J12">
        <v>-6.105834464043447E-3</v>
      </c>
      <c r="K12">
        <v>-1.0000000000000897E-2</v>
      </c>
      <c r="L12">
        <v>-7.0000000000000284E-2</v>
      </c>
      <c r="M12">
        <v>-0.74749999999999939</v>
      </c>
      <c r="N12">
        <v>-0.99499999999999889</v>
      </c>
      <c r="O12">
        <v>-0.99750000000000227</v>
      </c>
      <c r="P12">
        <v>-1</v>
      </c>
    </row>
    <row r="13" spans="1:16" x14ac:dyDescent="0.25">
      <c r="A13" t="s">
        <v>1255</v>
      </c>
      <c r="E13">
        <v>0.78170377442333749</v>
      </c>
      <c r="G13">
        <v>1.1533242876526684E-2</v>
      </c>
      <c r="H13">
        <v>1.5603799185889278E-2</v>
      </c>
      <c r="I13">
        <v>1.2211668928087338E-2</v>
      </c>
      <c r="J13">
        <v>1.0854816824966029E-2</v>
      </c>
      <c r="K13">
        <v>2.4999999999977263E-3</v>
      </c>
      <c r="L13">
        <v>-5.0000000000000044E-2</v>
      </c>
      <c r="M13">
        <v>-0.37250000000000227</v>
      </c>
      <c r="N13">
        <v>-0.99499999999999889</v>
      </c>
      <c r="O13">
        <v>-0.99749999999999661</v>
      </c>
      <c r="P13">
        <v>-1</v>
      </c>
    </row>
    <row r="14" spans="1:16" x14ac:dyDescent="0.25">
      <c r="A14" t="s">
        <v>1256</v>
      </c>
      <c r="E14">
        <v>0.85911971268656717</v>
      </c>
      <c r="G14">
        <v>1.8995929443690995E-2</v>
      </c>
      <c r="H14">
        <v>2.0352781546812082E-2</v>
      </c>
      <c r="I14">
        <v>1.5603799185889278E-2</v>
      </c>
      <c r="J14">
        <v>1.0176390773404709E-2</v>
      </c>
      <c r="K14">
        <v>1.9999999999998908E-2</v>
      </c>
      <c r="L14">
        <v>1.2499999999999956E-2</v>
      </c>
      <c r="M14">
        <v>1.2499999999999956E-2</v>
      </c>
      <c r="N14">
        <v>-0.56499999999999773</v>
      </c>
      <c r="O14">
        <v>-0.98999999999999777</v>
      </c>
      <c r="P14">
        <v>-1</v>
      </c>
    </row>
    <row r="15" spans="1:16" x14ac:dyDescent="0.25">
      <c r="A15" t="s">
        <v>1257</v>
      </c>
      <c r="E15">
        <v>0.79453895997286317</v>
      </c>
      <c r="G15">
        <v>6.7842605156043234E-4</v>
      </c>
      <c r="H15">
        <v>2.7137042062417294E-3</v>
      </c>
      <c r="I15">
        <v>1.3568521031210867E-3</v>
      </c>
      <c r="J15">
        <v>-3.3921302578020507E-3</v>
      </c>
      <c r="K15">
        <v>2.5000000000006128E-3</v>
      </c>
      <c r="L15">
        <v>-3.4999999999999476E-2</v>
      </c>
      <c r="M15">
        <v>-0.19999999999999996</v>
      </c>
      <c r="N15">
        <v>-0.99500000000000166</v>
      </c>
      <c r="O15">
        <v>-0.99499999999999889</v>
      </c>
      <c r="P15">
        <v>-1</v>
      </c>
    </row>
    <row r="16" spans="1:16" x14ac:dyDescent="0.25">
      <c r="A16" t="s">
        <v>1258</v>
      </c>
      <c r="E16">
        <v>0.6681369606512888</v>
      </c>
      <c r="G16">
        <v>1.0854816824966251E-2</v>
      </c>
      <c r="H16">
        <v>1.6282225237449044E-2</v>
      </c>
      <c r="I16">
        <v>2.7815468113975728E-2</v>
      </c>
      <c r="J16">
        <v>2.0352781546812082E-2</v>
      </c>
      <c r="K16">
        <v>-3.0000000000001137E-2</v>
      </c>
      <c r="L16">
        <v>-0.31750000000000111</v>
      </c>
      <c r="M16">
        <v>-0.99499999999999889</v>
      </c>
      <c r="N16">
        <v>-0.99749999999999661</v>
      </c>
      <c r="O16">
        <v>-1</v>
      </c>
      <c r="P16">
        <v>-1</v>
      </c>
    </row>
    <row r="17" spans="1:16" x14ac:dyDescent="0.25">
      <c r="A17" t="s">
        <v>1259</v>
      </c>
      <c r="E17">
        <v>0.82710301492537319</v>
      </c>
      <c r="G17">
        <v>3.3921302578026058E-3</v>
      </c>
      <c r="H17">
        <v>8.1411126187240779E-3</v>
      </c>
      <c r="I17">
        <v>2.1031207598371848E-2</v>
      </c>
      <c r="J17">
        <v>3.9348710990502411E-2</v>
      </c>
      <c r="K17">
        <v>3.7500000000000089E-2</v>
      </c>
      <c r="L17">
        <v>1.7500000000000071E-2</v>
      </c>
      <c r="M17">
        <v>-0.12999999999999967</v>
      </c>
      <c r="N17">
        <v>-0.99500000000000033</v>
      </c>
      <c r="O17">
        <v>-0.99750000000000016</v>
      </c>
      <c r="P17">
        <v>-1</v>
      </c>
    </row>
    <row r="18" spans="1:16" x14ac:dyDescent="0.25">
      <c r="A18" t="s">
        <v>1260</v>
      </c>
      <c r="E18">
        <v>0.75955988534599772</v>
      </c>
      <c r="G18">
        <v>-1.424694708276808E-2</v>
      </c>
      <c r="H18">
        <v>-8.1411126187240779E-3</v>
      </c>
      <c r="I18">
        <v>-8.8195386702853984E-3</v>
      </c>
      <c r="J18">
        <v>-1.153324287652624E-2</v>
      </c>
      <c r="K18">
        <v>-1.2499999999999956E-2</v>
      </c>
      <c r="L18">
        <v>-7.7499999999997682E-2</v>
      </c>
      <c r="M18">
        <v>-0.45500000000000118</v>
      </c>
      <c r="N18">
        <v>-0.99499999999999889</v>
      </c>
      <c r="O18">
        <v>-0.99750000000000227</v>
      </c>
      <c r="P18">
        <v>-1</v>
      </c>
    </row>
    <row r="19" spans="1:16" x14ac:dyDescent="0.25">
      <c r="A19" t="s">
        <v>1261</v>
      </c>
      <c r="E19">
        <v>0.86984294911804616</v>
      </c>
      <c r="G19">
        <v>-7.7715611723760958E-16</v>
      </c>
      <c r="H19">
        <v>4.070556309362372E-3</v>
      </c>
      <c r="I19">
        <v>1.3568521031217529E-3</v>
      </c>
      <c r="J19">
        <v>0</v>
      </c>
      <c r="K19">
        <v>9.9999999999993427E-3</v>
      </c>
      <c r="L19">
        <v>2.5000000000006128E-3</v>
      </c>
      <c r="M19">
        <v>-4.249999999999976E-2</v>
      </c>
      <c r="N19">
        <v>-0.22250000000000081</v>
      </c>
      <c r="O19">
        <v>-0.99500000000000033</v>
      </c>
      <c r="P19">
        <v>-1</v>
      </c>
    </row>
    <row r="20" spans="1:16" x14ac:dyDescent="0.25">
      <c r="A20" t="s">
        <v>1262</v>
      </c>
      <c r="E20">
        <v>0.78978102170963371</v>
      </c>
      <c r="G20">
        <v>-1.1533242876524463E-2</v>
      </c>
      <c r="H20">
        <v>-1.0176390773405708E-2</v>
      </c>
      <c r="I20">
        <v>-1.2211668928086561E-2</v>
      </c>
      <c r="J20">
        <v>-1.0854816824966029E-2</v>
      </c>
      <c r="K20">
        <v>0</v>
      </c>
      <c r="L20">
        <v>-3.4999999999999476E-2</v>
      </c>
      <c r="M20">
        <v>-0.21750000000000114</v>
      </c>
      <c r="N20">
        <v>-0.99250000000000116</v>
      </c>
      <c r="O20">
        <v>-0.99749999999999939</v>
      </c>
      <c r="P20">
        <v>-1</v>
      </c>
    </row>
    <row r="21" spans="1:16" x14ac:dyDescent="0.25">
      <c r="A21" t="s">
        <v>1263</v>
      </c>
      <c r="E21">
        <v>0.90303427353811094</v>
      </c>
      <c r="G21">
        <v>-1.9933554817275767E-2</v>
      </c>
      <c r="H21">
        <v>-8.6898395721928257E-3</v>
      </c>
      <c r="I21">
        <v>-1.3368983957228187E-3</v>
      </c>
      <c r="J21">
        <v>-4.0133779264207581E-3</v>
      </c>
      <c r="K21">
        <v>1.2499999999999956E-2</v>
      </c>
      <c r="L21">
        <v>3.0000000000001137E-2</v>
      </c>
      <c r="M21">
        <v>5.5000000000001048E-2</v>
      </c>
      <c r="N21">
        <v>7.9999999999995408E-2</v>
      </c>
      <c r="O21">
        <v>-0.9924999999999955</v>
      </c>
      <c r="P21">
        <v>-1</v>
      </c>
    </row>
    <row r="22" spans="1:16" x14ac:dyDescent="0.25">
      <c r="A22" t="s">
        <v>1264</v>
      </c>
      <c r="E22">
        <v>0.92747724328174386</v>
      </c>
      <c r="G22">
        <v>-6.6445182724252927E-3</v>
      </c>
      <c r="H22">
        <v>-2.0053475935831733E-3</v>
      </c>
      <c r="I22">
        <v>1.4705882352942456E-2</v>
      </c>
      <c r="J22">
        <v>1.270903010033364E-2</v>
      </c>
      <c r="K22">
        <v>4.0000000000003366E-2</v>
      </c>
      <c r="L22">
        <v>6.4999999999997726E-2</v>
      </c>
      <c r="M22">
        <v>0.10750000000000104</v>
      </c>
      <c r="N22">
        <v>0.11250000000000004</v>
      </c>
      <c r="O22">
        <v>-0.99499999999999988</v>
      </c>
      <c r="P22">
        <v>-1</v>
      </c>
    </row>
    <row r="23" spans="1:16" x14ac:dyDescent="0.25">
      <c r="A23" t="s">
        <v>1265</v>
      </c>
      <c r="E23">
        <v>0.88620195688875181</v>
      </c>
      <c r="G23">
        <v>-8.637873754153258E-3</v>
      </c>
      <c r="H23">
        <v>-3.3422459893046597E-3</v>
      </c>
      <c r="I23">
        <v>1.136363636363602E-2</v>
      </c>
      <c r="J23">
        <v>5.3511705685616029E-3</v>
      </c>
      <c r="K23">
        <v>2.2500000000002185E-2</v>
      </c>
      <c r="L23">
        <v>3.7500000000000089E-2</v>
      </c>
      <c r="M23">
        <v>-7.4999999999988409E-3</v>
      </c>
      <c r="N23">
        <v>-0.19250000000000111</v>
      </c>
      <c r="O23">
        <v>-0.99750000000000227</v>
      </c>
      <c r="P23">
        <v>-1</v>
      </c>
    </row>
    <row r="24" spans="1:16" x14ac:dyDescent="0.25">
      <c r="A24" t="s">
        <v>1266</v>
      </c>
      <c r="E24">
        <v>0.8950315558229609</v>
      </c>
      <c r="G24">
        <v>8.6378737541525918E-3</v>
      </c>
      <c r="H24">
        <v>1.4037433155080548E-2</v>
      </c>
      <c r="I24">
        <v>1.3368983957219527E-2</v>
      </c>
      <c r="J24">
        <v>2.2073578595317445E-2</v>
      </c>
      <c r="K24">
        <v>2.7499999999997637E-2</v>
      </c>
      <c r="L24">
        <v>5.0000000000000044E-2</v>
      </c>
      <c r="M24">
        <v>-3.7499999999999978E-2</v>
      </c>
      <c r="N24">
        <v>-0.14499999999999891</v>
      </c>
      <c r="O24">
        <v>-0.99499999999999889</v>
      </c>
      <c r="P24">
        <v>-1</v>
      </c>
    </row>
    <row r="25" spans="1:16" x14ac:dyDescent="0.25">
      <c r="A25" t="s">
        <v>1267</v>
      </c>
      <c r="E25">
        <v>0.9071669995678644</v>
      </c>
      <c r="G25">
        <v>-1.2624584717607856E-2</v>
      </c>
      <c r="H25">
        <v>-6.6844919786094303E-3</v>
      </c>
      <c r="I25">
        <v>-5.347593582887944E-3</v>
      </c>
      <c r="J25">
        <v>-2.6755852842800243E-3</v>
      </c>
      <c r="K25">
        <v>2.4999999999999911E-2</v>
      </c>
      <c r="L25">
        <v>4.2499999999995541E-2</v>
      </c>
      <c r="M25">
        <v>5.5000000000001048E-2</v>
      </c>
      <c r="N25">
        <v>5.0000000000000044E-2</v>
      </c>
      <c r="O25">
        <v>-0.98999999999999777</v>
      </c>
      <c r="P25">
        <v>-1</v>
      </c>
    </row>
    <row r="26" spans="1:16" x14ac:dyDescent="0.25">
      <c r="A26" t="s">
        <v>1268</v>
      </c>
      <c r="E26">
        <v>0.89098497384794162</v>
      </c>
      <c r="G26">
        <v>4.3853820598007465E-2</v>
      </c>
      <c r="H26">
        <v>6.0160427807486094E-2</v>
      </c>
      <c r="I26">
        <v>5.8823529411765385E-2</v>
      </c>
      <c r="J26">
        <v>6.2876254180601165E-2</v>
      </c>
      <c r="K26">
        <v>0.12250000000000005</v>
      </c>
      <c r="L26">
        <v>2.7499999999999858E-2</v>
      </c>
      <c r="M26">
        <v>-4.7499999999999765E-2</v>
      </c>
      <c r="N26">
        <v>-0.61750000000000005</v>
      </c>
      <c r="O26">
        <v>-0.99750000000000016</v>
      </c>
      <c r="P26">
        <v>-1</v>
      </c>
    </row>
    <row r="27" spans="1:16" x14ac:dyDescent="0.25">
      <c r="A27" t="s">
        <v>1269</v>
      </c>
      <c r="E27">
        <v>0.83549957418702503</v>
      </c>
      <c r="G27">
        <v>-1.5946843853820392E-2</v>
      </c>
      <c r="H27">
        <v>3.9438502673796894E-2</v>
      </c>
      <c r="I27">
        <v>2.3395721925133062E-2</v>
      </c>
      <c r="J27">
        <v>1.8729096989966276E-2</v>
      </c>
      <c r="K27">
        <v>3.5000000000002363E-2</v>
      </c>
      <c r="L27">
        <v>3.7500000000000089E-2</v>
      </c>
      <c r="M27">
        <v>-8.0000000000001181E-2</v>
      </c>
      <c r="N27">
        <v>-0.97499999999999998</v>
      </c>
      <c r="O27">
        <v>-0.99499999999999889</v>
      </c>
      <c r="P27">
        <v>-1</v>
      </c>
    </row>
    <row r="28" spans="1:16" x14ac:dyDescent="0.25">
      <c r="A28" t="s">
        <v>1270</v>
      </c>
      <c r="E28">
        <v>0.8852588608918297</v>
      </c>
      <c r="G28">
        <v>-2.6578073089701393E-3</v>
      </c>
      <c r="H28">
        <v>-1.3368983957220415E-3</v>
      </c>
      <c r="I28">
        <v>4.6791443850269232E-3</v>
      </c>
      <c r="J28">
        <v>6.6889632106992281E-4</v>
      </c>
      <c r="K28">
        <v>1.2499999999999956E-2</v>
      </c>
      <c r="L28">
        <v>2.2500000000002185E-2</v>
      </c>
      <c r="M28">
        <v>-1.5000000000000568E-2</v>
      </c>
      <c r="N28">
        <v>-0.10250000000000059</v>
      </c>
      <c r="O28">
        <v>-0.99499999999999889</v>
      </c>
      <c r="P28">
        <v>-1</v>
      </c>
    </row>
    <row r="29" spans="1:16" x14ac:dyDescent="0.25">
      <c r="A29" t="s">
        <v>1271</v>
      </c>
      <c r="E29">
        <v>0.89635704649020687</v>
      </c>
      <c r="G29">
        <v>-9.3023255813952099E-3</v>
      </c>
      <c r="H29">
        <v>2.2204460492503131E-16</v>
      </c>
      <c r="I29">
        <v>6.6844919786090973E-3</v>
      </c>
      <c r="J29">
        <v>1.070234113712476E-2</v>
      </c>
      <c r="K29">
        <v>2.7499999999997637E-2</v>
      </c>
      <c r="L29">
        <v>3.9999999999997815E-2</v>
      </c>
      <c r="M29">
        <v>3.0000000000001137E-2</v>
      </c>
      <c r="N29">
        <v>-0.11999999999999889</v>
      </c>
      <c r="O29">
        <v>-0.99499999999999889</v>
      </c>
      <c r="P29">
        <v>-1</v>
      </c>
    </row>
    <row r="30" spans="1:16" x14ac:dyDescent="0.25">
      <c r="A30" t="s">
        <v>1272</v>
      </c>
      <c r="E30">
        <v>0.8700360345649707</v>
      </c>
      <c r="G30">
        <v>-2.2591362126246461E-2</v>
      </c>
      <c r="H30">
        <v>-1.804812834224534E-2</v>
      </c>
      <c r="I30">
        <v>-1.6711229946524631E-2</v>
      </c>
      <c r="J30">
        <v>-1.6053511705684698E-2</v>
      </c>
      <c r="K30">
        <v>-2.5000000000033884E-3</v>
      </c>
      <c r="L30">
        <v>5.0000000000012257E-3</v>
      </c>
      <c r="M30">
        <v>-3.0000000000001137E-2</v>
      </c>
      <c r="N30">
        <v>-0.125</v>
      </c>
      <c r="O30">
        <v>-0.99499999999999889</v>
      </c>
      <c r="P30">
        <v>-1</v>
      </c>
    </row>
    <row r="32" spans="1:16" x14ac:dyDescent="0.25">
      <c r="A32" t="s">
        <v>1243</v>
      </c>
      <c r="E32">
        <v>0.81884893714229312</v>
      </c>
      <c r="G32">
        <v>2.9062087186261687E-2</v>
      </c>
      <c r="H32">
        <v>4.2723631508678306E-2</v>
      </c>
      <c r="I32">
        <v>7.4866310160427885E-2</v>
      </c>
      <c r="J32">
        <v>3.4136546184738936E-2</v>
      </c>
      <c r="K32">
        <v>5.2500000000000657E-2</v>
      </c>
      <c r="L32">
        <v>-1.0000000000002229E-2</v>
      </c>
      <c r="M32">
        <v>-0.28749999999999998</v>
      </c>
      <c r="N32">
        <v>-0.99249999999999827</v>
      </c>
      <c r="O32">
        <v>-0.99500000000000166</v>
      </c>
      <c r="P32">
        <v>-1</v>
      </c>
    </row>
    <row r="33" spans="1:16" x14ac:dyDescent="0.25">
      <c r="A33" t="s">
        <v>1244</v>
      </c>
      <c r="E33">
        <v>0.88186782447247747</v>
      </c>
      <c r="G33">
        <v>-1.9815059445177363E-3</v>
      </c>
      <c r="H33">
        <v>-8.0106809078778207E-3</v>
      </c>
      <c r="I33">
        <v>-1.7379679144384985E-2</v>
      </c>
      <c r="J33">
        <v>-2.2088353413654449E-2</v>
      </c>
      <c r="K33">
        <v>-4.9999999999983391E-3</v>
      </c>
      <c r="L33">
        <v>1.2499999999999956E-2</v>
      </c>
      <c r="M33">
        <v>2.4999999999999911E-2</v>
      </c>
      <c r="N33">
        <v>-3.5000000000002252E-2</v>
      </c>
      <c r="O33">
        <v>-0.98999999999999777</v>
      </c>
      <c r="P33">
        <v>-1</v>
      </c>
    </row>
    <row r="34" spans="1:16" x14ac:dyDescent="0.25">
      <c r="A34" t="s">
        <v>1245</v>
      </c>
      <c r="E34">
        <v>0.72923237205763236</v>
      </c>
      <c r="G34">
        <v>-2.9722589167767266E-2</v>
      </c>
      <c r="H34">
        <v>2.6702269692923553E-2</v>
      </c>
      <c r="I34">
        <v>-6.0828877005347559E-2</v>
      </c>
      <c r="J34">
        <v>-2.4765729585006446E-2</v>
      </c>
      <c r="K34">
        <v>-3.0000000000001137E-2</v>
      </c>
      <c r="L34">
        <v>-0.1875</v>
      </c>
      <c r="M34">
        <v>-0.46500000000000052</v>
      </c>
      <c r="N34">
        <v>-0.94499999999999884</v>
      </c>
      <c r="O34">
        <v>-0.99250000000000116</v>
      </c>
      <c r="P34">
        <v>-1</v>
      </c>
    </row>
    <row r="35" spans="1:16" x14ac:dyDescent="0.25">
      <c r="A35" t="s">
        <v>1246</v>
      </c>
      <c r="E35">
        <v>0.89443712032286393</v>
      </c>
      <c r="G35">
        <v>-1.9815059445185135E-3</v>
      </c>
      <c r="H35">
        <v>9.3457943925234765E-3</v>
      </c>
      <c r="I35">
        <v>-2.807486631016054E-2</v>
      </c>
      <c r="J35">
        <v>-2.0080321285140368E-2</v>
      </c>
      <c r="K35">
        <v>1.2499999999999956E-2</v>
      </c>
      <c r="L35">
        <v>2.999999999999825E-2</v>
      </c>
      <c r="M35">
        <v>4.2500000000001092E-2</v>
      </c>
      <c r="N35">
        <v>7.4999999999989519E-3</v>
      </c>
      <c r="O35">
        <v>-0.99499999999999889</v>
      </c>
      <c r="P35">
        <v>-1</v>
      </c>
    </row>
    <row r="36" spans="1:16" x14ac:dyDescent="0.25">
      <c r="A36" t="s">
        <v>1247</v>
      </c>
      <c r="E36">
        <v>0.88200275070711776</v>
      </c>
      <c r="G36">
        <v>1.9815059445174033E-3</v>
      </c>
      <c r="H36">
        <v>5.3404539385855099E-3</v>
      </c>
      <c r="I36">
        <v>-6.6844919786090973E-4</v>
      </c>
      <c r="J36">
        <v>-9.9920072216264089E-16</v>
      </c>
      <c r="K36">
        <v>1.5000000000003455E-2</v>
      </c>
      <c r="L36">
        <v>1.2499999999999956E-2</v>
      </c>
      <c r="M36">
        <v>-1.5000000000003455E-2</v>
      </c>
      <c r="N36">
        <v>-0.12749999999999773</v>
      </c>
      <c r="O36">
        <v>-0.99250000000000116</v>
      </c>
      <c r="P36">
        <v>-1</v>
      </c>
    </row>
    <row r="37" spans="1:16" x14ac:dyDescent="0.25">
      <c r="A37" t="s">
        <v>1248</v>
      </c>
      <c r="E37">
        <v>0.88954539684490974</v>
      </c>
      <c r="G37">
        <v>9.2470277410843238E-3</v>
      </c>
      <c r="H37">
        <v>8.0106809078770436E-3</v>
      </c>
      <c r="I37">
        <v>9.3582887700536244E-3</v>
      </c>
      <c r="J37">
        <v>5.3547523427028842E-3</v>
      </c>
      <c r="K37">
        <v>2.0000000000004459E-2</v>
      </c>
      <c r="L37">
        <v>2.4999999999999911E-2</v>
      </c>
      <c r="M37">
        <v>-2.5000000000033884E-3</v>
      </c>
      <c r="N37">
        <v>-0.11750000000000116</v>
      </c>
      <c r="O37">
        <v>-0.98999999999999777</v>
      </c>
      <c r="P37">
        <v>-1</v>
      </c>
    </row>
    <row r="38" spans="1:16" x14ac:dyDescent="0.25">
      <c r="A38" t="s">
        <v>1249</v>
      </c>
      <c r="E38">
        <v>0.8949952956141578</v>
      </c>
      <c r="G38">
        <v>-2.509907529722577E-2</v>
      </c>
      <c r="H38">
        <v>-2.4032042723632019E-2</v>
      </c>
      <c r="I38">
        <v>-2.0721925133689756E-2</v>
      </c>
      <c r="J38">
        <v>-1.6064257028112539E-2</v>
      </c>
      <c r="K38">
        <v>5.0000000000012257E-3</v>
      </c>
      <c r="L38">
        <v>3.2499999999998863E-2</v>
      </c>
      <c r="M38">
        <v>4.7500000000002318E-2</v>
      </c>
      <c r="N38">
        <v>4.7500000000002318E-2</v>
      </c>
      <c r="O38">
        <v>-0.99500000000000455</v>
      </c>
      <c r="P38">
        <v>-1</v>
      </c>
    </row>
    <row r="39" spans="1:16" x14ac:dyDescent="0.25">
      <c r="A39" t="s">
        <v>1250</v>
      </c>
      <c r="E39">
        <v>0.82064104560547591</v>
      </c>
      <c r="G39">
        <v>1.2549537648612663E-2</v>
      </c>
      <c r="H39">
        <v>1.6021361815754531E-2</v>
      </c>
      <c r="I39">
        <v>1.136363636363602E-2</v>
      </c>
      <c r="J39">
        <v>1.004016064257085E-2</v>
      </c>
      <c r="K39">
        <v>3.4999999999996589E-2</v>
      </c>
      <c r="L39">
        <v>-2.5000000000000022E-2</v>
      </c>
      <c r="M39">
        <v>-0.43499999999999661</v>
      </c>
      <c r="N39">
        <v>-0.56500000000000339</v>
      </c>
      <c r="O39">
        <v>-0.98750000000000004</v>
      </c>
      <c r="P39">
        <v>-1</v>
      </c>
    </row>
    <row r="40" spans="1:16" x14ac:dyDescent="0.25">
      <c r="A40" t="s">
        <v>1251</v>
      </c>
      <c r="E40">
        <v>0</v>
      </c>
      <c r="G40">
        <v>-1</v>
      </c>
      <c r="H40">
        <v>-1</v>
      </c>
      <c r="I40">
        <v>-1</v>
      </c>
      <c r="J40">
        <v>-1</v>
      </c>
      <c r="K40">
        <v>-1</v>
      </c>
      <c r="L40">
        <v>-1</v>
      </c>
      <c r="M40">
        <v>-1</v>
      </c>
      <c r="N40">
        <v>-1</v>
      </c>
      <c r="O40">
        <v>-1</v>
      </c>
      <c r="P40">
        <v>-1</v>
      </c>
    </row>
    <row r="41" spans="1:16" x14ac:dyDescent="0.25">
      <c r="A41" t="s">
        <v>1252</v>
      </c>
      <c r="E41">
        <v>0.84833232339280795</v>
      </c>
      <c r="G41">
        <v>-7.2655217965653662E-3</v>
      </c>
      <c r="H41">
        <v>8.6782376502003711E-3</v>
      </c>
      <c r="I41">
        <v>-1.7379679144384985E-2</v>
      </c>
      <c r="J41">
        <v>-9.3708165997322679E-3</v>
      </c>
      <c r="K41">
        <v>9.9999999999993427E-3</v>
      </c>
      <c r="L41">
        <v>-5.0000000000011147E-3</v>
      </c>
      <c r="M41">
        <v>-0.10749999999999882</v>
      </c>
      <c r="N41">
        <v>-0.41249999999999998</v>
      </c>
      <c r="O41">
        <v>-0.99000000000000055</v>
      </c>
      <c r="P41">
        <v>-1</v>
      </c>
    </row>
  </sheetData>
  <pageMargins left="0.511811024" right="0.511811024" top="0.78740157499999996" bottom="0.78740157499999996" header="0.31496062000000002" footer="0.31496062000000002"/>
  <pageSetup paperSize="9" orientation="portrait" horizontalDpi="4294967294" verticalDpi="4294967294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4"/>
  <dimension ref="A1:G39"/>
  <sheetViews>
    <sheetView topLeftCell="A3" workbookViewId="0">
      <selection activeCell="E17" sqref="E17:I41"/>
    </sheetView>
  </sheetViews>
  <sheetFormatPr defaultRowHeight="15" x14ac:dyDescent="0.25"/>
  <cols>
    <col min="1" max="1" width="9.5703125" bestFit="1" customWidth="1"/>
    <col min="5" max="5" width="10.7109375" bestFit="1" customWidth="1"/>
  </cols>
  <sheetData>
    <row r="1" spans="1:5" x14ac:dyDescent="0.25">
      <c r="A1" s="108" t="s">
        <v>842</v>
      </c>
      <c r="B1" s="108"/>
      <c r="C1" s="16"/>
      <c r="D1" s="109" t="s">
        <v>843</v>
      </c>
      <c r="E1" s="109"/>
    </row>
    <row r="2" spans="1:5" x14ac:dyDescent="0.25">
      <c r="A2" s="28" t="s">
        <v>844</v>
      </c>
      <c r="B2" s="28" t="s">
        <v>845</v>
      </c>
      <c r="C2" s="16"/>
      <c r="D2" s="109">
        <v>200</v>
      </c>
      <c r="E2" s="109"/>
    </row>
    <row r="3" spans="1:5" x14ac:dyDescent="0.25">
      <c r="A3" s="22">
        <v>2015</v>
      </c>
      <c r="B3" s="23">
        <v>366</v>
      </c>
      <c r="C3" s="18"/>
      <c r="D3" s="19" t="s">
        <v>849</v>
      </c>
      <c r="E3" s="24" t="s">
        <v>846</v>
      </c>
    </row>
    <row r="4" spans="1:5" x14ac:dyDescent="0.25">
      <c r="A4" s="17">
        <v>42339</v>
      </c>
      <c r="B4" s="23">
        <v>56</v>
      </c>
      <c r="C4" s="18"/>
      <c r="D4" s="19" t="s">
        <v>850</v>
      </c>
      <c r="E4" s="25" t="s">
        <v>847</v>
      </c>
    </row>
    <row r="5" spans="1:5" x14ac:dyDescent="0.25">
      <c r="A5" s="17">
        <v>42370</v>
      </c>
      <c r="B5" s="23">
        <v>196</v>
      </c>
      <c r="C5" s="18"/>
      <c r="D5" s="20"/>
      <c r="E5" s="20"/>
    </row>
    <row r="6" spans="1:5" x14ac:dyDescent="0.25">
      <c r="A6" s="17">
        <v>42401</v>
      </c>
      <c r="B6" s="23">
        <v>195</v>
      </c>
      <c r="C6" s="18"/>
      <c r="D6" s="21" t="s">
        <v>848</v>
      </c>
      <c r="E6" s="20"/>
    </row>
    <row r="7" spans="1:5" x14ac:dyDescent="0.25">
      <c r="A7" s="17">
        <v>42430</v>
      </c>
      <c r="B7" s="23">
        <v>210</v>
      </c>
      <c r="C7" s="18"/>
      <c r="D7" s="20"/>
      <c r="E7" s="20"/>
    </row>
    <row r="8" spans="1:5" x14ac:dyDescent="0.25">
      <c r="A8" s="17">
        <v>42461</v>
      </c>
      <c r="B8" s="23">
        <f>Dados!AD5</f>
        <v>80</v>
      </c>
      <c r="C8" s="18"/>
      <c r="D8" s="20"/>
      <c r="E8" s="20"/>
    </row>
    <row r="9" spans="1:5" x14ac:dyDescent="0.25">
      <c r="A9" s="17">
        <v>42491</v>
      </c>
      <c r="B9" s="40" t="s">
        <v>1275</v>
      </c>
      <c r="C9" s="18"/>
      <c r="D9" s="20"/>
      <c r="E9" s="20"/>
    </row>
    <row r="10" spans="1:5" x14ac:dyDescent="0.25">
      <c r="A10" s="17">
        <v>42522</v>
      </c>
      <c r="B10" s="40" t="s">
        <v>1275</v>
      </c>
    </row>
    <row r="11" spans="1:5" x14ac:dyDescent="0.25">
      <c r="A11" s="17">
        <v>42552</v>
      </c>
      <c r="B11" s="40" t="s">
        <v>1275</v>
      </c>
    </row>
    <row r="12" spans="1:5" x14ac:dyDescent="0.25">
      <c r="A12" s="17">
        <v>42583</v>
      </c>
      <c r="B12" s="23">
        <f>Dados!AE5</f>
        <v>75</v>
      </c>
    </row>
    <row r="13" spans="1:5" x14ac:dyDescent="0.25">
      <c r="A13" s="26" t="s">
        <v>851</v>
      </c>
      <c r="B13" s="27">
        <f>SUM(B3:B12)</f>
        <v>1178</v>
      </c>
    </row>
    <row r="17" spans="6:7" ht="15.75" thickBot="1" x14ac:dyDescent="0.3"/>
    <row r="18" spans="6:7" ht="15.75" thickBot="1" x14ac:dyDescent="0.3">
      <c r="F18" s="41"/>
      <c r="G18" s="42"/>
    </row>
    <row r="19" spans="6:7" ht="15.75" thickBot="1" x14ac:dyDescent="0.3">
      <c r="F19" s="43"/>
      <c r="G19" s="44"/>
    </row>
    <row r="20" spans="6:7" ht="15.75" thickBot="1" x14ac:dyDescent="0.3">
      <c r="F20" s="43"/>
      <c r="G20" s="44"/>
    </row>
    <row r="21" spans="6:7" ht="15.75" thickBot="1" x14ac:dyDescent="0.3">
      <c r="F21" s="43"/>
      <c r="G21" s="44"/>
    </row>
    <row r="22" spans="6:7" ht="15.75" thickBot="1" x14ac:dyDescent="0.3">
      <c r="F22" s="43"/>
      <c r="G22" s="44"/>
    </row>
    <row r="23" spans="6:7" ht="15.75" thickBot="1" x14ac:dyDescent="0.3">
      <c r="F23" s="43"/>
      <c r="G23" s="44"/>
    </row>
    <row r="24" spans="6:7" ht="15.75" thickBot="1" x14ac:dyDescent="0.3">
      <c r="F24" s="43"/>
      <c r="G24" s="44"/>
    </row>
    <row r="25" spans="6:7" ht="15.75" thickBot="1" x14ac:dyDescent="0.3">
      <c r="F25" s="43"/>
      <c r="G25" s="44"/>
    </row>
    <row r="26" spans="6:7" ht="15.75" thickBot="1" x14ac:dyDescent="0.3">
      <c r="F26" s="43"/>
      <c r="G26" s="44"/>
    </row>
    <row r="27" spans="6:7" ht="15.75" thickBot="1" x14ac:dyDescent="0.3">
      <c r="F27" s="43"/>
      <c r="G27" s="44"/>
    </row>
    <row r="28" spans="6:7" ht="15.75" thickBot="1" x14ac:dyDescent="0.3">
      <c r="F28" s="43"/>
      <c r="G28" s="44"/>
    </row>
    <row r="29" spans="6:7" ht="15.75" thickBot="1" x14ac:dyDescent="0.3">
      <c r="F29" s="43"/>
      <c r="G29" s="44"/>
    </row>
    <row r="30" spans="6:7" ht="15.75" thickBot="1" x14ac:dyDescent="0.3">
      <c r="F30" s="43"/>
      <c r="G30" s="44"/>
    </row>
    <row r="31" spans="6:7" ht="15.75" thickBot="1" x14ac:dyDescent="0.3">
      <c r="F31" s="43"/>
      <c r="G31" s="44"/>
    </row>
    <row r="32" spans="6:7" ht="15.75" thickBot="1" x14ac:dyDescent="0.3">
      <c r="F32" s="43"/>
      <c r="G32" s="44"/>
    </row>
    <row r="33" spans="6:7" ht="15.75" thickBot="1" x14ac:dyDescent="0.3">
      <c r="F33" s="43"/>
      <c r="G33" s="44"/>
    </row>
    <row r="34" spans="6:7" ht="15.75" thickBot="1" x14ac:dyDescent="0.3">
      <c r="F34" s="43"/>
      <c r="G34" s="44"/>
    </row>
    <row r="35" spans="6:7" ht="15.75" thickBot="1" x14ac:dyDescent="0.3">
      <c r="F35" s="43"/>
      <c r="G35" s="44"/>
    </row>
    <row r="36" spans="6:7" ht="15.75" thickBot="1" x14ac:dyDescent="0.3">
      <c r="F36" s="43"/>
      <c r="G36" s="44"/>
    </row>
    <row r="37" spans="6:7" ht="15.75" thickBot="1" x14ac:dyDescent="0.3">
      <c r="F37" s="43"/>
      <c r="G37" s="44"/>
    </row>
    <row r="38" spans="6:7" ht="15.75" thickBot="1" x14ac:dyDescent="0.3">
      <c r="F38" s="43"/>
      <c r="G38" s="44"/>
    </row>
    <row r="39" spans="6:7" ht="15.75" thickBot="1" x14ac:dyDescent="0.3">
      <c r="F39" s="43"/>
      <c r="G39" s="44"/>
    </row>
  </sheetData>
  <mergeCells count="3">
    <mergeCell ref="A1:B1"/>
    <mergeCell ref="D1:E1"/>
    <mergeCell ref="D2:E2"/>
  </mergeCells>
  <conditionalFormatting sqref="B3:C9 B10:B12">
    <cfRule type="colorScale" priority="1">
      <colorScale>
        <cfvo type="num" val="50"/>
        <cfvo type="num" val="200"/>
        <color rgb="FFFF3300"/>
        <color rgb="FF0066FF"/>
      </colorScale>
    </cfRule>
  </conditionalFormatting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12</vt:i4>
      </vt:variant>
    </vt:vector>
  </HeadingPairs>
  <TitlesOfParts>
    <vt:vector size="12" baseType="lpstr">
      <vt:lpstr>Tela inicial</vt:lpstr>
      <vt:lpstr>Cadastro</vt:lpstr>
      <vt:lpstr>Dados</vt:lpstr>
      <vt:lpstr>Iniciais</vt:lpstr>
      <vt:lpstr>Resumo</vt:lpstr>
      <vt:lpstr>Resumo2</vt:lpstr>
      <vt:lpstr>Ocultar (Modelo Resumo2)</vt:lpstr>
      <vt:lpstr>Ocultar</vt:lpstr>
      <vt:lpstr>Anos</vt:lpstr>
      <vt:lpstr>Fabricantes</vt:lpstr>
      <vt:lpstr>Plan2</vt:lpstr>
      <vt:lpstr>Plan3</vt:lpstr>
    </vt:vector>
  </TitlesOfParts>
  <Company>Caesb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clovisrsilva;IvanJunior@caesb.df.gov.br;Thiago Araújo</dc:creator>
  <cp:lastModifiedBy>Casa</cp:lastModifiedBy>
  <cp:lastPrinted>2016-03-08T14:26:22Z</cp:lastPrinted>
  <dcterms:created xsi:type="dcterms:W3CDTF">2015-06-12T13:59:52Z</dcterms:created>
  <dcterms:modified xsi:type="dcterms:W3CDTF">2022-06-15T11:54:53Z</dcterms:modified>
</cp:coreProperties>
</file>